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csieger/Documents/2027 - Charlie Brown Classic/"/>
    </mc:Choice>
  </mc:AlternateContent>
  <xr:revisionPtr revIDLastSave="0" documentId="13_ncr:1_{6BCE9F75-2FA6-D84C-9646-ABADB4A505E6}" xr6:coauthVersionLast="47" xr6:coauthVersionMax="47" xr10:uidLastSave="{00000000-0000-0000-0000-000000000000}"/>
  <bookViews>
    <workbookView xWindow="0" yWindow="780" windowWidth="34200" windowHeight="20340" activeTab="2" xr2:uid="{0452A4D9-4F1C-A84B-A40E-B3DF56268FFE}"/>
  </bookViews>
  <sheets>
    <sheet name="Change Log" sheetId="6" state="hidden" r:id="rId1"/>
    <sheet name="Regatta Attributes" sheetId="3" r:id="rId2"/>
    <sheet name="Heat Sheet" sheetId="2" r:id="rId3"/>
    <sheet name="Results" sheetId="5" r:id="rId4"/>
    <sheet name="Referee Heat Sheet" sheetId="1" r:id="rId5"/>
  </sheets>
  <definedNames>
    <definedName name="_xleta.SHEET" hidden="1" xlm="1">#NAME?</definedName>
    <definedName name="_xlpm.ADVANCE" hidden="1" xlm="1">#NAME?</definedName>
    <definedName name="_xlpm.CENTER" hidden="1" xlm="1">#NAME?</definedName>
    <definedName name="_xlpm.EVENT" hidden="1" xlm="1">#NAME?</definedName>
    <definedName name="_xlpm.VAL" hidden="1" xlm="1">#NAME?</definedName>
    <definedName name="_xlnm.Print_Area" localSheetId="2">'Heat Sheet'!$A$1:$I$364</definedName>
    <definedName name="_xlnm.Print_Area" localSheetId="4">'Referee Heat Sheet'!$A$1:$K$122</definedName>
    <definedName name="_xlnm.Print_Area" localSheetId="3">Results!$A$1:$I$604</definedName>
    <definedName name="_xlnm.Print_Titles" localSheetId="2">'Heat Sheet'!$1:$4</definedName>
    <definedName name="_xlnm.Print_Titles" localSheetId="4">'Referee Heat Sheet'!$1:$2</definedName>
    <definedName name="_xlnm.Print_Titles" localSheetId="3">Results!$1:$4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1" i="1"/>
  <c r="A1" i="2"/>
  <c r="A2" i="5"/>
  <c r="A1" i="5"/>
  <c r="A8" i="2" a="1"/>
  <c r="A8" i="2" s="1"/>
  <c r="J8" i="2"/>
  <c r="J7" i="2"/>
  <c r="J6" i="2"/>
  <c r="B5" i="2"/>
  <c r="H6" i="5" a="1"/>
  <c r="F11" i="5" a="1"/>
  <c r="C11" i="5" a="1"/>
  <c r="H11" i="5" a="1"/>
  <c r="G6" i="5" a="1"/>
  <c r="D6" i="5" a="1"/>
  <c r="H10" i="5" a="1"/>
  <c r="D11" i="5" a="1"/>
  <c r="E6" i="5" a="1"/>
  <c r="F5" i="5" a="1"/>
  <c r="F10" i="5" a="1"/>
  <c r="G10" i="5" a="1"/>
  <c r="G5" i="5" a="1"/>
  <c r="I11" i="5" a="1"/>
  <c r="C5" i="5" a="1"/>
  <c r="I5" i="5" a="1"/>
  <c r="C10" i="5" a="1"/>
  <c r="E5" i="5" a="1"/>
  <c r="H5" i="5" a="1"/>
  <c r="C6" i="5" a="1"/>
  <c r="G11" i="5" a="1"/>
  <c r="E10" i="5" a="1"/>
  <c r="E11" i="5" a="1"/>
  <c r="D10" i="5" a="1"/>
  <c r="I10" i="5" a="1"/>
  <c r="F6" i="5" a="1"/>
  <c r="I6" i="5" a="1"/>
  <c r="D5" i="5" a="1"/>
  <c r="D3" i="1" l="1" a="1"/>
  <c r="D3" i="1" s="1"/>
  <c r="D4" i="1" a="1"/>
  <c r="D4" i="1" s="1"/>
  <c r="J3" i="1" a="1"/>
  <c r="J3" i="1" s="1"/>
  <c r="G3" i="1" a="1"/>
  <c r="G3" i="1" s="1"/>
  <c r="E3" i="1" a="1"/>
  <c r="E3" i="1" s="1"/>
  <c r="K3" i="1" a="1"/>
  <c r="K3" i="1" s="1"/>
  <c r="I3" i="1" a="1"/>
  <c r="I3" i="1" s="1"/>
  <c r="F3" i="1" a="1"/>
  <c r="F3" i="1" s="1"/>
  <c r="H3" i="1" a="1"/>
  <c r="H3" i="1" s="1"/>
  <c r="B3" i="1"/>
  <c r="B5" i="5"/>
  <c r="E4" i="1" a="1"/>
  <c r="E4" i="1" s="1"/>
  <c r="F4" i="1" a="1"/>
  <c r="F4" i="1" s="1"/>
  <c r="G4" i="1" a="1"/>
  <c r="G4" i="1" s="1"/>
  <c r="H4" i="1" a="1"/>
  <c r="H4" i="1" s="1"/>
  <c r="I4" i="1" a="1"/>
  <c r="I4" i="1" s="1"/>
  <c r="J4" i="1" a="1"/>
  <c r="J4" i="1" s="1"/>
  <c r="K4" i="1" a="1"/>
  <c r="K4" i="1" s="1"/>
  <c r="B8" i="2"/>
  <c r="B4" i="1" s="1"/>
  <c r="C10" i="5"/>
  <c r="I10" i="5"/>
  <c r="D5" i="5"/>
  <c r="I6" i="5"/>
  <c r="E10" i="5"/>
  <c r="H10" i="5"/>
  <c r="D11" i="5"/>
  <c r="G11" i="5"/>
  <c r="C5" i="5"/>
  <c r="F5" i="5"/>
  <c r="I5" i="5"/>
  <c r="E6" i="5"/>
  <c r="H6" i="5"/>
  <c r="H11" i="5"/>
  <c r="F6" i="5"/>
  <c r="F10" i="5"/>
  <c r="E11" i="5"/>
  <c r="G5" i="5"/>
  <c r="C6" i="5"/>
  <c r="D10" i="5"/>
  <c r="G10" i="5"/>
  <c r="C11" i="5"/>
  <c r="F11" i="5"/>
  <c r="I11" i="5"/>
  <c r="E5" i="5"/>
  <c r="H5" i="5"/>
  <c r="D6" i="5"/>
  <c r="G6" i="5"/>
  <c r="J11" i="2"/>
  <c r="J10" i="2"/>
  <c r="J9" i="2"/>
  <c r="A11" i="2" s="1" a="1"/>
  <c r="A11" i="2" s="1"/>
  <c r="D5" i="1" l="1" a="1"/>
  <c r="D5" i="1" s="1"/>
  <c r="E5" i="1" a="1"/>
  <c r="E5" i="1" s="1"/>
  <c r="F5" i="1" a="1"/>
  <c r="F5" i="1" s="1"/>
  <c r="G5" i="1" a="1"/>
  <c r="G5" i="1" s="1"/>
  <c r="H5" i="1" a="1"/>
  <c r="H5" i="1" s="1"/>
  <c r="I5" i="1" a="1"/>
  <c r="I5" i="1" s="1"/>
  <c r="J5" i="1" a="1"/>
  <c r="J5" i="1" s="1"/>
  <c r="K5" i="1" a="1"/>
  <c r="K5" i="1" s="1"/>
  <c r="J14" i="2"/>
  <c r="J13" i="2"/>
  <c r="J12" i="2"/>
  <c r="A14" i="2" s="1" a="1"/>
  <c r="A14" i="2" s="1"/>
  <c r="B11" i="2"/>
  <c r="D16" i="5" a="1"/>
  <c r="G16" i="5" a="1"/>
  <c r="F16" i="5" a="1"/>
  <c r="E16" i="5" a="1"/>
  <c r="C16" i="5" a="1"/>
  <c r="F15" i="5" a="1"/>
  <c r="I16" i="5" a="1"/>
  <c r="G15" i="5" a="1"/>
  <c r="C15" i="5" a="1"/>
  <c r="H16" i="5" a="1"/>
  <c r="E15" i="5" a="1"/>
  <c r="D15" i="5" a="1"/>
  <c r="I15" i="5" a="1"/>
  <c r="H15" i="5" a="1"/>
  <c r="D6" i="1" l="1" a="1"/>
  <c r="D6" i="1" s="1"/>
  <c r="B5" i="1"/>
  <c r="E6" i="1" a="1"/>
  <c r="E6" i="1" s="1"/>
  <c r="F6" i="1" a="1"/>
  <c r="F6" i="1" s="1"/>
  <c r="G6" i="1" a="1"/>
  <c r="G6" i="1" s="1"/>
  <c r="H6" i="1" a="1"/>
  <c r="H6" i="1" s="1"/>
  <c r="I6" i="1" a="1"/>
  <c r="I6" i="1" s="1"/>
  <c r="J6" i="1" a="1"/>
  <c r="J6" i="1" s="1"/>
  <c r="K6" i="1" a="1"/>
  <c r="K6" i="1" s="1"/>
  <c r="E15" i="5"/>
  <c r="H16" i="5"/>
  <c r="H15" i="5"/>
  <c r="C16" i="5"/>
  <c r="F16" i="5"/>
  <c r="I15" i="5"/>
  <c r="D15" i="5"/>
  <c r="C15" i="5"/>
  <c r="E16" i="5"/>
  <c r="I16" i="5"/>
  <c r="G16" i="5"/>
  <c r="D16" i="5"/>
  <c r="G15" i="5"/>
  <c r="F15" i="5"/>
  <c r="J17" i="2"/>
  <c r="J16" i="2"/>
  <c r="J15" i="2"/>
  <c r="A17" i="2" s="1" a="1"/>
  <c r="A17" i="2" s="1"/>
  <c r="E21" i="5" a="1"/>
  <c r="F21" i="5" a="1"/>
  <c r="F20" i="5" a="1"/>
  <c r="C21" i="5" a="1"/>
  <c r="G20" i="5" a="1"/>
  <c r="C20" i="5" a="1"/>
  <c r="D20" i="5" a="1"/>
  <c r="E20" i="5" a="1"/>
  <c r="I21" i="5" a="1"/>
  <c r="D21" i="5" a="1"/>
  <c r="I20" i="5" a="1"/>
  <c r="H21" i="5" a="1"/>
  <c r="G21" i="5" a="1"/>
  <c r="H20" i="5" a="1"/>
  <c r="D7" i="1" l="1" a="1"/>
  <c r="D7" i="1" s="1"/>
  <c r="E7" i="1" a="1"/>
  <c r="E7" i="1" s="1"/>
  <c r="F7" i="1" a="1"/>
  <c r="F7" i="1" s="1"/>
  <c r="G7" i="1" a="1"/>
  <c r="G7" i="1" s="1"/>
  <c r="H7" i="1" a="1"/>
  <c r="H7" i="1" s="1"/>
  <c r="I7" i="1" a="1"/>
  <c r="I7" i="1" s="1"/>
  <c r="J7" i="1" a="1"/>
  <c r="J7" i="1" s="1"/>
  <c r="K7" i="1" a="1"/>
  <c r="K7" i="1" s="1"/>
  <c r="E21" i="5"/>
  <c r="H21" i="5"/>
  <c r="H20" i="5"/>
  <c r="D20" i="5"/>
  <c r="G20" i="5"/>
  <c r="F20" i="5"/>
  <c r="I21" i="5"/>
  <c r="D21" i="5"/>
  <c r="E20" i="5"/>
  <c r="G21" i="5"/>
  <c r="C20" i="5"/>
  <c r="C21" i="5"/>
  <c r="F21" i="5"/>
  <c r="I20" i="5"/>
  <c r="J20" i="2"/>
  <c r="J19" i="2"/>
  <c r="J18" i="2"/>
  <c r="A20" i="2" s="1" a="1"/>
  <c r="A20" i="2" s="1"/>
  <c r="D8" i="1" l="1" a="1"/>
  <c r="D8" i="1" s="1"/>
  <c r="E8" i="1" a="1"/>
  <c r="E8" i="1" s="1"/>
  <c r="F8" i="1" a="1"/>
  <c r="F8" i="1" s="1"/>
  <c r="G8" i="1" a="1"/>
  <c r="G8" i="1" s="1"/>
  <c r="H8" i="1" a="1"/>
  <c r="H8" i="1" s="1"/>
  <c r="I8" i="1" a="1"/>
  <c r="I8" i="1" s="1"/>
  <c r="J8" i="1" a="1"/>
  <c r="J8" i="1" s="1"/>
  <c r="K8" i="1" a="1"/>
  <c r="K8" i="1" s="1"/>
  <c r="J23" i="2"/>
  <c r="J22" i="2"/>
  <c r="J21" i="2"/>
  <c r="A23" i="2" s="1" a="1"/>
  <c r="A23" i="2" s="1"/>
  <c r="D9" i="1" l="1" a="1"/>
  <c r="D9" i="1" s="1"/>
  <c r="E9" i="1" a="1"/>
  <c r="E9" i="1" s="1"/>
  <c r="F9" i="1" a="1"/>
  <c r="F9" i="1" s="1"/>
  <c r="G9" i="1" a="1"/>
  <c r="G9" i="1" s="1"/>
  <c r="H9" i="1" a="1"/>
  <c r="H9" i="1" s="1"/>
  <c r="I9" i="1" a="1"/>
  <c r="I9" i="1" s="1"/>
  <c r="J9" i="1" a="1"/>
  <c r="J9" i="1" s="1"/>
  <c r="K9" i="1" a="1"/>
  <c r="K9" i="1" s="1"/>
  <c r="J26" i="2"/>
  <c r="J25" i="2"/>
  <c r="J24" i="2"/>
  <c r="A26" i="2" s="1" a="1"/>
  <c r="A26" i="2" s="1"/>
  <c r="D10" i="1" l="1" a="1"/>
  <c r="D10" i="1" s="1"/>
  <c r="E10" i="1" a="1"/>
  <c r="E10" i="1" s="1"/>
  <c r="F10" i="1" a="1"/>
  <c r="F10" i="1" s="1"/>
  <c r="G10" i="1" a="1"/>
  <c r="G10" i="1" s="1"/>
  <c r="H10" i="1" a="1"/>
  <c r="H10" i="1" s="1"/>
  <c r="I10" i="1" a="1"/>
  <c r="I10" i="1" s="1"/>
  <c r="J10" i="1" a="1"/>
  <c r="J10" i="1" s="1"/>
  <c r="K10" i="1" a="1"/>
  <c r="K10" i="1" s="1"/>
  <c r="J29" i="2"/>
  <c r="J28" i="2"/>
  <c r="J27" i="2"/>
  <c r="A29" i="2" s="1" a="1"/>
  <c r="A29" i="2" s="1"/>
  <c r="D11" i="1" l="1" a="1"/>
  <c r="D11" i="1" s="1"/>
  <c r="E11" i="1" a="1"/>
  <c r="E11" i="1" s="1"/>
  <c r="F11" i="1" a="1"/>
  <c r="F11" i="1" s="1"/>
  <c r="G11" i="1" a="1"/>
  <c r="G11" i="1" s="1"/>
  <c r="H11" i="1" a="1"/>
  <c r="H11" i="1" s="1"/>
  <c r="I11" i="1" a="1"/>
  <c r="I11" i="1" s="1"/>
  <c r="J11" i="1" a="1"/>
  <c r="J11" i="1" s="1"/>
  <c r="K11" i="1" a="1"/>
  <c r="K11" i="1" s="1"/>
  <c r="J32" i="2"/>
  <c r="J31" i="2"/>
  <c r="J30" i="2"/>
  <c r="A32" i="2" s="1" a="1"/>
  <c r="A32" i="2" s="1"/>
  <c r="J33" i="2" l="1"/>
  <c r="J34" i="2"/>
  <c r="D12" i="1" a="1"/>
  <c r="D12" i="1" s="1"/>
  <c r="J35" i="2"/>
  <c r="E12" i="1" a="1"/>
  <c r="E12" i="1" s="1"/>
  <c r="F12" i="1" a="1"/>
  <c r="F12" i="1" s="1"/>
  <c r="G12" i="1" a="1"/>
  <c r="G12" i="1" s="1"/>
  <c r="H12" i="1" a="1"/>
  <c r="H12" i="1" s="1"/>
  <c r="I12" i="1" a="1"/>
  <c r="I12" i="1" s="1"/>
  <c r="J12" i="1" a="1"/>
  <c r="J12" i="1" s="1"/>
  <c r="K12" i="1" a="1"/>
  <c r="K12" i="1" s="1"/>
  <c r="A35" i="2" a="1"/>
  <c r="A35" i="2" s="1"/>
  <c r="J37" i="2" l="1"/>
  <c r="J36" i="2"/>
  <c r="A38" i="2" s="1" a="1"/>
  <c r="A38" i="2" s="1"/>
  <c r="J38" i="2"/>
  <c r="D13" i="1" l="1" a="1"/>
  <c r="D13" i="1" s="1"/>
  <c r="J39" i="2"/>
  <c r="J40" i="2"/>
  <c r="J41" i="2"/>
  <c r="A41" i="2" a="1"/>
  <c r="A41" i="2" s="1"/>
  <c r="J42" i="2" s="1"/>
  <c r="A44" i="2" s="1" a="1"/>
  <c r="A44" i="2" s="1"/>
  <c r="D14" i="1" l="1" a="1"/>
  <c r="D14" i="1" s="1"/>
  <c r="J44" i="2"/>
  <c r="D15" i="1" a="1"/>
  <c r="D15" i="1" s="1"/>
  <c r="J43" i="2"/>
  <c r="J47" i="2"/>
  <c r="J46" i="2"/>
  <c r="J45" i="2"/>
  <c r="A47" i="2" s="1" a="1"/>
  <c r="A47" i="2" s="1"/>
  <c r="D16" i="1" l="1" a="1"/>
  <c r="D16" i="1" s="1"/>
  <c r="J50" i="2"/>
  <c r="J49" i="2"/>
  <c r="J48" i="2"/>
  <c r="A50" i="2" s="1" a="1"/>
  <c r="A50" i="2" s="1"/>
  <c r="D17" i="1" l="1" a="1"/>
  <c r="D17" i="1" s="1"/>
  <c r="J53" i="2"/>
  <c r="J52" i="2"/>
  <c r="J51" i="2"/>
  <c r="A53" i="2" s="1" a="1"/>
  <c r="A53" i="2" s="1"/>
  <c r="D18" i="1" l="1" a="1"/>
  <c r="D18" i="1" s="1"/>
  <c r="J56" i="2"/>
  <c r="J55" i="2"/>
  <c r="J54" i="2"/>
  <c r="A56" i="2" s="1" a="1"/>
  <c r="A56" i="2" s="1"/>
  <c r="D19" i="1" l="1" a="1"/>
  <c r="D19" i="1" s="1"/>
  <c r="J59" i="2"/>
  <c r="J58" i="2"/>
  <c r="J57" i="2"/>
  <c r="A59" i="2" s="1" a="1"/>
  <c r="A59" i="2" s="1"/>
  <c r="D20" i="1" l="1" a="1"/>
  <c r="D20" i="1" s="1"/>
  <c r="J62" i="2"/>
  <c r="J61" i="2"/>
  <c r="J60" i="2"/>
  <c r="A62" i="2" s="1" a="1"/>
  <c r="A62" i="2" s="1"/>
  <c r="D21" i="1" l="1" a="1"/>
  <c r="D21" i="1" s="1"/>
  <c r="J63" i="2"/>
  <c r="J65" i="2"/>
  <c r="J64" i="2"/>
  <c r="A65" i="2" s="1" a="1"/>
  <c r="A65" i="2" s="1"/>
  <c r="D22" i="1" l="1" a="1"/>
  <c r="D22" i="1" s="1"/>
  <c r="J68" i="2"/>
  <c r="J66" i="2"/>
  <c r="A68" i="2" s="1" a="1"/>
  <c r="A68" i="2" s="1"/>
  <c r="J67" i="2"/>
  <c r="D23" i="1" l="1" a="1"/>
  <c r="D23" i="1" s="1"/>
  <c r="J71" i="2"/>
  <c r="J70" i="2"/>
  <c r="J69" i="2"/>
  <c r="A71" i="2" s="1" a="1"/>
  <c r="A71" i="2" s="1"/>
  <c r="D24" i="1" l="1" a="1"/>
  <c r="D24" i="1" s="1"/>
  <c r="J72" i="2"/>
  <c r="A74" i="2" s="1" a="1"/>
  <c r="A74" i="2" s="1"/>
  <c r="J75" i="2" s="1"/>
  <c r="D25" i="1" a="1"/>
  <c r="D25" i="1" s="1"/>
  <c r="J74" i="2"/>
  <c r="J73" i="2"/>
  <c r="J77" i="2"/>
  <c r="J76" i="2"/>
  <c r="A77" i="2" l="1" a="1"/>
  <c r="A77" i="2" s="1"/>
  <c r="D26" i="1" s="1" a="1"/>
  <c r="D26" i="1" s="1"/>
  <c r="J79" i="2"/>
  <c r="J78" i="2"/>
  <c r="A80" i="2" s="1" a="1"/>
  <c r="A80" i="2" s="1"/>
  <c r="J80" i="2" l="1"/>
  <c r="D27" i="1" a="1"/>
  <c r="D27" i="1" s="1"/>
  <c r="J83" i="2"/>
  <c r="J82" i="2"/>
  <c r="J81" i="2"/>
  <c r="A83" i="2" s="1" a="1"/>
  <c r="A83" i="2" s="1"/>
  <c r="D28" i="1" l="1" a="1"/>
  <c r="D28" i="1" s="1"/>
  <c r="J86" i="2"/>
  <c r="J85" i="2"/>
  <c r="J84" i="2"/>
  <c r="A86" i="2" s="1" a="1"/>
  <c r="A86" i="2" s="1"/>
  <c r="D29" i="1" l="1" a="1"/>
  <c r="D29" i="1" s="1"/>
  <c r="J89" i="2"/>
  <c r="J88" i="2"/>
  <c r="J87" i="2"/>
  <c r="A89" i="2" s="1" a="1"/>
  <c r="A89" i="2" s="1"/>
  <c r="D30" i="1" l="1" a="1"/>
  <c r="D30" i="1" s="1"/>
  <c r="J92" i="2"/>
  <c r="J91" i="2"/>
  <c r="J90" i="2"/>
  <c r="A92" i="2" s="1" a="1"/>
  <c r="A92" i="2" s="1"/>
  <c r="D31" i="1" l="1" a="1"/>
  <c r="D31" i="1" s="1"/>
  <c r="J93" i="2"/>
  <c r="J95" i="2"/>
  <c r="J94" i="2"/>
  <c r="A95" i="2" s="1" a="1"/>
  <c r="A95" i="2" s="1"/>
  <c r="D32" i="1" l="1" a="1"/>
  <c r="D32" i="1" s="1"/>
  <c r="J96" i="2"/>
  <c r="J98" i="2"/>
  <c r="J97" i="2"/>
  <c r="A98" i="2" a="1"/>
  <c r="A98" i="2" s="1"/>
  <c r="D33" i="1" l="1" a="1"/>
  <c r="D33" i="1" s="1"/>
  <c r="J99" i="2"/>
  <c r="J100" i="2"/>
  <c r="J101" i="2"/>
  <c r="A101" i="2" a="1"/>
  <c r="A101" i="2" s="1"/>
  <c r="D34" i="1" l="1" a="1"/>
  <c r="D34" i="1" s="1"/>
  <c r="J102" i="2"/>
  <c r="J103" i="2"/>
  <c r="J104" i="2"/>
  <c r="A104" i="2" a="1"/>
  <c r="A104" i="2" s="1"/>
  <c r="D35" i="1" l="1" a="1"/>
  <c r="D35" i="1" s="1"/>
  <c r="J105" i="2"/>
  <c r="A107" i="2" s="1" a="1"/>
  <c r="A107" i="2" s="1"/>
  <c r="D36" i="1" a="1"/>
  <c r="D36" i="1" s="1"/>
  <c r="J107" i="2"/>
  <c r="J106" i="2"/>
  <c r="J108" i="2"/>
  <c r="J109" i="2"/>
  <c r="J110" i="2"/>
  <c r="A110" i="2" a="1"/>
  <c r="A110" i="2" s="1"/>
  <c r="D37" i="1" s="1" a="1"/>
  <c r="D37" i="1" s="1"/>
  <c r="J111" i="2" l="1"/>
  <c r="A113" i="2" s="1" a="1"/>
  <c r="A113" i="2" s="1"/>
  <c r="J112" i="2"/>
  <c r="J113" i="2"/>
  <c r="D38" i="1" l="1" a="1"/>
  <c r="D38" i="1" s="1"/>
  <c r="J114" i="2"/>
  <c r="A116" i="2" s="1" a="1"/>
  <c r="A116" i="2" s="1"/>
  <c r="J115" i="2"/>
  <c r="J116" i="2"/>
  <c r="D39" i="1" l="1" a="1"/>
  <c r="D39" i="1" s="1"/>
  <c r="J117" i="2"/>
  <c r="A119" i="2" s="1" a="1"/>
  <c r="A119" i="2" s="1"/>
  <c r="J118" i="2"/>
  <c r="J119" i="2"/>
  <c r="D40" i="1" l="1" a="1"/>
  <c r="D40" i="1" s="1"/>
  <c r="J120" i="2"/>
  <c r="J122" i="2"/>
  <c r="J121" i="2"/>
  <c r="A122" i="2" a="1"/>
  <c r="A122" i="2" s="1"/>
  <c r="D41" i="1" l="1" a="1"/>
  <c r="D41" i="1" s="1"/>
  <c r="J123" i="2"/>
  <c r="J125" i="2"/>
  <c r="J124" i="2"/>
  <c r="A125" i="2" s="1" a="1"/>
  <c r="A125" i="2" s="1"/>
  <c r="D42" i="1" l="1" a="1"/>
  <c r="D42" i="1" s="1"/>
  <c r="J128" i="2"/>
  <c r="J127" i="2"/>
  <c r="J126" i="2"/>
  <c r="A128" i="2" s="1" a="1"/>
  <c r="A128" i="2" s="1"/>
  <c r="J131" i="2" l="1"/>
  <c r="J130" i="2"/>
  <c r="J129" i="2"/>
  <c r="A131" i="2" s="1" a="1"/>
  <c r="A131" i="2" s="1"/>
  <c r="J134" i="2" l="1"/>
  <c r="J133" i="2"/>
  <c r="J132" i="2"/>
  <c r="A134" i="2" s="1" a="1"/>
  <c r="A134" i="2" s="1"/>
  <c r="J137" i="2" l="1"/>
  <c r="J136" i="2"/>
  <c r="J135" i="2"/>
  <c r="A137" i="2" s="1" a="1"/>
  <c r="A137" i="2" s="1"/>
  <c r="J140" i="2" l="1"/>
  <c r="J139" i="2"/>
  <c r="J138" i="2"/>
  <c r="A140" i="2" s="1" a="1"/>
  <c r="A140" i="2" s="1"/>
  <c r="J143" i="2" l="1"/>
  <c r="J142" i="2"/>
  <c r="J141" i="2"/>
  <c r="A143" i="2" s="1" a="1"/>
  <c r="A143" i="2" s="1"/>
  <c r="J146" i="2" l="1"/>
  <c r="J145" i="2"/>
  <c r="J144" i="2"/>
  <c r="A146" i="2" s="1" a="1"/>
  <c r="A146" i="2" s="1"/>
  <c r="J149" i="2" l="1"/>
  <c r="J148" i="2"/>
  <c r="J147" i="2"/>
  <c r="A149" i="2" s="1" a="1"/>
  <c r="A149" i="2" s="1"/>
  <c r="J152" i="2" l="1"/>
  <c r="J151" i="2"/>
  <c r="J150" i="2"/>
  <c r="A152" i="2" s="1" a="1"/>
  <c r="A152" i="2" s="1"/>
  <c r="J153" i="2" l="1"/>
  <c r="J155" i="2"/>
  <c r="J154" i="2"/>
  <c r="A155" i="2" s="1" a="1"/>
  <c r="A155" i="2" s="1"/>
  <c r="J158" i="2" l="1"/>
  <c r="J157" i="2"/>
  <c r="J156" i="2"/>
  <c r="A158" i="2" s="1" a="1"/>
  <c r="A158" i="2" s="1"/>
  <c r="J161" i="2" l="1"/>
  <c r="J160" i="2"/>
  <c r="J159" i="2"/>
  <c r="A161" i="2" s="1" a="1"/>
  <c r="A161" i="2" s="1"/>
  <c r="J164" i="2" l="1"/>
  <c r="J163" i="2"/>
  <c r="J162" i="2"/>
  <c r="A164" i="2" a="1"/>
  <c r="A164" i="2" s="1"/>
  <c r="J167" i="2" l="1"/>
  <c r="J166" i="2"/>
  <c r="J165" i="2"/>
  <c r="A167" i="2" s="1" a="1"/>
  <c r="A167" i="2" s="1"/>
  <c r="J170" i="2" l="1"/>
  <c r="J169" i="2"/>
  <c r="J168" i="2"/>
  <c r="A170" i="2" a="1"/>
  <c r="A170" i="2" s="1"/>
  <c r="J173" i="2" l="1"/>
  <c r="J172" i="2"/>
  <c r="J171" i="2"/>
  <c r="A173" i="2" s="1" a="1"/>
  <c r="A173" i="2" s="1"/>
  <c r="J176" i="2" l="1"/>
  <c r="J175" i="2"/>
  <c r="J174" i="2"/>
  <c r="A176" i="2" s="1" a="1"/>
  <c r="A176" i="2" s="1"/>
  <c r="J179" i="2" l="1"/>
  <c r="J178" i="2"/>
  <c r="J177" i="2"/>
  <c r="A179" i="2" s="1" a="1"/>
  <c r="A179" i="2" s="1"/>
  <c r="J182" i="2" l="1"/>
  <c r="J181" i="2"/>
  <c r="J180" i="2"/>
  <c r="A182" i="2" s="1" a="1"/>
  <c r="A182" i="2" s="1"/>
  <c r="J183" i="2" l="1"/>
  <c r="J184" i="2"/>
  <c r="J185" i="2"/>
  <c r="A185" i="2" a="1"/>
  <c r="A185" i="2" s="1"/>
  <c r="J188" i="2" l="1"/>
  <c r="J187" i="2"/>
  <c r="J186" i="2"/>
  <c r="A188" i="2" s="1" a="1"/>
  <c r="A188" i="2" s="1"/>
  <c r="J191" i="2" l="1"/>
  <c r="J190" i="2"/>
  <c r="J189" i="2"/>
  <c r="A191" i="2" s="1" a="1"/>
  <c r="A191" i="2" s="1"/>
  <c r="J194" i="2" l="1"/>
  <c r="J193" i="2"/>
  <c r="J192" i="2"/>
  <c r="A194" i="2" s="1" a="1"/>
  <c r="A194" i="2" s="1"/>
  <c r="J197" i="2" l="1"/>
  <c r="J196" i="2"/>
  <c r="J195" i="2"/>
  <c r="A197" i="2" s="1" a="1"/>
  <c r="A197" i="2" s="1"/>
  <c r="J200" i="2" l="1"/>
  <c r="J199" i="2"/>
  <c r="J198" i="2"/>
  <c r="A200" i="2" s="1" a="1"/>
  <c r="A200" i="2" s="1"/>
  <c r="J203" i="2" l="1"/>
  <c r="J202" i="2"/>
  <c r="J201" i="2"/>
  <c r="A203" i="2" s="1" a="1"/>
  <c r="A203" i="2" s="1"/>
  <c r="J206" i="2" l="1"/>
  <c r="J205" i="2"/>
  <c r="J204" i="2"/>
  <c r="A206" i="2" s="1" a="1"/>
  <c r="A206" i="2" s="1"/>
  <c r="J209" i="2" l="1"/>
  <c r="J208" i="2"/>
  <c r="J207" i="2"/>
  <c r="A209" i="2" s="1" a="1"/>
  <c r="A209" i="2" s="1"/>
  <c r="J212" i="2" l="1"/>
  <c r="J211" i="2"/>
  <c r="J210" i="2"/>
  <c r="A212" i="2" s="1" a="1"/>
  <c r="A212" i="2" s="1"/>
  <c r="J213" i="2" l="1"/>
  <c r="A215" i="2" s="1" a="1"/>
  <c r="A215" i="2" s="1"/>
  <c r="J214" i="2"/>
  <c r="J215" i="2"/>
  <c r="J216" i="2"/>
  <c r="A218" i="2" s="1" a="1"/>
  <c r="A218" i="2" s="1"/>
  <c r="J217" i="2"/>
  <c r="J218" i="2"/>
  <c r="D43" i="1" a="1"/>
  <c r="D43" i="1" s="1"/>
  <c r="D44" i="1" a="1"/>
  <c r="D44" i="1" s="1"/>
  <c r="D45" i="1" a="1"/>
  <c r="D45" i="1" s="1"/>
  <c r="D46" i="1" a="1"/>
  <c r="D46" i="1" s="1"/>
  <c r="D47" i="1" a="1"/>
  <c r="D47" i="1" s="1"/>
  <c r="D48" i="1" a="1"/>
  <c r="D48" i="1" s="1"/>
  <c r="D49" i="1" a="1"/>
  <c r="D49" i="1" s="1"/>
  <c r="D50" i="1" a="1"/>
  <c r="D50" i="1" s="1"/>
  <c r="D51" i="1" a="1"/>
  <c r="D51" i="1" s="1"/>
  <c r="D52" i="1" a="1"/>
  <c r="D52" i="1" s="1"/>
  <c r="E13" i="1" a="1"/>
  <c r="E13" i="1" s="1"/>
  <c r="F13" i="1" a="1"/>
  <c r="F13" i="1" s="1"/>
  <c r="G13" i="1" a="1"/>
  <c r="G13" i="1" s="1"/>
  <c r="H13" i="1" a="1"/>
  <c r="H13" i="1" s="1"/>
  <c r="I13" i="1" a="1"/>
  <c r="I13" i="1" s="1"/>
  <c r="J13" i="1" a="1"/>
  <c r="J13" i="1" s="1"/>
  <c r="E14" i="1" a="1"/>
  <c r="E14" i="1" s="1"/>
  <c r="F14" i="1" a="1"/>
  <c r="F14" i="1" s="1"/>
  <c r="G14" i="1" a="1"/>
  <c r="G14" i="1" s="1"/>
  <c r="H14" i="1" a="1"/>
  <c r="H14" i="1" s="1"/>
  <c r="I14" i="1" a="1"/>
  <c r="I14" i="1" s="1"/>
  <c r="J14" i="1" a="1"/>
  <c r="J14" i="1" s="1"/>
  <c r="K13" i="1" a="1"/>
  <c r="K13" i="1" s="1"/>
  <c r="K14" i="1" a="1"/>
  <c r="K14" i="1" s="1"/>
  <c r="E15" i="1" a="1"/>
  <c r="E15" i="1" s="1"/>
  <c r="F15" i="1" a="1"/>
  <c r="F15" i="1" s="1"/>
  <c r="G15" i="1" a="1"/>
  <c r="G15" i="1" s="1"/>
  <c r="H15" i="1" a="1"/>
  <c r="H15" i="1" s="1"/>
  <c r="I15" i="1" a="1"/>
  <c r="I15" i="1" s="1"/>
  <c r="J15" i="1" a="1"/>
  <c r="J15" i="1" s="1"/>
  <c r="K15" i="1" a="1"/>
  <c r="K15" i="1" s="1"/>
  <c r="E16" i="1" a="1"/>
  <c r="E16" i="1" s="1"/>
  <c r="F16" i="1" a="1"/>
  <c r="F16" i="1" s="1"/>
  <c r="G16" i="1" a="1"/>
  <c r="G16" i="1" s="1"/>
  <c r="H16" i="1" a="1"/>
  <c r="H16" i="1" s="1"/>
  <c r="I16" i="1" a="1"/>
  <c r="I16" i="1" s="1"/>
  <c r="J16" i="1" a="1"/>
  <c r="J16" i="1" s="1"/>
  <c r="K16" i="1" a="1"/>
  <c r="K16" i="1" s="1"/>
  <c r="E17" i="1" a="1"/>
  <c r="E17" i="1" s="1"/>
  <c r="F17" i="1" a="1"/>
  <c r="F17" i="1" s="1"/>
  <c r="G17" i="1" a="1"/>
  <c r="G17" i="1" s="1"/>
  <c r="H17" i="1" a="1"/>
  <c r="H17" i="1" s="1"/>
  <c r="I17" i="1" a="1"/>
  <c r="I17" i="1" s="1"/>
  <c r="J17" i="1" a="1"/>
  <c r="J17" i="1" s="1"/>
  <c r="K17" i="1" a="1"/>
  <c r="K17" i="1" s="1"/>
  <c r="E18" i="1" a="1"/>
  <c r="E18" i="1" s="1"/>
  <c r="F18" i="1" a="1"/>
  <c r="F18" i="1" s="1"/>
  <c r="G18" i="1" a="1"/>
  <c r="G18" i="1" s="1"/>
  <c r="H18" i="1" a="1"/>
  <c r="H18" i="1" s="1"/>
  <c r="I18" i="1" a="1"/>
  <c r="I18" i="1" s="1"/>
  <c r="J18" i="1" a="1"/>
  <c r="J18" i="1" s="1"/>
  <c r="K18" i="1" a="1"/>
  <c r="K18" i="1" s="1"/>
  <c r="E19" i="1" a="1"/>
  <c r="E19" i="1" s="1"/>
  <c r="F19" i="1" a="1"/>
  <c r="F19" i="1" s="1"/>
  <c r="G19" i="1" a="1"/>
  <c r="G19" i="1" s="1"/>
  <c r="H19" i="1" a="1"/>
  <c r="H19" i="1" s="1"/>
  <c r="I19" i="1" a="1"/>
  <c r="I19" i="1" s="1"/>
  <c r="J19" i="1" a="1"/>
  <c r="J19" i="1" s="1"/>
  <c r="K19" i="1" a="1"/>
  <c r="K19" i="1" s="1"/>
  <c r="E20" i="1" a="1"/>
  <c r="E20" i="1" s="1"/>
  <c r="F20" i="1" a="1"/>
  <c r="F20" i="1" s="1"/>
  <c r="G20" i="1" a="1"/>
  <c r="G20" i="1" s="1"/>
  <c r="H20" i="1" a="1"/>
  <c r="H20" i="1" s="1"/>
  <c r="I20" i="1" a="1"/>
  <c r="I20" i="1" s="1"/>
  <c r="J20" i="1" a="1"/>
  <c r="J20" i="1" s="1"/>
  <c r="K20" i="1" a="1"/>
  <c r="K20" i="1" s="1"/>
  <c r="J21" i="1" a="1"/>
  <c r="J21" i="1" s="1"/>
  <c r="I21" i="1" a="1"/>
  <c r="I21" i="1" s="1"/>
  <c r="H21" i="1" a="1"/>
  <c r="H21" i="1" s="1"/>
  <c r="G21" i="1" a="1"/>
  <c r="G21" i="1" s="1"/>
  <c r="F21" i="1" a="1"/>
  <c r="F21" i="1" s="1"/>
  <c r="E21" i="1" a="1"/>
  <c r="E21" i="1" s="1"/>
  <c r="K21" i="1" a="1"/>
  <c r="K21" i="1" s="1"/>
  <c r="J22" i="1" a="1"/>
  <c r="J22" i="1" s="1"/>
  <c r="I22" i="1" a="1"/>
  <c r="I22" i="1" s="1"/>
  <c r="H22" i="1" a="1"/>
  <c r="H22" i="1" s="1"/>
  <c r="G22" i="1" a="1"/>
  <c r="G22" i="1" s="1"/>
  <c r="F22" i="1" a="1"/>
  <c r="F22" i="1" s="1"/>
  <c r="E22" i="1" a="1"/>
  <c r="E22" i="1" s="1"/>
  <c r="K22" i="1" a="1"/>
  <c r="K22" i="1" s="1"/>
  <c r="J23" i="1" a="1"/>
  <c r="J23" i="1" s="1"/>
  <c r="I23" i="1" a="1"/>
  <c r="I23" i="1" s="1"/>
  <c r="H23" i="1" a="1"/>
  <c r="H23" i="1" s="1"/>
  <c r="G23" i="1" a="1"/>
  <c r="G23" i="1" s="1"/>
  <c r="F23" i="1" a="1"/>
  <c r="F23" i="1" s="1"/>
  <c r="E23" i="1" a="1"/>
  <c r="E23" i="1" s="1"/>
  <c r="K23" i="1" a="1"/>
  <c r="K23" i="1" s="1"/>
  <c r="J24" i="1" a="1"/>
  <c r="J24" i="1" s="1"/>
  <c r="I24" i="1" a="1"/>
  <c r="I24" i="1" s="1"/>
  <c r="H24" i="1" a="1"/>
  <c r="H24" i="1" s="1"/>
  <c r="G24" i="1" a="1"/>
  <c r="G24" i="1" s="1"/>
  <c r="F24" i="1" a="1"/>
  <c r="F24" i="1" s="1"/>
  <c r="E24" i="1" a="1"/>
  <c r="E24" i="1" s="1"/>
  <c r="K24" i="1" a="1"/>
  <c r="K24" i="1" s="1"/>
  <c r="J26" i="1" a="1"/>
  <c r="J26" i="1" s="1"/>
  <c r="I26" i="1" a="1"/>
  <c r="I26" i="1" s="1"/>
  <c r="H26" i="1" a="1"/>
  <c r="H26" i="1" s="1"/>
  <c r="G26" i="1" a="1"/>
  <c r="G26" i="1" s="1"/>
  <c r="F26" i="1" a="1"/>
  <c r="F26" i="1" s="1"/>
  <c r="E26" i="1" a="1"/>
  <c r="E26" i="1" s="1"/>
  <c r="J25" i="1" a="1"/>
  <c r="J25" i="1" s="1"/>
  <c r="I25" i="1" a="1"/>
  <c r="I25" i="1" s="1"/>
  <c r="H25" i="1" a="1"/>
  <c r="H25" i="1" s="1"/>
  <c r="G25" i="1" a="1"/>
  <c r="G25" i="1" s="1"/>
  <c r="F25" i="1" a="1"/>
  <c r="F25" i="1" s="1"/>
  <c r="E25" i="1" a="1"/>
  <c r="E25" i="1" s="1"/>
  <c r="K26" i="1" a="1"/>
  <c r="K26" i="1" s="1"/>
  <c r="K25" i="1" a="1"/>
  <c r="K25" i="1" s="1"/>
  <c r="J27" i="1" a="1"/>
  <c r="J27" i="1" s="1"/>
  <c r="I27" i="1" a="1"/>
  <c r="I27" i="1" s="1"/>
  <c r="H27" i="1" a="1"/>
  <c r="H27" i="1" s="1"/>
  <c r="G27" i="1" a="1"/>
  <c r="G27" i="1" s="1"/>
  <c r="F27" i="1" a="1"/>
  <c r="F27" i="1" s="1"/>
  <c r="E27" i="1" a="1"/>
  <c r="E27" i="1" s="1"/>
  <c r="K27" i="1" a="1"/>
  <c r="K27" i="1" s="1"/>
  <c r="J28" i="1" a="1"/>
  <c r="J28" i="1" s="1"/>
  <c r="I28" i="1" a="1"/>
  <c r="I28" i="1" s="1"/>
  <c r="H28" i="1" a="1"/>
  <c r="H28" i="1" s="1"/>
  <c r="G28" i="1" a="1"/>
  <c r="G28" i="1" s="1"/>
  <c r="F28" i="1" a="1"/>
  <c r="F28" i="1" s="1"/>
  <c r="E28" i="1" a="1"/>
  <c r="E28" i="1" s="1"/>
  <c r="K28" i="1" a="1"/>
  <c r="K28" i="1" s="1"/>
  <c r="J29" i="1" a="1"/>
  <c r="J29" i="1" s="1"/>
  <c r="I29" i="1" a="1"/>
  <c r="I29" i="1" s="1"/>
  <c r="H29" i="1" a="1"/>
  <c r="H29" i="1" s="1"/>
  <c r="G29" i="1" a="1"/>
  <c r="G29" i="1" s="1"/>
  <c r="F29" i="1" a="1"/>
  <c r="F29" i="1" s="1"/>
  <c r="E29" i="1" a="1"/>
  <c r="E29" i="1" s="1"/>
  <c r="K29" i="1" a="1"/>
  <c r="K29" i="1" s="1"/>
  <c r="J30" i="1" a="1"/>
  <c r="J30" i="1" s="1"/>
  <c r="I30" i="1" a="1"/>
  <c r="I30" i="1" s="1"/>
  <c r="H30" i="1" a="1"/>
  <c r="H30" i="1" s="1"/>
  <c r="G30" i="1" a="1"/>
  <c r="G30" i="1" s="1"/>
  <c r="F30" i="1" a="1"/>
  <c r="F30" i="1" s="1"/>
  <c r="E30" i="1" a="1"/>
  <c r="E30" i="1" s="1"/>
  <c r="K30" i="1" a="1"/>
  <c r="K30" i="1" s="1"/>
  <c r="J31" i="1" a="1"/>
  <c r="J31" i="1" s="1"/>
  <c r="I31" i="1" a="1"/>
  <c r="I31" i="1" s="1"/>
  <c r="H31" i="1" a="1"/>
  <c r="H31" i="1" s="1"/>
  <c r="G31" i="1" a="1"/>
  <c r="G31" i="1" s="1"/>
  <c r="F31" i="1" a="1"/>
  <c r="F31" i="1" s="1"/>
  <c r="E31" i="1" a="1"/>
  <c r="E31" i="1" s="1"/>
  <c r="K31" i="1" a="1"/>
  <c r="K31" i="1" s="1"/>
  <c r="J32" i="1" a="1"/>
  <c r="J32" i="1" s="1"/>
  <c r="I32" i="1" a="1"/>
  <c r="I32" i="1" s="1"/>
  <c r="H32" i="1" a="1"/>
  <c r="H32" i="1" s="1"/>
  <c r="G32" i="1" a="1"/>
  <c r="G32" i="1" s="1"/>
  <c r="F32" i="1" a="1"/>
  <c r="F32" i="1" s="1"/>
  <c r="E32" i="1" a="1"/>
  <c r="E32" i="1" s="1"/>
  <c r="K32" i="1" a="1"/>
  <c r="K32" i="1" s="1"/>
  <c r="J33" i="1" a="1"/>
  <c r="J33" i="1" s="1"/>
  <c r="I33" i="1" a="1"/>
  <c r="I33" i="1" s="1"/>
  <c r="H33" i="1" a="1"/>
  <c r="H33" i="1" s="1"/>
  <c r="G33" i="1" a="1"/>
  <c r="G33" i="1" s="1"/>
  <c r="F33" i="1" a="1"/>
  <c r="F33" i="1" s="1"/>
  <c r="E33" i="1" a="1"/>
  <c r="E33" i="1" s="1"/>
  <c r="K33" i="1" a="1"/>
  <c r="K33" i="1" s="1"/>
  <c r="J34" i="1" a="1"/>
  <c r="J34" i="1" s="1"/>
  <c r="I34" i="1" a="1"/>
  <c r="I34" i="1" s="1"/>
  <c r="H34" i="1" a="1"/>
  <c r="H34" i="1" s="1"/>
  <c r="G34" i="1" a="1"/>
  <c r="G34" i="1" s="1"/>
  <c r="F34" i="1" a="1"/>
  <c r="F34" i="1" s="1"/>
  <c r="E34" i="1" a="1"/>
  <c r="E34" i="1" s="1"/>
  <c r="K34" i="1" a="1"/>
  <c r="K34" i="1" s="1"/>
  <c r="J36" i="1" a="1"/>
  <c r="J36" i="1" s="1"/>
  <c r="I36" i="1" a="1"/>
  <c r="I36" i="1" s="1"/>
  <c r="H36" i="1" a="1"/>
  <c r="H36" i="1" s="1"/>
  <c r="G36" i="1" a="1"/>
  <c r="G36" i="1" s="1"/>
  <c r="F36" i="1" a="1"/>
  <c r="F36" i="1" s="1"/>
  <c r="E36" i="1" a="1"/>
  <c r="E36" i="1" s="1"/>
  <c r="J35" i="1" a="1"/>
  <c r="J35" i="1" s="1"/>
  <c r="I35" i="1" a="1"/>
  <c r="I35" i="1" s="1"/>
  <c r="H35" i="1" a="1"/>
  <c r="H35" i="1" s="1"/>
  <c r="G35" i="1" a="1"/>
  <c r="G35" i="1" s="1"/>
  <c r="F35" i="1" a="1"/>
  <c r="F35" i="1" s="1"/>
  <c r="E35" i="1" a="1"/>
  <c r="E35" i="1" s="1"/>
  <c r="K36" i="1" a="1"/>
  <c r="K36" i="1" s="1"/>
  <c r="K35" i="1" a="1"/>
  <c r="K35" i="1" s="1"/>
  <c r="J37" i="1" a="1"/>
  <c r="J37" i="1" s="1"/>
  <c r="I37" i="1" a="1"/>
  <c r="I37" i="1" s="1"/>
  <c r="H37" i="1" a="1"/>
  <c r="H37" i="1" s="1"/>
  <c r="G37" i="1" a="1"/>
  <c r="G37" i="1" s="1"/>
  <c r="F37" i="1" a="1"/>
  <c r="F37" i="1" s="1"/>
  <c r="E37" i="1" a="1"/>
  <c r="E37" i="1" s="1"/>
  <c r="K37" i="1" a="1"/>
  <c r="K37" i="1" s="1"/>
  <c r="J38" i="1" a="1"/>
  <c r="J38" i="1" s="1"/>
  <c r="I38" i="1" a="1"/>
  <c r="I38" i="1" s="1"/>
  <c r="H38" i="1" a="1"/>
  <c r="H38" i="1" s="1"/>
  <c r="G38" i="1" a="1"/>
  <c r="G38" i="1" s="1"/>
  <c r="F38" i="1" a="1"/>
  <c r="F38" i="1" s="1"/>
  <c r="E38" i="1" a="1"/>
  <c r="E38" i="1" s="1"/>
  <c r="K38" i="1" a="1"/>
  <c r="K38" i="1" s="1"/>
  <c r="J39" i="1" a="1"/>
  <c r="J39" i="1" s="1"/>
  <c r="I39" i="1" a="1"/>
  <c r="I39" i="1" s="1"/>
  <c r="H39" i="1" a="1"/>
  <c r="H39" i="1" s="1"/>
  <c r="G39" i="1" a="1"/>
  <c r="G39" i="1" s="1"/>
  <c r="F39" i="1" a="1"/>
  <c r="F39" i="1" s="1"/>
  <c r="E39" i="1" a="1"/>
  <c r="E39" i="1" s="1"/>
  <c r="K39" i="1" a="1"/>
  <c r="K39" i="1" s="1"/>
  <c r="J40" i="1" a="1"/>
  <c r="J40" i="1" s="1"/>
  <c r="I40" i="1" a="1"/>
  <c r="I40" i="1" s="1"/>
  <c r="H40" i="1" a="1"/>
  <c r="H40" i="1" s="1"/>
  <c r="G40" i="1" a="1"/>
  <c r="G40" i="1" s="1"/>
  <c r="F40" i="1" a="1"/>
  <c r="F40" i="1" s="1"/>
  <c r="E40" i="1" a="1"/>
  <c r="E40" i="1" s="1"/>
  <c r="K40" i="1" a="1"/>
  <c r="K40" i="1" s="1"/>
  <c r="J41" i="1" a="1"/>
  <c r="J41" i="1" s="1"/>
  <c r="I41" i="1" a="1"/>
  <c r="I41" i="1" s="1"/>
  <c r="H41" i="1" a="1"/>
  <c r="H41" i="1" s="1"/>
  <c r="G41" i="1" a="1"/>
  <c r="G41" i="1" s="1"/>
  <c r="F41" i="1" a="1"/>
  <c r="F41" i="1" s="1"/>
  <c r="E41" i="1" a="1"/>
  <c r="E41" i="1" s="1"/>
  <c r="K41" i="1" a="1"/>
  <c r="K41" i="1" s="1"/>
  <c r="J42" i="1" a="1"/>
  <c r="J42" i="1" s="1"/>
  <c r="I42" i="1" a="1"/>
  <c r="I42" i="1" s="1"/>
  <c r="H42" i="1" a="1"/>
  <c r="H42" i="1" s="1"/>
  <c r="G42" i="1" a="1"/>
  <c r="G42" i="1" s="1"/>
  <c r="F42" i="1" a="1"/>
  <c r="F42" i="1" s="1"/>
  <c r="E42" i="1" a="1"/>
  <c r="E42" i="1" s="1"/>
  <c r="K42" i="1" a="1"/>
  <c r="K42" i="1" s="1"/>
  <c r="J43" i="1" a="1"/>
  <c r="J43" i="1" s="1"/>
  <c r="I43" i="1" a="1"/>
  <c r="I43" i="1" s="1"/>
  <c r="H43" i="1" a="1"/>
  <c r="H43" i="1" s="1"/>
  <c r="G43" i="1" a="1"/>
  <c r="G43" i="1" s="1"/>
  <c r="F43" i="1" a="1"/>
  <c r="F43" i="1" s="1"/>
  <c r="E43" i="1" a="1"/>
  <c r="E43" i="1" s="1"/>
  <c r="K43" i="1" a="1"/>
  <c r="K43" i="1" s="1"/>
  <c r="J44" i="1" a="1"/>
  <c r="J44" i="1" s="1"/>
  <c r="I44" i="1" a="1"/>
  <c r="I44" i="1" s="1"/>
  <c r="H44" i="1" a="1"/>
  <c r="H44" i="1" s="1"/>
  <c r="G44" i="1" a="1"/>
  <c r="G44" i="1" s="1"/>
  <c r="F44" i="1" a="1"/>
  <c r="F44" i="1" s="1"/>
  <c r="E44" i="1" a="1"/>
  <c r="E44" i="1" s="1"/>
  <c r="K44" i="1" a="1"/>
  <c r="K44" i="1" s="1"/>
  <c r="J45" i="1" a="1"/>
  <c r="J45" i="1" s="1"/>
  <c r="I45" i="1" a="1"/>
  <c r="I45" i="1" s="1"/>
  <c r="H45" i="1" a="1"/>
  <c r="H45" i="1" s="1"/>
  <c r="G45" i="1" a="1"/>
  <c r="G45" i="1" s="1"/>
  <c r="F45" i="1" a="1"/>
  <c r="F45" i="1" s="1"/>
  <c r="E45" i="1" a="1"/>
  <c r="E45" i="1" s="1"/>
  <c r="K45" i="1" a="1"/>
  <c r="K45" i="1" s="1"/>
  <c r="J46" i="1" a="1"/>
  <c r="J46" i="1" s="1"/>
  <c r="I46" i="1" a="1"/>
  <c r="I46" i="1" s="1"/>
  <c r="H46" i="1" a="1"/>
  <c r="H46" i="1" s="1"/>
  <c r="G46" i="1" a="1"/>
  <c r="G46" i="1" s="1"/>
  <c r="F46" i="1" a="1"/>
  <c r="F46" i="1" s="1"/>
  <c r="E46" i="1" a="1"/>
  <c r="E46" i="1" s="1"/>
  <c r="K46" i="1" a="1"/>
  <c r="K46" i="1" s="1"/>
  <c r="J47" i="1" a="1"/>
  <c r="J47" i="1" s="1"/>
  <c r="I47" i="1" a="1"/>
  <c r="I47" i="1" s="1"/>
  <c r="H47" i="1" a="1"/>
  <c r="H47" i="1" s="1"/>
  <c r="G47" i="1" a="1"/>
  <c r="G47" i="1" s="1"/>
  <c r="F47" i="1" a="1"/>
  <c r="F47" i="1" s="1"/>
  <c r="E47" i="1" a="1"/>
  <c r="E47" i="1" s="1"/>
  <c r="K47" i="1" a="1"/>
  <c r="K47" i="1" s="1"/>
  <c r="J48" i="1" a="1"/>
  <c r="J48" i="1" s="1"/>
  <c r="I48" i="1" a="1"/>
  <c r="I48" i="1" s="1"/>
  <c r="H48" i="1" a="1"/>
  <c r="H48" i="1" s="1"/>
  <c r="G48" i="1" a="1"/>
  <c r="G48" i="1" s="1"/>
  <c r="F48" i="1" a="1"/>
  <c r="F48" i="1" s="1"/>
  <c r="E48" i="1" a="1"/>
  <c r="E48" i="1" s="1"/>
  <c r="K48" i="1" a="1"/>
  <c r="K48" i="1" s="1"/>
  <c r="J49" i="1" a="1"/>
  <c r="J49" i="1" s="1"/>
  <c r="I49" i="1" a="1"/>
  <c r="I49" i="1" s="1"/>
  <c r="H49" i="1" a="1"/>
  <c r="H49" i="1" s="1"/>
  <c r="G49" i="1" a="1"/>
  <c r="G49" i="1" s="1"/>
  <c r="F49" i="1" a="1"/>
  <c r="F49" i="1" s="1"/>
  <c r="E49" i="1" a="1"/>
  <c r="E49" i="1" s="1"/>
  <c r="K49" i="1" a="1"/>
  <c r="K49" i="1" s="1"/>
  <c r="J50" i="1" a="1"/>
  <c r="J50" i="1" s="1"/>
  <c r="I50" i="1" a="1"/>
  <c r="I50" i="1" s="1"/>
  <c r="H50" i="1" a="1"/>
  <c r="H50" i="1" s="1"/>
  <c r="G50" i="1" a="1"/>
  <c r="G50" i="1" s="1"/>
  <c r="F50" i="1" a="1"/>
  <c r="F50" i="1" s="1"/>
  <c r="E50" i="1" a="1"/>
  <c r="E50" i="1" s="1"/>
  <c r="K50" i="1" a="1"/>
  <c r="K50" i="1" s="1"/>
  <c r="J51" i="1" a="1"/>
  <c r="J51" i="1" s="1"/>
  <c r="I51" i="1" a="1"/>
  <c r="I51" i="1" s="1"/>
  <c r="H51" i="1" a="1"/>
  <c r="H51" i="1" s="1"/>
  <c r="G51" i="1" a="1"/>
  <c r="G51" i="1" s="1"/>
  <c r="F51" i="1" a="1"/>
  <c r="F51" i="1" s="1"/>
  <c r="E51" i="1" a="1"/>
  <c r="E51" i="1" s="1"/>
  <c r="K51" i="1" a="1"/>
  <c r="K51" i="1" s="1"/>
  <c r="J52" i="1" a="1"/>
  <c r="J52" i="1" s="1"/>
  <c r="I52" i="1" a="1"/>
  <c r="I52" i="1" s="1"/>
  <c r="H52" i="1" a="1"/>
  <c r="H52" i="1" s="1"/>
  <c r="G52" i="1" a="1"/>
  <c r="G52" i="1" s="1"/>
  <c r="F52" i="1" a="1"/>
  <c r="F52" i="1" s="1"/>
  <c r="E52" i="1" a="1"/>
  <c r="E52" i="1" s="1"/>
  <c r="K52" i="1" a="1"/>
  <c r="K52" i="1" s="1"/>
  <c r="B10" i="5"/>
  <c r="B14" i="2"/>
  <c r="J219" i="2" l="1"/>
  <c r="A221" i="2" s="1" a="1"/>
  <c r="A221" i="2" s="1"/>
  <c r="J220" i="2"/>
  <c r="J221" i="2"/>
  <c r="B15" i="5"/>
  <c r="B6" i="1"/>
  <c r="B17" i="2"/>
  <c r="J224" i="2" l="1"/>
  <c r="J222" i="2"/>
  <c r="A224" i="2" s="1" a="1"/>
  <c r="A224" i="2" s="1"/>
  <c r="J223" i="2"/>
  <c r="B20" i="5"/>
  <c r="B7" i="1"/>
  <c r="B25" i="5"/>
  <c r="B20" i="2"/>
  <c r="J225" i="2" l="1"/>
  <c r="A227" i="2" s="1" a="1"/>
  <c r="A227" i="2" s="1"/>
  <c r="J226" i="2"/>
  <c r="J227" i="2"/>
  <c r="B23" i="2"/>
  <c r="B9" i="1" s="1"/>
  <c r="B8" i="1"/>
  <c r="B30" i="5"/>
  <c r="J230" i="2" l="1"/>
  <c r="J229" i="2"/>
  <c r="J228" i="2"/>
  <c r="A230" i="2" s="1" a="1"/>
  <c r="A230" i="2" s="1"/>
  <c r="B26" i="2"/>
  <c r="B40" i="5" s="1"/>
  <c r="B35" i="5"/>
  <c r="H90" i="5" a="1"/>
  <c r="G111" i="5" a="1"/>
  <c r="D105" i="5" a="1"/>
  <c r="D130" i="5" a="1"/>
  <c r="G86" i="5" a="1"/>
  <c r="I181" i="5" a="1"/>
  <c r="C141" i="5" a="1"/>
  <c r="C191" i="5" a="1"/>
  <c r="I195" i="5" a="1"/>
  <c r="D250" i="5" a="1"/>
  <c r="F26" i="5" a="1"/>
  <c r="F250" i="5" a="1"/>
  <c r="E81" i="5" a="1"/>
  <c r="F190" i="5" a="1"/>
  <c r="H120" i="5" a="1"/>
  <c r="F120" i="5" a="1"/>
  <c r="H50" i="5" a="1"/>
  <c r="C206" i="5" a="1"/>
  <c r="C45" i="5" a="1"/>
  <c r="F251" i="5" a="1"/>
  <c r="E60" i="5" a="1"/>
  <c r="D111" i="5" a="1"/>
  <c r="G51" i="5" a="1"/>
  <c r="I246" i="5" a="1"/>
  <c r="D26" i="5" a="1"/>
  <c r="C145" i="5" a="1"/>
  <c r="E41" i="5" a="1"/>
  <c r="H56" i="5" a="1"/>
  <c r="C56" i="5" a="1"/>
  <c r="G141" i="5" a="1"/>
  <c r="H125" i="5" a="1"/>
  <c r="I146" i="5" a="1"/>
  <c r="C135" i="5" a="1"/>
  <c r="I156" i="5" a="1"/>
  <c r="H130" i="5" a="1"/>
  <c r="C85" i="5" a="1"/>
  <c r="G110" i="5" a="1"/>
  <c r="J232" i="2" l="1"/>
  <c r="J233" i="2"/>
  <c r="J231" i="2"/>
  <c r="A233" i="2" s="1" a="1"/>
  <c r="A233" i="2" s="1"/>
  <c r="B29" i="2"/>
  <c r="B11" i="1" s="1"/>
  <c r="B10" i="1"/>
  <c r="H90" i="5"/>
  <c r="C141" i="5"/>
  <c r="D26" i="5"/>
  <c r="G86" i="5"/>
  <c r="I181" i="5"/>
  <c r="E41" i="5"/>
  <c r="H50" i="5"/>
  <c r="C45" i="5"/>
  <c r="I195" i="5"/>
  <c r="D105" i="5"/>
  <c r="F251" i="5"/>
  <c r="I146" i="5"/>
  <c r="D250" i="5"/>
  <c r="G141" i="5"/>
  <c r="D111" i="5"/>
  <c r="H120" i="5"/>
  <c r="E81" i="5"/>
  <c r="C85" i="5"/>
  <c r="C191" i="5"/>
  <c r="I246" i="5"/>
  <c r="D130" i="5"/>
  <c r="H56" i="5"/>
  <c r="F250" i="5"/>
  <c r="F190" i="5"/>
  <c r="H125" i="5"/>
  <c r="G111" i="5"/>
  <c r="I156" i="5"/>
  <c r="F120" i="5"/>
  <c r="C206" i="5"/>
  <c r="H130" i="5"/>
  <c r="C135" i="5"/>
  <c r="C56" i="5"/>
  <c r="C145" i="5"/>
  <c r="E60" i="5"/>
  <c r="F26" i="5"/>
  <c r="G51" i="5"/>
  <c r="G110" i="5"/>
  <c r="J236" i="2" l="1"/>
  <c r="J235" i="2"/>
  <c r="J234" i="2"/>
  <c r="A236" i="2" s="1" a="1"/>
  <c r="A236" i="2" s="1"/>
  <c r="B45" i="5"/>
  <c r="B32" i="2"/>
  <c r="B12" i="1" s="1"/>
  <c r="J237" i="2" l="1"/>
  <c r="A239" i="2" s="1" a="1"/>
  <c r="A239" i="2" s="1"/>
  <c r="J239" i="2"/>
  <c r="J238" i="2"/>
  <c r="B50" i="5"/>
  <c r="B35" i="2"/>
  <c r="J240" i="2" l="1"/>
  <c r="A242" i="2" s="1" a="1"/>
  <c r="A242" i="2" s="1"/>
  <c r="J241" i="2"/>
  <c r="J242" i="2"/>
  <c r="J243" i="2"/>
  <c r="A245" i="2" s="1" a="1"/>
  <c r="A245" i="2" s="1"/>
  <c r="J244" i="2"/>
  <c r="J245" i="2"/>
  <c r="B38" i="2"/>
  <c r="J246" i="2" l="1"/>
  <c r="A248" i="2" s="1" a="1"/>
  <c r="A248" i="2" s="1"/>
  <c r="J247" i="2"/>
  <c r="J248" i="2"/>
  <c r="B13" i="1"/>
  <c r="B55" i="5"/>
  <c r="B41" i="2"/>
  <c r="J249" i="2" l="1"/>
  <c r="A251" i="2" s="1" a="1"/>
  <c r="A251" i="2" s="1"/>
  <c r="J250" i="2"/>
  <c r="J251" i="2"/>
  <c r="B14" i="1"/>
  <c r="B60" i="5"/>
  <c r="B44" i="2"/>
  <c r="J252" i="2" l="1"/>
  <c r="A254" i="2" s="1" a="1"/>
  <c r="A254" i="2" s="1"/>
  <c r="J253" i="2"/>
  <c r="J254" i="2"/>
  <c r="B15" i="1"/>
  <c r="B65" i="5"/>
  <c r="B47" i="2"/>
  <c r="B16" i="1" s="1"/>
  <c r="B70" i="5"/>
  <c r="J255" i="2" l="1"/>
  <c r="A257" i="2" s="1" a="1"/>
  <c r="A257" i="2" s="1"/>
  <c r="J256" i="2"/>
  <c r="J257" i="2"/>
  <c r="B50" i="2"/>
  <c r="B17" i="1" s="1"/>
  <c r="B75" i="5"/>
  <c r="J258" i="2" l="1"/>
  <c r="A260" i="2" s="1" a="1"/>
  <c r="A260" i="2" s="1"/>
  <c r="J259" i="2"/>
  <c r="J260" i="2"/>
  <c r="B53" i="2"/>
  <c r="B18" i="1" s="1"/>
  <c r="B80" i="5"/>
  <c r="J261" i="2" l="1"/>
  <c r="A263" i="2" s="1" a="1"/>
  <c r="A263" i="2" s="1"/>
  <c r="J262" i="2"/>
  <c r="J263" i="2"/>
  <c r="B56" i="2"/>
  <c r="B19" i="1" s="1"/>
  <c r="B85" i="5"/>
  <c r="G181" i="5" a="1"/>
  <c r="G225" i="5" a="1"/>
  <c r="C146" i="5" a="1"/>
  <c r="I130" i="5" a="1"/>
  <c r="G91" i="5" a="1"/>
  <c r="H121" i="5" a="1"/>
  <c r="D225" i="5" a="1"/>
  <c r="H190" i="5" a="1"/>
  <c r="C51" i="5" a="1"/>
  <c r="D166" i="5" a="1"/>
  <c r="I86" i="5" a="1"/>
  <c r="E26" i="5" a="1"/>
  <c r="E56" i="5" a="1"/>
  <c r="F165" i="5" a="1"/>
  <c r="H85" i="5" a="1"/>
  <c r="H220" i="5" a="1"/>
  <c r="F51" i="5" a="1"/>
  <c r="H36" i="5" a="1"/>
  <c r="D231" i="5" a="1"/>
  <c r="C166" i="5" a="1"/>
  <c r="H205" i="5" a="1"/>
  <c r="I75" i="5" a="1"/>
  <c r="E170" i="5" a="1"/>
  <c r="E196" i="5" a="1"/>
  <c r="G250" i="5" a="1"/>
  <c r="H185" i="5" a="1"/>
  <c r="F30" i="5" a="1"/>
  <c r="H246" i="5" a="1"/>
  <c r="C60" i="5" a="1"/>
  <c r="F186" i="5" a="1"/>
  <c r="C35" i="5" a="1"/>
  <c r="H91" i="5" a="1"/>
  <c r="E70" i="5" a="1"/>
  <c r="G55" i="5" a="1"/>
  <c r="E50" i="5" a="1"/>
  <c r="C201" i="5" a="1"/>
  <c r="C236" i="5" a="1"/>
  <c r="G70" i="5" a="1"/>
  <c r="D226" i="5" a="1"/>
  <c r="D181" i="5" a="1"/>
  <c r="F81" i="5" a="1"/>
  <c r="I135" i="5" a="1"/>
  <c r="H61" i="5" a="1"/>
  <c r="I91" i="5" a="1"/>
  <c r="G166" i="5" a="1"/>
  <c r="C115" i="5" a="1"/>
  <c r="E75" i="5" a="1"/>
  <c r="I190" i="5" a="1"/>
  <c r="I36" i="5" a="1"/>
  <c r="C170" i="5" a="1"/>
  <c r="E231" i="5" a="1"/>
  <c r="I55" i="5" a="1"/>
  <c r="E115" i="5" a="1"/>
  <c r="G205" i="5" a="1"/>
  <c r="F75" i="5" a="1"/>
  <c r="G165" i="5" a="1"/>
  <c r="H146" i="5" a="1"/>
  <c r="E211" i="5" a="1"/>
  <c r="I205" i="5" a="1"/>
  <c r="F55" i="5" a="1"/>
  <c r="E65" i="5" a="1"/>
  <c r="F155" i="5" a="1"/>
  <c r="D240" i="5" a="1"/>
  <c r="D145" i="5" a="1"/>
  <c r="F206" i="5" a="1"/>
  <c r="C211" i="5" a="1"/>
  <c r="G201" i="5" a="1"/>
  <c r="H231" i="5" a="1"/>
  <c r="E85" i="5" a="1"/>
  <c r="C176" i="5" a="1"/>
  <c r="E171" i="5" a="1"/>
  <c r="E190" i="5" a="1"/>
  <c r="H30" i="5" a="1"/>
  <c r="C226" i="5" a="1"/>
  <c r="F50" i="5" a="1"/>
  <c r="I85" i="5" a="1"/>
  <c r="F185" i="5" a="1"/>
  <c r="H81" i="5" a="1"/>
  <c r="F115" i="5" a="1"/>
  <c r="D40" i="5" a="1"/>
  <c r="G41" i="5" a="1"/>
  <c r="E206" i="5" a="1"/>
  <c r="G85" i="5" a="1"/>
  <c r="G180" i="5" a="1"/>
  <c r="C36" i="5" a="1"/>
  <c r="D60" i="5" a="1"/>
  <c r="H240" i="5" a="1"/>
  <c r="C171" i="5" a="1"/>
  <c r="H170" i="5" a="1"/>
  <c r="G120" i="5" a="1"/>
  <c r="E71" i="5" a="1"/>
  <c r="D200" i="5" a="1"/>
  <c r="H215" i="5" a="1"/>
  <c r="I201" i="5" a="1"/>
  <c r="E106" i="5" a="1"/>
  <c r="H126" i="5" a="1"/>
  <c r="I66" i="5" a="1"/>
  <c r="I136" i="5" a="1"/>
  <c r="I241" i="5" a="1"/>
  <c r="C216" i="5" a="1"/>
  <c r="I216" i="5" a="1"/>
  <c r="D91" i="5" a="1"/>
  <c r="F236" i="5" a="1"/>
  <c r="F66" i="5" a="1"/>
  <c r="H176" i="5" a="1"/>
  <c r="E161" i="5" a="1"/>
  <c r="F176" i="5" a="1"/>
  <c r="C121" i="5" a="1"/>
  <c r="I196" i="5" a="1"/>
  <c r="D35" i="5" a="1"/>
  <c r="C151" i="5" a="1"/>
  <c r="I35" i="5" a="1"/>
  <c r="F136" i="5" a="1"/>
  <c r="D190" i="5" a="1"/>
  <c r="D220" i="5" a="1"/>
  <c r="F61" i="5" a="1"/>
  <c r="D176" i="5" a="1"/>
  <c r="G176" i="5" a="1"/>
  <c r="E121" i="5" a="1"/>
  <c r="D210" i="5" a="1"/>
  <c r="F41" i="5" a="1"/>
  <c r="I80" i="5" a="1"/>
  <c r="G230" i="5" a="1"/>
  <c r="E180" i="5" a="1"/>
  <c r="I200" i="5" a="1"/>
  <c r="D71" i="5" a="1"/>
  <c r="E136" i="5" a="1"/>
  <c r="F210" i="5" a="1"/>
  <c r="H111" i="5" a="1"/>
  <c r="E140" i="5" a="1"/>
  <c r="H45" i="5" a="1"/>
  <c r="F246" i="5" a="1"/>
  <c r="H100" i="5" a="1"/>
  <c r="C196" i="5" a="1"/>
  <c r="G171" i="5" a="1"/>
  <c r="C76" i="5" a="1"/>
  <c r="F240" i="5" a="1"/>
  <c r="I245" i="5" a="1"/>
  <c r="I166" i="5" a="1"/>
  <c r="F91" i="5" a="1"/>
  <c r="I60" i="5" a="1"/>
  <c r="H101" i="5" a="1"/>
  <c r="G105" i="5" a="1"/>
  <c r="H35" i="5" a="1"/>
  <c r="D100" i="5" a="1"/>
  <c r="F105" i="5" a="1"/>
  <c r="D215" i="5" a="1"/>
  <c r="C231" i="5" a="1"/>
  <c r="D155" i="5" a="1"/>
  <c r="F245" i="5" a="1"/>
  <c r="I51" i="5" a="1"/>
  <c r="C140" i="5" a="1"/>
  <c r="E156" i="5" a="1"/>
  <c r="G145" i="5" a="1"/>
  <c r="H131" i="5" a="1"/>
  <c r="G251" i="5" a="1"/>
  <c r="D151" i="5" a="1"/>
  <c r="G150" i="5" a="1"/>
  <c r="C31" i="5" a="1"/>
  <c r="G245" i="5" a="1"/>
  <c r="G35" i="5" a="1"/>
  <c r="G40" i="5" a="1"/>
  <c r="F160" i="5" a="1"/>
  <c r="E246" i="5" a="1"/>
  <c r="C181" i="5" a="1"/>
  <c r="H116" i="5" a="1"/>
  <c r="E126" i="5" a="1"/>
  <c r="E185" i="5" a="1"/>
  <c r="H70" i="5" a="1"/>
  <c r="C81" i="5" a="1"/>
  <c r="E80" i="5" a="1"/>
  <c r="I225" i="5" a="1"/>
  <c r="C250" i="5" a="1"/>
  <c r="D186" i="5" a="1"/>
  <c r="C75" i="5" a="1"/>
  <c r="G185" i="5" a="1"/>
  <c r="I150" i="5" a="1"/>
  <c r="C240" i="5" a="1"/>
  <c r="E40" i="5" a="1"/>
  <c r="C125" i="5" a="1"/>
  <c r="E220" i="5" a="1"/>
  <c r="G30" i="5" a="1"/>
  <c r="E210" i="5" a="1"/>
  <c r="I125" i="5" a="1"/>
  <c r="C230" i="5" a="1"/>
  <c r="F65" i="5" a="1"/>
  <c r="C95" i="5" a="1"/>
  <c r="F35" i="5" a="1"/>
  <c r="F201" i="5" a="1"/>
  <c r="C221" i="5" a="1"/>
  <c r="H216" i="5" a="1"/>
  <c r="F216" i="5" a="1"/>
  <c r="I101" i="5" a="1"/>
  <c r="H75" i="5" a="1"/>
  <c r="I220" i="5" a="1"/>
  <c r="H145" i="5" a="1"/>
  <c r="E135" i="5" a="1"/>
  <c r="H245" i="5" a="1"/>
  <c r="D125" i="5" a="1"/>
  <c r="D146" i="5" a="1"/>
  <c r="G26" i="5" a="1"/>
  <c r="G191" i="5" a="1"/>
  <c r="D211" i="5" a="1"/>
  <c r="C155" i="5" a="1"/>
  <c r="I211" i="5" a="1"/>
  <c r="G246" i="5" a="1"/>
  <c r="G60" i="5" a="1"/>
  <c r="E205" i="5" a="1"/>
  <c r="I161" i="5" a="1"/>
  <c r="C25" i="5" a="1"/>
  <c r="G115" i="5" a="1"/>
  <c r="E186" i="5" a="1"/>
  <c r="D160" i="5" a="1"/>
  <c r="G126" i="5" a="1"/>
  <c r="E191" i="5" a="1"/>
  <c r="E51" i="5" a="1"/>
  <c r="I175" i="5" a="1"/>
  <c r="D80" i="5" a="1"/>
  <c r="I210" i="5" a="1"/>
  <c r="D106" i="5" a="1"/>
  <c r="H151" i="5" a="1"/>
  <c r="C61" i="5" a="1"/>
  <c r="E61" i="5" a="1"/>
  <c r="G36" i="5" a="1"/>
  <c r="D121" i="5" a="1"/>
  <c r="I215" i="5" a="1"/>
  <c r="G61" i="5" a="1"/>
  <c r="H96" i="5" a="1"/>
  <c r="F170" i="5" a="1"/>
  <c r="G156" i="5" a="1"/>
  <c r="C245" i="5" a="1"/>
  <c r="D206" i="5" a="1"/>
  <c r="H221" i="5" a="1"/>
  <c r="E200" i="5" a="1"/>
  <c r="F76" i="5" a="1"/>
  <c r="I126" i="5" a="1"/>
  <c r="E25" i="5" a="1"/>
  <c r="C165" i="5" a="1"/>
  <c r="D126" i="5" a="1"/>
  <c r="E45" i="5" a="1"/>
  <c r="F175" i="5" a="1"/>
  <c r="F70" i="5" a="1"/>
  <c r="E130" i="5" a="1"/>
  <c r="G220" i="5" a="1"/>
  <c r="H156" i="5" a="1"/>
  <c r="H136" i="5" a="1"/>
  <c r="E35" i="5" a="1"/>
  <c r="G116" i="5" a="1"/>
  <c r="I180" i="5" a="1"/>
  <c r="G96" i="5" a="1"/>
  <c r="C100" i="5" a="1"/>
  <c r="E216" i="5" a="1"/>
  <c r="D56" i="5" a="1"/>
  <c r="G151" i="5" a="1"/>
  <c r="D246" i="5" a="1"/>
  <c r="I235" i="5" a="1"/>
  <c r="I145" i="5" a="1"/>
  <c r="G25" i="5" a="1"/>
  <c r="H186" i="5" a="1"/>
  <c r="C90" i="5" a="1"/>
  <c r="I121" i="5" a="1"/>
  <c r="D30" i="5" a="1"/>
  <c r="G95" i="5" a="1"/>
  <c r="E176" i="5" a="1"/>
  <c r="G175" i="5" a="1"/>
  <c r="G195" i="5" a="1"/>
  <c r="C161" i="5" a="1"/>
  <c r="H95" i="5" a="1"/>
  <c r="H106" i="5" a="1"/>
  <c r="F40" i="5" a="1"/>
  <c r="I176" i="5" a="1"/>
  <c r="G125" i="5" a="1"/>
  <c r="C116" i="5" a="1"/>
  <c r="C80" i="5" a="1"/>
  <c r="F205" i="5" a="1"/>
  <c r="I95" i="5" a="1"/>
  <c r="D241" i="5" a="1"/>
  <c r="G226" i="5" a="1"/>
  <c r="E90" i="5" a="1"/>
  <c r="F235" i="5" a="1"/>
  <c r="F56" i="5" a="1"/>
  <c r="I140" i="5" a="1"/>
  <c r="E240" i="5" a="1"/>
  <c r="H211" i="5" a="1"/>
  <c r="E241" i="5" a="1"/>
  <c r="E251" i="5" a="1"/>
  <c r="H165" i="5" a="1"/>
  <c r="H105" i="5" a="1"/>
  <c r="F90" i="5" a="1"/>
  <c r="C50" i="5" a="1"/>
  <c r="C106" i="5" a="1"/>
  <c r="F31" i="5" a="1"/>
  <c r="C246" i="5" a="1"/>
  <c r="C65" i="5" a="1"/>
  <c r="C156" i="5" a="1"/>
  <c r="F151" i="5" a="1"/>
  <c r="C235" i="5" a="1"/>
  <c r="D221" i="5" a="1"/>
  <c r="I115" i="5" a="1"/>
  <c r="D96" i="5" a="1"/>
  <c r="F215" i="5" a="1"/>
  <c r="C71" i="5" a="1"/>
  <c r="E160" i="5" a="1"/>
  <c r="I231" i="5" a="1"/>
  <c r="G101" i="5" a="1"/>
  <c r="I106" i="5" a="1"/>
  <c r="H80" i="5" a="1"/>
  <c r="I111" i="5" a="1"/>
  <c r="D50" i="5" a="1"/>
  <c r="F156" i="5" a="1"/>
  <c r="H166" i="5" a="1"/>
  <c r="G80" i="5" a="1"/>
  <c r="E236" i="5" a="1"/>
  <c r="E175" i="5" a="1"/>
  <c r="C190" i="5" a="1"/>
  <c r="G81" i="5" a="1"/>
  <c r="D230" i="5" a="1"/>
  <c r="D185" i="5" a="1"/>
  <c r="D46" i="5" a="1"/>
  <c r="F141" i="5" a="1"/>
  <c r="H31" i="5" a="1"/>
  <c r="C130" i="5" a="1"/>
  <c r="I221" i="5" a="1"/>
  <c r="G75" i="5" a="1"/>
  <c r="E141" i="5" a="1"/>
  <c r="I236" i="5" a="1"/>
  <c r="F135" i="5" a="1"/>
  <c r="F161" i="5" a="1"/>
  <c r="I191" i="5" a="1"/>
  <c r="H86" i="5" a="1"/>
  <c r="D101" i="5" a="1"/>
  <c r="I226" i="5" a="1"/>
  <c r="D141" i="5" a="1"/>
  <c r="G186" i="5" a="1"/>
  <c r="H65" i="5" a="1"/>
  <c r="I41" i="5" a="1"/>
  <c r="H206" i="5" a="1"/>
  <c r="G121" i="5" a="1"/>
  <c r="D235" i="5" a="1"/>
  <c r="H141" i="5" a="1"/>
  <c r="C220" i="5" a="1"/>
  <c r="H225" i="5" a="1"/>
  <c r="F96" i="5" a="1"/>
  <c r="F95" i="5" a="1"/>
  <c r="I116" i="5" a="1"/>
  <c r="D195" i="5" a="1"/>
  <c r="G155" i="5" a="1"/>
  <c r="I70" i="5" a="1"/>
  <c r="C111" i="5" a="1"/>
  <c r="H235" i="5" a="1"/>
  <c r="I31" i="5" a="1"/>
  <c r="G146" i="5" a="1"/>
  <c r="E96" i="5" a="1"/>
  <c r="C205" i="5" a="1"/>
  <c r="I100" i="5" a="1"/>
  <c r="F116" i="5" a="1"/>
  <c r="F181" i="5" a="1"/>
  <c r="F46" i="5" a="1"/>
  <c r="H160" i="5" a="1"/>
  <c r="F121" i="5" a="1"/>
  <c r="I110" i="5" a="1"/>
  <c r="H251" i="5" a="1"/>
  <c r="F60" i="5" a="1"/>
  <c r="F25" i="5" a="1"/>
  <c r="G106" i="5" a="1"/>
  <c r="H200" i="5" a="1"/>
  <c r="C210" i="5" a="1"/>
  <c r="F166" i="5" a="1"/>
  <c r="G50" i="5" a="1"/>
  <c r="G200" i="5" a="1"/>
  <c r="C86" i="5" a="1"/>
  <c r="C215" i="5" a="1"/>
  <c r="H226" i="5" a="1"/>
  <c r="F131" i="5" a="1"/>
  <c r="I25" i="5" a="1"/>
  <c r="E55" i="5" a="1"/>
  <c r="F80" i="5" a="1"/>
  <c r="F140" i="5" a="1"/>
  <c r="I65" i="5" a="1"/>
  <c r="D110" i="5" a="1"/>
  <c r="F200" i="5" a="1"/>
  <c r="E166" i="5" a="1"/>
  <c r="E245" i="5" a="1"/>
  <c r="I50" i="5" a="1"/>
  <c r="C200" i="5" a="1"/>
  <c r="G170" i="5" a="1"/>
  <c r="G90" i="5" a="1"/>
  <c r="F171" i="5" a="1"/>
  <c r="H140" i="5" a="1"/>
  <c r="F211" i="5" a="1"/>
  <c r="E201" i="5" a="1"/>
  <c r="G100" i="5" a="1"/>
  <c r="D191" i="5" a="1"/>
  <c r="E111" i="5" a="1"/>
  <c r="H55" i="5" a="1"/>
  <c r="E235" i="5" a="1"/>
  <c r="F85" i="5" a="1"/>
  <c r="C101" i="5" a="1"/>
  <c r="C150" i="5" a="1"/>
  <c r="E110" i="5" a="1"/>
  <c r="D175" i="5" a="1"/>
  <c r="G140" i="5" a="1"/>
  <c r="G206" i="5" a="1"/>
  <c r="D116" i="5" a="1"/>
  <c r="H66" i="5" a="1"/>
  <c r="I131" i="5" a="1"/>
  <c r="D70" i="5" a="1"/>
  <c r="D201" i="5" a="1"/>
  <c r="G66" i="5" a="1"/>
  <c r="H76" i="5" a="1"/>
  <c r="E95" i="5" a="1"/>
  <c r="H230" i="5" a="1"/>
  <c r="F230" i="5" a="1"/>
  <c r="E116" i="5" a="1"/>
  <c r="F126" i="5" a="1"/>
  <c r="I96" i="5" a="1"/>
  <c r="I26" i="5" a="1"/>
  <c r="D180" i="5" a="1"/>
  <c r="C30" i="5" a="1"/>
  <c r="C55" i="5" a="1"/>
  <c r="E105" i="5" a="1"/>
  <c r="C186" i="5" a="1"/>
  <c r="C160" i="5" a="1"/>
  <c r="H115" i="5" a="1"/>
  <c r="D31" i="5" a="1"/>
  <c r="E30" i="5" a="1"/>
  <c r="E101" i="5" a="1"/>
  <c r="G161" i="5" a="1"/>
  <c r="I171" i="5" a="1"/>
  <c r="I61" i="5" a="1"/>
  <c r="C185" i="5" a="1"/>
  <c r="D51" i="5" a="1"/>
  <c r="F100" i="5" a="1"/>
  <c r="H110" i="5" a="1"/>
  <c r="E215" i="5" a="1"/>
  <c r="I165" i="5" a="1"/>
  <c r="H135" i="5" a="1"/>
  <c r="H41" i="5" a="1"/>
  <c r="F220" i="5" a="1"/>
  <c r="I185" i="5" a="1"/>
  <c r="E46" i="5" a="1"/>
  <c r="F241" i="5" a="1"/>
  <c r="H51" i="5" a="1"/>
  <c r="D55" i="5" a="1"/>
  <c r="H241" i="5" a="1"/>
  <c r="D131" i="5" a="1"/>
  <c r="F231" i="5" a="1"/>
  <c r="E36" i="5" a="1"/>
  <c r="F45" i="5" a="1"/>
  <c r="I105" i="5" a="1"/>
  <c r="D61" i="5" a="1"/>
  <c r="H210" i="5" a="1"/>
  <c r="E120" i="5" a="1"/>
  <c r="H26" i="5" a="1"/>
  <c r="H181" i="5" a="1"/>
  <c r="D196" i="5" a="1"/>
  <c r="C131" i="5" a="1"/>
  <c r="D251" i="5" a="1"/>
  <c r="I40" i="5" a="1"/>
  <c r="D45" i="5" a="1"/>
  <c r="G216" i="5" a="1"/>
  <c r="H150" i="5" a="1"/>
  <c r="C126" i="5" a="1"/>
  <c r="I206" i="5" a="1"/>
  <c r="C175" i="5" a="1"/>
  <c r="E225" i="5" a="1"/>
  <c r="H71" i="5" a="1"/>
  <c r="E250" i="5" a="1"/>
  <c r="D156" i="5" a="1"/>
  <c r="H196" i="5" a="1"/>
  <c r="G131" i="5" a="1"/>
  <c r="D216" i="5" a="1"/>
  <c r="G235" i="5" a="1"/>
  <c r="C136" i="5" a="1"/>
  <c r="F195" i="5" a="1"/>
  <c r="G46" i="5" a="1"/>
  <c r="D90" i="5" a="1"/>
  <c r="D165" i="5" a="1"/>
  <c r="D95" i="5" a="1"/>
  <c r="C110" i="5" a="1"/>
  <c r="D86" i="5" a="1"/>
  <c r="F36" i="5" a="1"/>
  <c r="I141" i="5" a="1"/>
  <c r="E221" i="5" a="1"/>
  <c r="F101" i="5" a="1"/>
  <c r="F150" i="5" a="1"/>
  <c r="D136" i="5" a="1"/>
  <c r="F125" i="5" a="1"/>
  <c r="H191" i="5" a="1"/>
  <c r="D25" i="5" a="1"/>
  <c r="C26" i="5" a="1"/>
  <c r="H201" i="5" a="1"/>
  <c r="C96" i="5" a="1"/>
  <c r="G136" i="5" a="1"/>
  <c r="E76" i="5" a="1"/>
  <c r="I170" i="5" a="1"/>
  <c r="D66" i="5" a="1"/>
  <c r="D161" i="5" a="1"/>
  <c r="D36" i="5" a="1"/>
  <c r="D76" i="5" a="1"/>
  <c r="G71" i="5" a="1"/>
  <c r="G241" i="5" a="1"/>
  <c r="D171" i="5" a="1"/>
  <c r="D140" i="5" a="1"/>
  <c r="E146" i="5" a="1"/>
  <c r="F180" i="5" a="1"/>
  <c r="E91" i="5" a="1"/>
  <c r="G215" i="5" a="1"/>
  <c r="E151" i="5" a="1"/>
  <c r="G160" i="5" a="1"/>
  <c r="D115" i="5" a="1"/>
  <c r="D81" i="5" a="1"/>
  <c r="C46" i="5" a="1"/>
  <c r="E145" i="5" a="1"/>
  <c r="F110" i="5" a="1"/>
  <c r="E131" i="5" a="1"/>
  <c r="F196" i="5" a="1"/>
  <c r="E195" i="5" a="1"/>
  <c r="H46" i="5" a="1"/>
  <c r="D135" i="5" a="1"/>
  <c r="H25" i="5" a="1"/>
  <c r="I186" i="5" a="1"/>
  <c r="G196" i="5" a="1"/>
  <c r="I240" i="5" a="1"/>
  <c r="F146" i="5" a="1"/>
  <c r="C251" i="5" a="1"/>
  <c r="G240" i="5" a="1"/>
  <c r="H195" i="5" a="1"/>
  <c r="E66" i="5" a="1"/>
  <c r="I90" i="5" a="1"/>
  <c r="I155" i="5" a="1"/>
  <c r="I251" i="5" a="1"/>
  <c r="D150" i="5" a="1"/>
  <c r="E100" i="5" a="1"/>
  <c r="C120" i="5" a="1"/>
  <c r="C70" i="5" a="1"/>
  <c r="I151" i="5" a="1"/>
  <c r="C66" i="5" a="1"/>
  <c r="C241" i="5" a="1"/>
  <c r="I120" i="5" a="1"/>
  <c r="F226" i="5" a="1"/>
  <c r="I30" i="5" a="1"/>
  <c r="D85" i="5" a="1"/>
  <c r="G190" i="5" a="1"/>
  <c r="G65" i="5" a="1"/>
  <c r="F225" i="5" a="1"/>
  <c r="G135" i="5" a="1"/>
  <c r="D75" i="5" a="1"/>
  <c r="I45" i="5" a="1"/>
  <c r="C180" i="5" a="1"/>
  <c r="H161" i="5" a="1"/>
  <c r="G45" i="5" a="1"/>
  <c r="G130" i="5" a="1"/>
  <c r="C195" i="5" a="1"/>
  <c r="H155" i="5" a="1"/>
  <c r="I71" i="5" a="1"/>
  <c r="D236" i="5" a="1"/>
  <c r="E165" i="5" a="1"/>
  <c r="I76" i="5" a="1"/>
  <c r="E31" i="5" a="1"/>
  <c r="G31" i="5" a="1"/>
  <c r="G211" i="5" a="1"/>
  <c r="H60" i="5" a="1"/>
  <c r="E181" i="5" a="1"/>
  <c r="I81" i="5" a="1"/>
  <c r="F191" i="5" a="1"/>
  <c r="F130" i="5" a="1"/>
  <c r="E150" i="5" a="1"/>
  <c r="I160" i="5" a="1"/>
  <c r="C105" i="5" a="1"/>
  <c r="G221" i="5" a="1"/>
  <c r="C225" i="5" a="1"/>
  <c r="F221" i="5" a="1"/>
  <c r="E125" i="5" a="1"/>
  <c r="H40" i="5" a="1"/>
  <c r="F145" i="5" a="1"/>
  <c r="G56" i="5" a="1"/>
  <c r="E155" i="5" a="1"/>
  <c r="G236" i="5" a="1"/>
  <c r="I56" i="5" a="1"/>
  <c r="D205" i="5" a="1"/>
  <c r="E230" i="5" a="1"/>
  <c r="E86" i="5" a="1"/>
  <c r="F86" i="5" a="1"/>
  <c r="H171" i="5" a="1"/>
  <c r="C41" i="5" a="1"/>
  <c r="I230" i="5" a="1"/>
  <c r="D245" i="5" a="1"/>
  <c r="D41" i="5" a="1"/>
  <c r="G231" i="5" a="1"/>
  <c r="H175" i="5" a="1"/>
  <c r="H236" i="5" a="1"/>
  <c r="H180" i="5" a="1"/>
  <c r="G76" i="5" a="1"/>
  <c r="D170" i="5" a="1"/>
  <c r="C91" i="5" a="1"/>
  <c r="F111" i="5" a="1"/>
  <c r="C40" i="5" a="1"/>
  <c r="F71" i="5" a="1"/>
  <c r="H250" i="5" a="1"/>
  <c r="D120" i="5" a="1"/>
  <c r="I46" i="5" a="1"/>
  <c r="D65" i="5" a="1"/>
  <c r="G210" i="5" a="1"/>
  <c r="E226" i="5" a="1"/>
  <c r="F106" i="5" a="1"/>
  <c r="I250" i="5" a="1"/>
  <c r="I250" i="5" l="1"/>
  <c r="F106" i="5"/>
  <c r="E226" i="5"/>
  <c r="G210" i="5"/>
  <c r="D65" i="5"/>
  <c r="I46" i="5"/>
  <c r="D120" i="5"/>
  <c r="H250" i="5"/>
  <c r="F71" i="5"/>
  <c r="C40" i="5"/>
  <c r="F111" i="5"/>
  <c r="C91" i="5"/>
  <c r="D170" i="5"/>
  <c r="G76" i="5"/>
  <c r="H180" i="5"/>
  <c r="H236" i="5"/>
  <c r="H175" i="5"/>
  <c r="G231" i="5"/>
  <c r="D41" i="5"/>
  <c r="D245" i="5"/>
  <c r="I230" i="5"/>
  <c r="C41" i="5"/>
  <c r="H171" i="5"/>
  <c r="F86" i="5"/>
  <c r="E86" i="5"/>
  <c r="E230" i="5"/>
  <c r="D205" i="5"/>
  <c r="I56" i="5"/>
  <c r="G236" i="5"/>
  <c r="E155" i="5"/>
  <c r="G56" i="5"/>
  <c r="F145" i="5"/>
  <c r="H40" i="5"/>
  <c r="E125" i="5"/>
  <c r="F221" i="5"/>
  <c r="C225" i="5"/>
  <c r="G221" i="5"/>
  <c r="C105" i="5"/>
  <c r="I160" i="5"/>
  <c r="E150" i="5"/>
  <c r="F130" i="5"/>
  <c r="F191" i="5"/>
  <c r="I81" i="5"/>
  <c r="E181" i="5"/>
  <c r="H60" i="5"/>
  <c r="G211" i="5"/>
  <c r="G31" i="5"/>
  <c r="E31" i="5"/>
  <c r="I76" i="5"/>
  <c r="E165" i="5"/>
  <c r="D236" i="5"/>
  <c r="I71" i="5"/>
  <c r="H155" i="5"/>
  <c r="C195" i="5"/>
  <c r="G130" i="5"/>
  <c r="G45" i="5"/>
  <c r="H161" i="5"/>
  <c r="C180" i="5"/>
  <c r="I45" i="5"/>
  <c r="D75" i="5"/>
  <c r="G135" i="5"/>
  <c r="F225" i="5"/>
  <c r="G65" i="5"/>
  <c r="G190" i="5"/>
  <c r="D85" i="5"/>
  <c r="I30" i="5"/>
  <c r="F226" i="5"/>
  <c r="I120" i="5"/>
  <c r="C241" i="5"/>
  <c r="C66" i="5"/>
  <c r="I151" i="5"/>
  <c r="C70" i="5"/>
  <c r="C120" i="5"/>
  <c r="E100" i="5"/>
  <c r="D150" i="5"/>
  <c r="I251" i="5"/>
  <c r="I155" i="5"/>
  <c r="I90" i="5"/>
  <c r="E66" i="5"/>
  <c r="H195" i="5"/>
  <c r="G240" i="5"/>
  <c r="C251" i="5"/>
  <c r="F146" i="5"/>
  <c r="I240" i="5"/>
  <c r="G196" i="5"/>
  <c r="I186" i="5"/>
  <c r="H25" i="5"/>
  <c r="D135" i="5"/>
  <c r="H46" i="5"/>
  <c r="E195" i="5"/>
  <c r="F196" i="5"/>
  <c r="E131" i="5"/>
  <c r="F110" i="5"/>
  <c r="E145" i="5"/>
  <c r="C46" i="5"/>
  <c r="D81" i="5"/>
  <c r="D115" i="5"/>
  <c r="G160" i="5"/>
  <c r="E151" i="5"/>
  <c r="G215" i="5"/>
  <c r="E91" i="5"/>
  <c r="F180" i="5"/>
  <c r="E146" i="5"/>
  <c r="D140" i="5"/>
  <c r="D171" i="5"/>
  <c r="G241" i="5"/>
  <c r="G71" i="5"/>
  <c r="D76" i="5"/>
  <c r="D36" i="5"/>
  <c r="D161" i="5"/>
  <c r="D66" i="5"/>
  <c r="I170" i="5"/>
  <c r="E76" i="5"/>
  <c r="G136" i="5"/>
  <c r="C96" i="5"/>
  <c r="H201" i="5"/>
  <c r="C26" i="5"/>
  <c r="D25" i="5"/>
  <c r="H191" i="5"/>
  <c r="F125" i="5"/>
  <c r="D136" i="5"/>
  <c r="F150" i="5"/>
  <c r="F101" i="5"/>
  <c r="E221" i="5"/>
  <c r="I141" i="5"/>
  <c r="F36" i="5"/>
  <c r="D86" i="5"/>
  <c r="C110" i="5"/>
  <c r="D95" i="5"/>
  <c r="D165" i="5"/>
  <c r="D90" i="5"/>
  <c r="G46" i="5"/>
  <c r="F195" i="5"/>
  <c r="C136" i="5"/>
  <c r="G235" i="5"/>
  <c r="D216" i="5"/>
  <c r="G131" i="5"/>
  <c r="H196" i="5"/>
  <c r="D156" i="5"/>
  <c r="E250" i="5"/>
  <c r="H71" i="5"/>
  <c r="E225" i="5"/>
  <c r="C175" i="5"/>
  <c r="I206" i="5"/>
  <c r="C126" i="5"/>
  <c r="H150" i="5"/>
  <c r="G216" i="5"/>
  <c r="D45" i="5"/>
  <c r="I40" i="5"/>
  <c r="D251" i="5"/>
  <c r="C131" i="5"/>
  <c r="D196" i="5"/>
  <c r="H181" i="5"/>
  <c r="H26" i="5"/>
  <c r="E120" i="5"/>
  <c r="H210" i="5"/>
  <c r="D61" i="5"/>
  <c r="I105" i="5"/>
  <c r="F45" i="5"/>
  <c r="E36" i="5"/>
  <c r="F231" i="5"/>
  <c r="D131" i="5"/>
  <c r="H241" i="5"/>
  <c r="D55" i="5"/>
  <c r="H51" i="5"/>
  <c r="F241" i="5"/>
  <c r="E46" i="5"/>
  <c r="I185" i="5"/>
  <c r="F220" i="5"/>
  <c r="H41" i="5"/>
  <c r="H135" i="5"/>
  <c r="I165" i="5"/>
  <c r="E215" i="5"/>
  <c r="H110" i="5"/>
  <c r="F100" i="5"/>
  <c r="D51" i="5"/>
  <c r="C185" i="5"/>
  <c r="I61" i="5"/>
  <c r="I171" i="5"/>
  <c r="G161" i="5"/>
  <c r="E101" i="5"/>
  <c r="E30" i="5"/>
  <c r="D31" i="5"/>
  <c r="H115" i="5"/>
  <c r="C160" i="5"/>
  <c r="C186" i="5"/>
  <c r="E105" i="5"/>
  <c r="C55" i="5"/>
  <c r="C30" i="5"/>
  <c r="D180" i="5"/>
  <c r="I26" i="5"/>
  <c r="I96" i="5"/>
  <c r="F126" i="5"/>
  <c r="E116" i="5"/>
  <c r="F230" i="5"/>
  <c r="H230" i="5"/>
  <c r="E95" i="5"/>
  <c r="H76" i="5"/>
  <c r="G66" i="5"/>
  <c r="D201" i="5"/>
  <c r="D70" i="5"/>
  <c r="I131" i="5"/>
  <c r="H66" i="5"/>
  <c r="D116" i="5"/>
  <c r="G206" i="5"/>
  <c r="G140" i="5"/>
  <c r="D175" i="5"/>
  <c r="E110" i="5"/>
  <c r="C150" i="5"/>
  <c r="C101" i="5"/>
  <c r="F85" i="5"/>
  <c r="E235" i="5"/>
  <c r="H55" i="5"/>
  <c r="E111" i="5"/>
  <c r="D191" i="5"/>
  <c r="G100" i="5"/>
  <c r="E201" i="5"/>
  <c r="F211" i="5"/>
  <c r="H140" i="5"/>
  <c r="F171" i="5"/>
  <c r="G90" i="5"/>
  <c r="G170" i="5"/>
  <c r="C200" i="5"/>
  <c r="I50" i="5"/>
  <c r="E245" i="5"/>
  <c r="E166" i="5"/>
  <c r="F200" i="5"/>
  <c r="D110" i="5"/>
  <c r="I65" i="5"/>
  <c r="F140" i="5"/>
  <c r="F80" i="5"/>
  <c r="E55" i="5"/>
  <c r="I25" i="5"/>
  <c r="F131" i="5"/>
  <c r="H226" i="5"/>
  <c r="C215" i="5"/>
  <c r="C86" i="5"/>
  <c r="G200" i="5"/>
  <c r="G50" i="5"/>
  <c r="F166" i="5"/>
  <c r="C210" i="5"/>
  <c r="H200" i="5"/>
  <c r="G106" i="5"/>
  <c r="F25" i="5"/>
  <c r="F60" i="5"/>
  <c r="H251" i="5"/>
  <c r="I110" i="5"/>
  <c r="F121" i="5"/>
  <c r="H160" i="5"/>
  <c r="F46" i="5"/>
  <c r="F181" i="5"/>
  <c r="F116" i="5"/>
  <c r="I100" i="5"/>
  <c r="C205" i="5"/>
  <c r="E96" i="5"/>
  <c r="G146" i="5"/>
  <c r="I31" i="5"/>
  <c r="H235" i="5"/>
  <c r="C111" i="5"/>
  <c r="I70" i="5"/>
  <c r="G155" i="5"/>
  <c r="D195" i="5"/>
  <c r="I116" i="5"/>
  <c r="F95" i="5"/>
  <c r="F96" i="5"/>
  <c r="H225" i="5"/>
  <c r="C220" i="5"/>
  <c r="H141" i="5"/>
  <c r="D235" i="5"/>
  <c r="G121" i="5"/>
  <c r="H206" i="5"/>
  <c r="I41" i="5"/>
  <c r="H65" i="5"/>
  <c r="G186" i="5"/>
  <c r="D141" i="5"/>
  <c r="I226" i="5"/>
  <c r="D101" i="5"/>
  <c r="H86" i="5"/>
  <c r="I191" i="5"/>
  <c r="F161" i="5"/>
  <c r="F135" i="5"/>
  <c r="I236" i="5"/>
  <c r="E141" i="5"/>
  <c r="G75" i="5"/>
  <c r="I221" i="5"/>
  <c r="C130" i="5"/>
  <c r="H31" i="5"/>
  <c r="F141" i="5"/>
  <c r="D46" i="5"/>
  <c r="D185" i="5"/>
  <c r="D230" i="5"/>
  <c r="G81" i="5"/>
  <c r="C190" i="5"/>
  <c r="E175" i="5"/>
  <c r="E236" i="5"/>
  <c r="G80" i="5"/>
  <c r="H166" i="5"/>
  <c r="F156" i="5"/>
  <c r="D50" i="5"/>
  <c r="I111" i="5"/>
  <c r="H80" i="5"/>
  <c r="I106" i="5"/>
  <c r="G101" i="5"/>
  <c r="I231" i="5"/>
  <c r="E160" i="5"/>
  <c r="C71" i="5"/>
  <c r="F215" i="5"/>
  <c r="D96" i="5"/>
  <c r="I115" i="5"/>
  <c r="D221" i="5"/>
  <c r="C235" i="5"/>
  <c r="F151" i="5"/>
  <c r="C156" i="5"/>
  <c r="C65" i="5"/>
  <c r="C246" i="5"/>
  <c r="F31" i="5"/>
  <c r="C106" i="5"/>
  <c r="C50" i="5"/>
  <c r="F90" i="5"/>
  <c r="H105" i="5"/>
  <c r="H165" i="5"/>
  <c r="E251" i="5"/>
  <c r="E241" i="5"/>
  <c r="H211" i="5"/>
  <c r="E240" i="5"/>
  <c r="I140" i="5"/>
  <c r="F56" i="5"/>
  <c r="F235" i="5"/>
  <c r="E90" i="5"/>
  <c r="G226" i="5"/>
  <c r="D241" i="5"/>
  <c r="I95" i="5"/>
  <c r="F205" i="5"/>
  <c r="C80" i="5"/>
  <c r="C116" i="5"/>
  <c r="G125" i="5"/>
  <c r="I176" i="5"/>
  <c r="F40" i="5"/>
  <c r="H106" i="5"/>
  <c r="H95" i="5"/>
  <c r="C161" i="5"/>
  <c r="G195" i="5"/>
  <c r="G175" i="5"/>
  <c r="E176" i="5"/>
  <c r="G95" i="5"/>
  <c r="D30" i="5"/>
  <c r="I121" i="5"/>
  <c r="C90" i="5"/>
  <c r="H186" i="5"/>
  <c r="G25" i="5"/>
  <c r="I145" i="5"/>
  <c r="I235" i="5"/>
  <c r="D246" i="5"/>
  <c r="G151" i="5"/>
  <c r="D56" i="5"/>
  <c r="E216" i="5"/>
  <c r="C100" i="5"/>
  <c r="G96" i="5"/>
  <c r="I180" i="5"/>
  <c r="G116" i="5"/>
  <c r="E35" i="5"/>
  <c r="H136" i="5"/>
  <c r="H156" i="5"/>
  <c r="G220" i="5"/>
  <c r="E130" i="5"/>
  <c r="F70" i="5"/>
  <c r="F175" i="5"/>
  <c r="E45" i="5"/>
  <c r="D126" i="5"/>
  <c r="C165" i="5"/>
  <c r="E25" i="5"/>
  <c r="I126" i="5"/>
  <c r="F76" i="5"/>
  <c r="E200" i="5"/>
  <c r="H221" i="5"/>
  <c r="D206" i="5"/>
  <c r="C245" i="5"/>
  <c r="G156" i="5"/>
  <c r="F170" i="5"/>
  <c r="H96" i="5"/>
  <c r="G61" i="5"/>
  <c r="I215" i="5"/>
  <c r="D121" i="5"/>
  <c r="G36" i="5"/>
  <c r="E61" i="5"/>
  <c r="C61" i="5"/>
  <c r="H151" i="5"/>
  <c r="D106" i="5"/>
  <c r="I210" i="5"/>
  <c r="D80" i="5"/>
  <c r="I175" i="5"/>
  <c r="E51" i="5"/>
  <c r="E191" i="5"/>
  <c r="G126" i="5"/>
  <c r="D160" i="5"/>
  <c r="E186" i="5"/>
  <c r="G115" i="5"/>
  <c r="C25" i="5"/>
  <c r="I161" i="5"/>
  <c r="E205" i="5"/>
  <c r="G60" i="5"/>
  <c r="G246" i="5"/>
  <c r="I211" i="5"/>
  <c r="C155" i="5"/>
  <c r="D211" i="5"/>
  <c r="G191" i="5"/>
  <c r="G26" i="5"/>
  <c r="D146" i="5"/>
  <c r="D125" i="5"/>
  <c r="H245" i="5"/>
  <c r="E135" i="5"/>
  <c r="H145" i="5"/>
  <c r="I220" i="5"/>
  <c r="H75" i="5"/>
  <c r="I101" i="5"/>
  <c r="F216" i="5"/>
  <c r="H216" i="5"/>
  <c r="C221" i="5"/>
  <c r="F201" i="5"/>
  <c r="F35" i="5"/>
  <c r="C95" i="5"/>
  <c r="F65" i="5"/>
  <c r="C230" i="5"/>
  <c r="I125" i="5"/>
  <c r="E210" i="5"/>
  <c r="G30" i="5"/>
  <c r="E220" i="5"/>
  <c r="C125" i="5"/>
  <c r="E40" i="5"/>
  <c r="C240" i="5"/>
  <c r="I150" i="5"/>
  <c r="G185" i="5"/>
  <c r="C75" i="5"/>
  <c r="D186" i="5"/>
  <c r="C250" i="5"/>
  <c r="I225" i="5"/>
  <c r="E80" i="5"/>
  <c r="C81" i="5"/>
  <c r="H70" i="5"/>
  <c r="E185" i="5"/>
  <c r="E126" i="5"/>
  <c r="H116" i="5"/>
  <c r="C181" i="5"/>
  <c r="E246" i="5"/>
  <c r="F160" i="5"/>
  <c r="G40" i="5"/>
  <c r="G35" i="5"/>
  <c r="G245" i="5"/>
  <c r="C31" i="5"/>
  <c r="G150" i="5"/>
  <c r="D151" i="5"/>
  <c r="G251" i="5"/>
  <c r="H131" i="5"/>
  <c r="G145" i="5"/>
  <c r="E156" i="5"/>
  <c r="C140" i="5"/>
  <c r="I51" i="5"/>
  <c r="F245" i="5"/>
  <c r="D155" i="5"/>
  <c r="C231" i="5"/>
  <c r="D215" i="5"/>
  <c r="F105" i="5"/>
  <c r="D100" i="5"/>
  <c r="H35" i="5"/>
  <c r="G105" i="5"/>
  <c r="H101" i="5"/>
  <c r="I60" i="5"/>
  <c r="F91" i="5"/>
  <c r="I166" i="5"/>
  <c r="I245" i="5"/>
  <c r="F240" i="5"/>
  <c r="C76" i="5"/>
  <c r="G171" i="5"/>
  <c r="C196" i="5"/>
  <c r="H100" i="5"/>
  <c r="F246" i="5"/>
  <c r="H45" i="5"/>
  <c r="E140" i="5"/>
  <c r="H111" i="5"/>
  <c r="F210" i="5"/>
  <c r="E136" i="5"/>
  <c r="D71" i="5"/>
  <c r="I200" i="5"/>
  <c r="E180" i="5"/>
  <c r="G230" i="5"/>
  <c r="I80" i="5"/>
  <c r="F41" i="5"/>
  <c r="D210" i="5"/>
  <c r="E121" i="5"/>
  <c r="G176" i="5"/>
  <c r="D176" i="5"/>
  <c r="F61" i="5"/>
  <c r="D220" i="5"/>
  <c r="D190" i="5"/>
  <c r="F136" i="5"/>
  <c r="I35" i="5"/>
  <c r="C151" i="5"/>
  <c r="D35" i="5"/>
  <c r="I196" i="5"/>
  <c r="C121" i="5"/>
  <c r="F176" i="5"/>
  <c r="E161" i="5"/>
  <c r="H176" i="5"/>
  <c r="F66" i="5"/>
  <c r="F236" i="5"/>
  <c r="D91" i="5"/>
  <c r="I216" i="5"/>
  <c r="C216" i="5"/>
  <c r="I241" i="5"/>
  <c r="I136" i="5"/>
  <c r="I66" i="5"/>
  <c r="H126" i="5"/>
  <c r="E106" i="5"/>
  <c r="I201" i="5"/>
  <c r="H215" i="5"/>
  <c r="D200" i="5"/>
  <c r="E71" i="5"/>
  <c r="G120" i="5"/>
  <c r="H170" i="5"/>
  <c r="C171" i="5"/>
  <c r="H240" i="5"/>
  <c r="D60" i="5"/>
  <c r="C36" i="5"/>
  <c r="G180" i="5"/>
  <c r="G85" i="5"/>
  <c r="E206" i="5"/>
  <c r="G41" i="5"/>
  <c r="D40" i="5"/>
  <c r="F115" i="5"/>
  <c r="H81" i="5"/>
  <c r="F185" i="5"/>
  <c r="I85" i="5"/>
  <c r="F50" i="5"/>
  <c r="C226" i="5"/>
  <c r="H30" i="5"/>
  <c r="E190" i="5"/>
  <c r="E171" i="5"/>
  <c r="C176" i="5"/>
  <c r="E85" i="5"/>
  <c r="H231" i="5"/>
  <c r="G201" i="5"/>
  <c r="C211" i="5"/>
  <c r="F206" i="5"/>
  <c r="D145" i="5"/>
  <c r="D240" i="5"/>
  <c r="F155" i="5"/>
  <c r="E65" i="5"/>
  <c r="F55" i="5"/>
  <c r="I205" i="5"/>
  <c r="E211" i="5"/>
  <c r="H146" i="5"/>
  <c r="G165" i="5"/>
  <c r="F75" i="5"/>
  <c r="G205" i="5"/>
  <c r="E115" i="5"/>
  <c r="I55" i="5"/>
  <c r="E231" i="5"/>
  <c r="C170" i="5"/>
  <c r="I36" i="5"/>
  <c r="I190" i="5"/>
  <c r="E75" i="5"/>
  <c r="C115" i="5"/>
  <c r="G166" i="5"/>
  <c r="I91" i="5"/>
  <c r="H61" i="5"/>
  <c r="I135" i="5"/>
  <c r="F81" i="5"/>
  <c r="D181" i="5"/>
  <c r="D226" i="5"/>
  <c r="G70" i="5"/>
  <c r="C236" i="5"/>
  <c r="C201" i="5"/>
  <c r="E50" i="5"/>
  <c r="G55" i="5"/>
  <c r="E70" i="5"/>
  <c r="H91" i="5"/>
  <c r="C35" i="5"/>
  <c r="F186" i="5"/>
  <c r="C60" i="5"/>
  <c r="H246" i="5"/>
  <c r="F30" i="5"/>
  <c r="H185" i="5"/>
  <c r="G250" i="5"/>
  <c r="E196" i="5"/>
  <c r="E170" i="5"/>
  <c r="I75" i="5"/>
  <c r="H205" i="5"/>
  <c r="C166" i="5"/>
  <c r="D231" i="5"/>
  <c r="H36" i="5"/>
  <c r="F51" i="5"/>
  <c r="H220" i="5"/>
  <c r="H85" i="5"/>
  <c r="F165" i="5"/>
  <c r="E56" i="5"/>
  <c r="E26" i="5"/>
  <c r="I86" i="5"/>
  <c r="D166" i="5"/>
  <c r="C51" i="5"/>
  <c r="H190" i="5"/>
  <c r="D225" i="5"/>
  <c r="H121" i="5"/>
  <c r="G91" i="5"/>
  <c r="I130" i="5"/>
  <c r="C146" i="5"/>
  <c r="G225" i="5"/>
  <c r="G181" i="5"/>
  <c r="J264" i="2"/>
  <c r="A266" i="2" s="1" a="1"/>
  <c r="A266" i="2" s="1"/>
  <c r="J265" i="2"/>
  <c r="J266" i="2"/>
  <c r="B59" i="2"/>
  <c r="B20" i="1" s="1"/>
  <c r="B90" i="5"/>
  <c r="J267" i="2" l="1"/>
  <c r="A269" i="2" s="1" a="1"/>
  <c r="A269" i="2" s="1"/>
  <c r="J268" i="2"/>
  <c r="J269" i="2"/>
  <c r="B62" i="2"/>
  <c r="B21" i="1" s="1"/>
  <c r="B95" i="5"/>
  <c r="J270" i="2" l="1"/>
  <c r="A272" i="2" s="1" a="1"/>
  <c r="A272" i="2" s="1"/>
  <c r="J271" i="2"/>
  <c r="J272" i="2"/>
  <c r="B65" i="2"/>
  <c r="B100" i="5"/>
  <c r="B22" i="1"/>
  <c r="J273" i="2" l="1"/>
  <c r="A275" i="2" s="1" a="1"/>
  <c r="A275" i="2" s="1"/>
  <c r="J274" i="2"/>
  <c r="J275" i="2"/>
  <c r="B68" i="2"/>
  <c r="B105" i="5"/>
  <c r="B23" i="1"/>
  <c r="J276" i="2" l="1"/>
  <c r="A278" i="2" s="1" a="1"/>
  <c r="A278" i="2" s="1"/>
  <c r="J277" i="2"/>
  <c r="J278" i="2"/>
  <c r="B71" i="2"/>
  <c r="B110" i="5"/>
  <c r="B24" i="1"/>
  <c r="J279" i="2" l="1"/>
  <c r="A281" i="2" s="1" a="1"/>
  <c r="A281" i="2" s="1"/>
  <c r="J280" i="2"/>
  <c r="J281" i="2"/>
  <c r="B74" i="2"/>
  <c r="B115" i="5"/>
  <c r="B25" i="1"/>
  <c r="J282" i="2" l="1"/>
  <c r="A284" i="2" s="1" a="1"/>
  <c r="A284" i="2" s="1"/>
  <c r="J283" i="2"/>
  <c r="J284" i="2"/>
  <c r="B77" i="2"/>
  <c r="B120" i="5" s="1"/>
  <c r="J285" i="2" l="1"/>
  <c r="A287" i="2" s="1" a="1"/>
  <c r="A287" i="2" s="1"/>
  <c r="J286" i="2"/>
  <c r="J287" i="2"/>
  <c r="B26" i="1"/>
  <c r="B80" i="2"/>
  <c r="B125" i="5" s="1"/>
  <c r="J288" i="2" l="1"/>
  <c r="A290" i="2" s="1" a="1"/>
  <c r="A290" i="2" s="1"/>
  <c r="J289" i="2"/>
  <c r="J290" i="2"/>
  <c r="B27" i="1"/>
  <c r="B83" i="2"/>
  <c r="B130" i="5" s="1"/>
  <c r="J291" i="2" l="1"/>
  <c r="A293" i="2" s="1" a="1"/>
  <c r="A293" i="2" s="1"/>
  <c r="J292" i="2"/>
  <c r="J293" i="2"/>
  <c r="B28" i="1"/>
  <c r="B86" i="2"/>
  <c r="B135" i="5" s="1"/>
  <c r="J294" i="2" l="1"/>
  <c r="A296" i="2" s="1" a="1"/>
  <c r="A296" i="2" s="1"/>
  <c r="J295" i="2"/>
  <c r="J296" i="2"/>
  <c r="B29" i="1"/>
  <c r="B89" i="2"/>
  <c r="B140" i="5" s="1"/>
  <c r="J297" i="2" l="1"/>
  <c r="A299" i="2" s="1" a="1"/>
  <c r="A299" i="2" s="1"/>
  <c r="J298" i="2"/>
  <c r="J299" i="2"/>
  <c r="B30" i="1"/>
  <c r="B92" i="2"/>
  <c r="B95" i="2" s="1"/>
  <c r="J300" i="2" l="1"/>
  <c r="A302" i="2" s="1" a="1"/>
  <c r="A302" i="2" s="1"/>
  <c r="J301" i="2"/>
  <c r="J302" i="2"/>
  <c r="B145" i="5"/>
  <c r="B31" i="1"/>
  <c r="B150" i="5"/>
  <c r="B98" i="2"/>
  <c r="B32" i="1"/>
  <c r="J303" i="2" l="1"/>
  <c r="A305" i="2" s="1" a="1"/>
  <c r="A305" i="2" s="1"/>
  <c r="J304" i="2"/>
  <c r="J305" i="2"/>
  <c r="B33" i="1"/>
  <c r="B155" i="5"/>
  <c r="B101" i="2"/>
  <c r="J306" i="2" l="1"/>
  <c r="A308" i="2" s="1" a="1"/>
  <c r="A308" i="2" s="1"/>
  <c r="J307" i="2"/>
  <c r="J308" i="2"/>
  <c r="B34" i="1"/>
  <c r="B160" i="5"/>
  <c r="B104" i="2"/>
  <c r="J309" i="2" l="1"/>
  <c r="A311" i="2" s="1" a="1"/>
  <c r="A311" i="2" s="1"/>
  <c r="J310" i="2"/>
  <c r="J311" i="2"/>
  <c r="B35" i="1"/>
  <c r="B165" i="5"/>
  <c r="B107" i="2"/>
  <c r="J312" i="2" l="1"/>
  <c r="A314" i="2" s="1" a="1"/>
  <c r="A314" i="2" s="1"/>
  <c r="J313" i="2"/>
  <c r="J314" i="2"/>
  <c r="B36" i="1"/>
  <c r="B170" i="5"/>
  <c r="B110" i="2"/>
  <c r="J315" i="2" l="1"/>
  <c r="A317" i="2" s="1" a="1"/>
  <c r="A317" i="2" s="1"/>
  <c r="J316" i="2"/>
  <c r="J317" i="2"/>
  <c r="B37" i="1"/>
  <c r="B175" i="5"/>
  <c r="B113" i="2"/>
  <c r="J318" i="2" l="1"/>
  <c r="A320" i="2" s="1" a="1"/>
  <c r="A320" i="2" s="1"/>
  <c r="J319" i="2"/>
  <c r="J320" i="2"/>
  <c r="B38" i="1"/>
  <c r="B180" i="5"/>
  <c r="B116" i="2"/>
  <c r="J321" i="2" l="1"/>
  <c r="A323" i="2" s="1" a="1"/>
  <c r="A323" i="2" s="1"/>
  <c r="J322" i="2"/>
  <c r="J323" i="2"/>
  <c r="B39" i="1"/>
  <c r="B185" i="5"/>
  <c r="B119" i="2"/>
  <c r="J324" i="2" l="1"/>
  <c r="A326" i="2" s="1" a="1"/>
  <c r="A326" i="2" s="1"/>
  <c r="J325" i="2"/>
  <c r="J326" i="2"/>
  <c r="B40" i="1"/>
  <c r="B190" i="5"/>
  <c r="B122" i="2"/>
  <c r="J327" i="2" l="1"/>
  <c r="A329" i="2" s="1" a="1"/>
  <c r="A329" i="2" s="1"/>
  <c r="J328" i="2"/>
  <c r="J329" i="2"/>
  <c r="B41" i="1"/>
  <c r="B195" i="5"/>
  <c r="B125" i="2"/>
  <c r="J330" i="2" l="1"/>
  <c r="A332" i="2" s="1" a="1"/>
  <c r="A332" i="2" s="1"/>
  <c r="J331" i="2"/>
  <c r="J332" i="2"/>
  <c r="B42" i="1"/>
  <c r="B200" i="5"/>
  <c r="B128" i="2"/>
  <c r="J333" i="2" l="1"/>
  <c r="A335" i="2" s="1" a="1"/>
  <c r="A335" i="2" s="1"/>
  <c r="J334" i="2"/>
  <c r="J335" i="2"/>
  <c r="B43" i="1"/>
  <c r="B205" i="5"/>
  <c r="B131" i="2"/>
  <c r="J336" i="2" l="1"/>
  <c r="A338" i="2" s="1" a="1"/>
  <c r="A338" i="2" s="1"/>
  <c r="J337" i="2"/>
  <c r="J338" i="2"/>
  <c r="B44" i="1"/>
  <c r="B210" i="5"/>
  <c r="B134" i="2"/>
  <c r="J339" i="2" l="1"/>
  <c r="A341" i="2" s="1" a="1"/>
  <c r="A341" i="2" s="1"/>
  <c r="J340" i="2"/>
  <c r="J341" i="2"/>
  <c r="B45" i="1"/>
  <c r="B215" i="5"/>
  <c r="B137" i="2"/>
  <c r="J342" i="2" l="1"/>
  <c r="A344" i="2" s="1" a="1"/>
  <c r="A344" i="2" s="1"/>
  <c r="J343" i="2"/>
  <c r="J344" i="2"/>
  <c r="B46" i="1"/>
  <c r="B220" i="5"/>
  <c r="B140" i="2"/>
  <c r="J345" i="2" l="1"/>
  <c r="A347" i="2" s="1" a="1"/>
  <c r="A347" i="2" s="1"/>
  <c r="J346" i="2"/>
  <c r="J347" i="2"/>
  <c r="B47" i="1"/>
  <c r="B225" i="5"/>
  <c r="B143" i="2"/>
  <c r="J348" i="2" l="1"/>
  <c r="A350" i="2" s="1" a="1"/>
  <c r="A350" i="2" s="1"/>
  <c r="J349" i="2"/>
  <c r="J350" i="2"/>
  <c r="B48" i="1"/>
  <c r="B230" i="5"/>
  <c r="B146" i="2"/>
  <c r="J351" i="2" l="1"/>
  <c r="A353" i="2" s="1" a="1"/>
  <c r="A353" i="2" s="1"/>
  <c r="J352" i="2"/>
  <c r="J353" i="2"/>
  <c r="B49" i="1"/>
  <c r="B235" i="5"/>
  <c r="B149" i="2"/>
  <c r="J354" i="2" l="1"/>
  <c r="A356" i="2" s="1" a="1"/>
  <c r="A356" i="2" s="1"/>
  <c r="J355" i="2"/>
  <c r="J356" i="2"/>
  <c r="B50" i="1"/>
  <c r="B240" i="5"/>
  <c r="B152" i="2"/>
  <c r="J357" i="2" l="1"/>
  <c r="A359" i="2" s="1" a="1"/>
  <c r="A359" i="2" s="1"/>
  <c r="J358" i="2"/>
  <c r="J359" i="2"/>
  <c r="B51" i="1"/>
  <c r="B245" i="5"/>
  <c r="B155" i="2"/>
  <c r="J360" i="2" l="1"/>
  <c r="A362" i="2" s="1" a="1"/>
  <c r="A362" i="2" s="1"/>
  <c r="J361" i="2"/>
  <c r="J362" i="2"/>
  <c r="B52" i="1"/>
  <c r="B250" i="5"/>
  <c r="B158" i="2"/>
  <c r="G311" i="5" a="1"/>
  <c r="C331" i="5" a="1"/>
  <c r="E276" i="5" a="1"/>
  <c r="H330" i="5" a="1"/>
  <c r="F336" i="5" a="1"/>
  <c r="D336" i="5" a="1"/>
  <c r="F280" i="5" a="1"/>
  <c r="D311" i="5" a="1"/>
  <c r="I276" i="5" a="1"/>
  <c r="E321" i="5" a="1"/>
  <c r="F290" i="5" a="1"/>
  <c r="I321" i="5" a="1"/>
  <c r="F305" i="5" a="1"/>
  <c r="E290" i="5" a="1"/>
  <c r="G321" i="5" a="1"/>
  <c r="I285" i="5" a="1"/>
  <c r="C321" i="5" a="1"/>
  <c r="D335" i="5" a="1"/>
  <c r="E311" i="5" a="1"/>
  <c r="H321" i="5" a="1"/>
  <c r="F296" i="5" a="1"/>
  <c r="H291" i="5" a="1"/>
  <c r="C310" i="5" a="1"/>
  <c r="H351" i="5" a="1"/>
  <c r="H296" i="5" a="1"/>
  <c r="H261" i="5" a="1"/>
  <c r="E351" i="5" a="1"/>
  <c r="G296" i="5" a="1"/>
  <c r="I286" i="5" a="1"/>
  <c r="H256" i="5" a="1"/>
  <c r="D261" i="5" a="1"/>
  <c r="H320" i="5" a="1"/>
  <c r="I341" i="5" a="1"/>
  <c r="C346" i="5" a="1"/>
  <c r="I261" i="5" a="1"/>
  <c r="D586" i="5" a="1"/>
  <c r="G585" i="5" a="1"/>
  <c r="D576" i="5" a="1"/>
  <c r="C576" i="5" a="1"/>
  <c r="I565" i="5" a="1"/>
  <c r="E555" i="5" a="1"/>
  <c r="F556" i="5" a="1"/>
  <c r="E546" i="5" a="1"/>
  <c r="I545" i="5" a="1"/>
  <c r="G535" i="5" a="1"/>
  <c r="F535" i="5" a="1"/>
  <c r="G526" i="5" a="1"/>
  <c r="D516" i="5" a="1"/>
  <c r="H515" i="5" a="1"/>
  <c r="D506" i="5" a="1"/>
  <c r="E506" i="5" a="1"/>
  <c r="F496" i="5" a="1"/>
  <c r="E495" i="5" a="1"/>
  <c r="F486" i="5" a="1"/>
  <c r="C476" i="5" a="1"/>
  <c r="H476" i="5" a="1"/>
  <c r="F465" i="5" a="1"/>
  <c r="F466" i="5" a="1"/>
  <c r="C456" i="5" a="1"/>
  <c r="H455" i="5" a="1"/>
  <c r="I445" i="5" a="1"/>
  <c r="G435" i="5" a="1"/>
  <c r="E435" i="5" a="1"/>
  <c r="F426" i="5" a="1"/>
  <c r="C425" i="5" a="1"/>
  <c r="H415" i="5" a="1"/>
  <c r="E416" i="5" a="1"/>
  <c r="E406" i="5" a="1"/>
  <c r="F390" i="5" a="1"/>
  <c r="F395" i="5" a="1"/>
  <c r="D395" i="5" a="1"/>
  <c r="G396" i="5" a="1"/>
  <c r="E381" i="5" a="1"/>
  <c r="C381" i="5" a="1"/>
  <c r="C371" i="5" a="1"/>
  <c r="H361" i="5" a="1"/>
  <c r="I360" i="5" a="1"/>
  <c r="G356" i="5" a="1"/>
  <c r="I356" i="5" a="1"/>
  <c r="E366" i="5" a="1"/>
  <c r="D365" i="5" a="1"/>
  <c r="C375" i="5" a="1"/>
  <c r="G386" i="5" a="1"/>
  <c r="D386" i="5" a="1"/>
  <c r="H401" i="5" a="1"/>
  <c r="D400" i="5" a="1"/>
  <c r="E411" i="5" a="1"/>
  <c r="H410" i="5" a="1"/>
  <c r="I420" i="5" a="1"/>
  <c r="I430" i="5" a="1"/>
  <c r="H431" i="5" a="1"/>
  <c r="F440" i="5" a="1"/>
  <c r="D440" i="5" a="1"/>
  <c r="C450" i="5" a="1"/>
  <c r="H451" i="5" a="1"/>
  <c r="H461" i="5" a="1"/>
  <c r="E470" i="5" a="1"/>
  <c r="E471" i="5" a="1"/>
  <c r="F480" i="5" a="1"/>
  <c r="G481" i="5" a="1"/>
  <c r="I490" i="5" a="1"/>
  <c r="F490" i="5" a="1"/>
  <c r="H500" i="5" a="1"/>
  <c r="E510" i="5" a="1"/>
  <c r="E511" i="5" a="1"/>
  <c r="F521" i="5" a="1"/>
  <c r="D520" i="5" a="1"/>
  <c r="G531" i="5" a="1"/>
  <c r="D531" i="5" a="1"/>
  <c r="F540" i="5" a="1"/>
  <c r="F550" i="5" a="1"/>
  <c r="D550" i="5" a="1"/>
  <c r="H561" i="5" a="1"/>
  <c r="E561" i="5" a="1"/>
  <c r="D570" i="5" a="1"/>
  <c r="E571" i="5" a="1"/>
  <c r="F581" i="5" a="1"/>
  <c r="F591" i="5" a="1"/>
  <c r="F600" i="5" a="1"/>
  <c r="I601" i="5" a="1"/>
  <c r="H590" i="5" a="1"/>
  <c r="H550" i="5" a="1"/>
  <c r="C560" i="5" a="1"/>
  <c r="F570" i="5" a="1"/>
  <c r="C580" i="5" a="1"/>
  <c r="E601" i="5" a="1"/>
  <c r="G600" i="5" a="1"/>
  <c r="I561" i="5" a="1"/>
  <c r="H581" i="5" a="1"/>
  <c r="G601" i="5" a="1"/>
  <c r="D601" i="5" a="1"/>
  <c r="H536" i="5" a="1"/>
  <c r="I515" i="5" a="1"/>
  <c r="G495" i="5" a="1"/>
  <c r="G476" i="5" a="1"/>
  <c r="C446" i="5" a="1"/>
  <c r="I436" i="5" a="1"/>
  <c r="C415" i="5" a="1"/>
  <c r="G391" i="5" a="1"/>
  <c r="G380" i="5" a="1"/>
  <c r="G370" i="5" a="1"/>
  <c r="D281" i="5" a="1"/>
  <c r="G310" i="5" a="1"/>
  <c r="H280" i="5" a="1"/>
  <c r="G351" i="5" a="1"/>
  <c r="I326" i="5" a="1"/>
  <c r="D310" i="5" a="1"/>
  <c r="D291" i="5" a="1"/>
  <c r="C290" i="5" a="1"/>
  <c r="I291" i="5" a="1"/>
  <c r="I306" i="5" a="1"/>
  <c r="H310" i="5" a="1"/>
  <c r="H345" i="5" a="1"/>
  <c r="I265" i="5" a="1"/>
  <c r="G306" i="5" a="1"/>
  <c r="C315" i="5" a="1"/>
  <c r="H301" i="5" a="1"/>
  <c r="G341" i="5" a="1"/>
  <c r="I340" i="5" a="1"/>
  <c r="D325" i="5" a="1"/>
  <c r="C281" i="5" a="1"/>
  <c r="G325" i="5" a="1"/>
  <c r="F320" i="5" a="1"/>
  <c r="C345" i="5" a="1"/>
  <c r="C256" i="5" a="1"/>
  <c r="D315" i="5" a="1"/>
  <c r="G285" i="5" a="1"/>
  <c r="F315" i="5" a="1"/>
  <c r="E346" i="5" a="1"/>
  <c r="F316" i="5" a="1"/>
  <c r="I290" i="5" a="1"/>
  <c r="D305" i="5" a="1"/>
  <c r="C286" i="5" a="1"/>
  <c r="G291" i="5" a="1"/>
  <c r="D255" i="5" a="1"/>
  <c r="D316" i="5" a="1"/>
  <c r="E586" i="5" a="1"/>
  <c r="E585" i="5" a="1"/>
  <c r="H576" i="5" a="1"/>
  <c r="I576" i="5" a="1"/>
  <c r="G565" i="5" a="1"/>
  <c r="G555" i="5" a="1"/>
  <c r="E556" i="5" a="1"/>
  <c r="D546" i="5" a="1"/>
  <c r="E545" i="5" a="1"/>
  <c r="D536" i="5" a="1"/>
  <c r="D535" i="5" a="1"/>
  <c r="E525" i="5" a="1"/>
  <c r="I516" i="5" a="1"/>
  <c r="H516" i="5" a="1"/>
  <c r="F505" i="5" a="1"/>
  <c r="C505" i="5" a="1"/>
  <c r="C495" i="5" a="1"/>
  <c r="D495" i="5" a="1"/>
  <c r="G486" i="5" a="1"/>
  <c r="H475" i="5" a="1"/>
  <c r="D475" i="5" a="1"/>
  <c r="I466" i="5" a="1"/>
  <c r="E466" i="5" a="1"/>
  <c r="F455" i="5" a="1"/>
  <c r="E455" i="5" a="1"/>
  <c r="H446" i="5" a="1"/>
  <c r="D435" i="5" a="1"/>
  <c r="E436" i="5" a="1"/>
  <c r="I426" i="5" a="1"/>
  <c r="C426" i="5" a="1"/>
  <c r="F415" i="5" a="1"/>
  <c r="D416" i="5" a="1"/>
  <c r="C405" i="5" a="1"/>
  <c r="E396" i="5" a="1"/>
  <c r="H390" i="5" a="1"/>
  <c r="E395" i="5" a="1"/>
  <c r="I391" i="5" a="1"/>
  <c r="D380" i="5" a="1"/>
  <c r="I381" i="5" a="1"/>
  <c r="F371" i="5" a="1"/>
  <c r="C360" i="5" a="1"/>
  <c r="E360" i="5" a="1"/>
  <c r="G355" i="5" a="1"/>
  <c r="H356" i="5" a="1"/>
  <c r="F365" i="5" a="1"/>
  <c r="G366" i="5" a="1"/>
  <c r="D375" i="5" a="1"/>
  <c r="H386" i="5" a="1"/>
  <c r="F385" i="5" a="1"/>
  <c r="I400" i="5" a="1"/>
  <c r="E401" i="5" a="1"/>
  <c r="I411" i="5" a="1"/>
  <c r="H411" i="5" a="1"/>
  <c r="H420" i="5" a="1"/>
  <c r="E430" i="5" a="1"/>
  <c r="G430" i="5" a="1"/>
  <c r="F441" i="5" a="1"/>
  <c r="E441" i="5" a="1"/>
  <c r="E450" i="5" a="1"/>
  <c r="C451" i="5" a="1"/>
  <c r="H460" i="5" a="1"/>
  <c r="G470" i="5" a="1"/>
  <c r="I470" i="5" a="1"/>
  <c r="H480" i="5" a="1"/>
  <c r="D481" i="5" a="1"/>
  <c r="D491" i="5" a="1"/>
  <c r="C490" i="5" a="1"/>
  <c r="G501" i="5" a="1"/>
  <c r="F511" i="5" a="1"/>
  <c r="C511" i="5" a="1"/>
  <c r="C520" i="5" a="1"/>
  <c r="I521" i="5" a="1"/>
  <c r="E530" i="5" a="1"/>
  <c r="C531" i="5" a="1"/>
  <c r="G541" i="5" a="1"/>
  <c r="C551" i="5" a="1"/>
  <c r="F560" i="5" a="1"/>
  <c r="C570" i="5" a="1"/>
  <c r="I590" i="5" a="1"/>
  <c r="C591" i="5" a="1"/>
  <c r="E560" i="5" a="1"/>
  <c r="C581" i="5" a="1"/>
  <c r="C600" i="5" a="1"/>
  <c r="C545" i="5" a="1"/>
  <c r="I505" i="5" a="1"/>
  <c r="G485" i="5" a="1"/>
  <c r="G466" i="5" a="1"/>
  <c r="D455" i="5" a="1"/>
  <c r="F436" i="5" a="1"/>
  <c r="H425" i="5" a="1"/>
  <c r="H391" i="5" a="1"/>
  <c r="F396" i="5" a="1"/>
  <c r="H340" i="5" a="1"/>
  <c r="D295" i="5" a="1"/>
  <c r="G280" i="5" a="1"/>
  <c r="C276" i="5" a="1"/>
  <c r="E305" i="5" a="1"/>
  <c r="C300" i="5" a="1"/>
  <c r="F351" i="5" a="1"/>
  <c r="C291" i="5" a="1"/>
  <c r="F341" i="5" a="1"/>
  <c r="G345" i="5" a="1"/>
  <c r="I266" i="5" a="1"/>
  <c r="G261" i="5" a="1"/>
  <c r="D306" i="5" a="1"/>
  <c r="C265" i="5" a="1"/>
  <c r="H336" i="5" a="1"/>
  <c r="I256" i="5" a="1"/>
  <c r="C350" i="5" a="1"/>
  <c r="G276" i="5" a="1"/>
  <c r="H285" i="5" a="1"/>
  <c r="F300" i="5" a="1"/>
  <c r="I260" i="5" a="1"/>
  <c r="F261" i="5" a="1"/>
  <c r="C326" i="5" a="1"/>
  <c r="F310" i="5" a="1"/>
  <c r="E285" i="5" a="1"/>
  <c r="H326" i="5" a="1"/>
  <c r="D296" i="5" a="1"/>
  <c r="E260" i="5" a="1"/>
  <c r="C266" i="5" a="1"/>
  <c r="I350" i="5" a="1"/>
  <c r="E310" i="5" a="1"/>
  <c r="E255" i="5" a="1"/>
  <c r="E320" i="5" a="1"/>
  <c r="F271" i="5" a="1"/>
  <c r="G316" i="5" a="1"/>
  <c r="H586" i="5" a="1"/>
  <c r="C585" i="5" a="1"/>
  <c r="E575" i="5" a="1"/>
  <c r="G566" i="5" a="1"/>
  <c r="E565" i="5" a="1"/>
  <c r="I555" i="5" a="1"/>
  <c r="D556" i="5" a="1"/>
  <c r="I546" i="5" a="1"/>
  <c r="F546" i="5" a="1"/>
  <c r="C536" i="5" a="1"/>
  <c r="G525" i="5" a="1"/>
  <c r="C525" i="5" a="1"/>
  <c r="C515" i="5" a="1"/>
  <c r="F515" i="5" a="1"/>
  <c r="F506" i="5" a="1"/>
  <c r="H506" i="5" a="1"/>
  <c r="I495" i="5" a="1"/>
  <c r="E485" i="5" a="1"/>
  <c r="C485" i="5" a="1"/>
  <c r="F475" i="5" a="1"/>
  <c r="C475" i="5" a="1"/>
  <c r="C466" i="5" a="1"/>
  <c r="I465" i="5" a="1"/>
  <c r="I456" i="5" a="1"/>
  <c r="F445" i="5" a="1"/>
  <c r="I446" i="5" a="1"/>
  <c r="I435" i="5" a="1"/>
  <c r="C436" i="5" a="1"/>
  <c r="E426" i="5" a="1"/>
  <c r="G425" i="5" a="1"/>
  <c r="E415" i="5" a="1"/>
  <c r="E405" i="5" a="1"/>
  <c r="H405" i="5" a="1"/>
  <c r="I396" i="5" a="1"/>
  <c r="E391" i="5" a="1"/>
  <c r="C396" i="5" a="1"/>
  <c r="D396" i="5" a="1"/>
  <c r="F380" i="5" a="1"/>
  <c r="H371" i="5" a="1"/>
  <c r="C370" i="5" a="1"/>
  <c r="I361" i="5" a="1"/>
  <c r="C361" i="5" a="1"/>
  <c r="F355" i="5" a="1"/>
  <c r="H355" i="5" a="1"/>
  <c r="I365" i="5" a="1"/>
  <c r="I376" i="5" a="1"/>
  <c r="F376" i="5" a="1"/>
  <c r="C385" i="5" a="1"/>
  <c r="E385" i="5" a="1"/>
  <c r="G400" i="5" a="1"/>
  <c r="F401" i="5" a="1"/>
  <c r="G410" i="5" a="1"/>
  <c r="C421" i="5" a="1"/>
  <c r="D421" i="5" a="1"/>
  <c r="F431" i="5" a="1"/>
  <c r="C431" i="5" a="1"/>
  <c r="H440" i="5" a="1"/>
  <c r="H441" i="5" a="1"/>
  <c r="G450" i="5" a="1"/>
  <c r="F460" i="5" a="1"/>
  <c r="F461" i="5" a="1"/>
  <c r="H471" i="5" a="1"/>
  <c r="C470" i="5" a="1"/>
  <c r="E481" i="5" a="1"/>
  <c r="C481" i="5" a="1"/>
  <c r="I491" i="5" a="1"/>
  <c r="D501" i="5" a="1"/>
  <c r="H501" i="5" a="1"/>
  <c r="G510" i="5" a="1"/>
  <c r="H511" i="5" a="1"/>
  <c r="G520" i="5" a="1"/>
  <c r="H520" i="5" a="1"/>
  <c r="I530" i="5" a="1"/>
  <c r="E541" i="5" a="1"/>
  <c r="F541" i="5" a="1"/>
  <c r="I550" i="5" a="1"/>
  <c r="I551" i="5" a="1"/>
  <c r="G571" i="5" a="1"/>
  <c r="G591" i="5" a="1"/>
  <c r="D545" i="5" a="1"/>
  <c r="G505" i="5" a="1"/>
  <c r="H486" i="5" a="1"/>
  <c r="D466" i="5" a="1"/>
  <c r="G446" i="5" a="1"/>
  <c r="F425" i="5" a="1"/>
  <c r="G405" i="5" a="1"/>
  <c r="D391" i="5" a="1"/>
  <c r="D371" i="5" a="1"/>
  <c r="F356" i="5" a="1"/>
  <c r="F346" i="5" a="1"/>
  <c r="G286" i="5" a="1"/>
  <c r="D300" i="5" a="1"/>
  <c r="D345" i="5" a="1"/>
  <c r="G336" i="5" a="1"/>
  <c r="D331" i="5" a="1"/>
  <c r="I336" i="5" a="1"/>
  <c r="D276" i="5" a="1"/>
  <c r="H286" i="5" a="1"/>
  <c r="D260" i="5" a="1"/>
  <c r="E265" i="5" a="1"/>
  <c r="D256" i="5" a="1"/>
  <c r="C271" i="5" a="1"/>
  <c r="G320" i="5" a="1"/>
  <c r="C336" i="5" a="1"/>
  <c r="D351" i="5" a="1"/>
  <c r="F255" i="5" a="1"/>
  <c r="F266" i="5" a="1"/>
  <c r="C280" i="5" a="1"/>
  <c r="D271" i="5" a="1"/>
  <c r="C255" i="5" a="1"/>
  <c r="G305" i="5" a="1"/>
  <c r="G290" i="5" a="1"/>
  <c r="G350" i="5" a="1"/>
  <c r="I345" i="5" a="1"/>
  <c r="C306" i="5" a="1"/>
  <c r="I296" i="5" a="1"/>
  <c r="E306" i="5" a="1"/>
  <c r="F291" i="5" a="1"/>
  <c r="F270" i="5" a="1"/>
  <c r="F281" i="5" a="1"/>
  <c r="G330" i="5" a="1"/>
  <c r="I315" i="5" a="1"/>
  <c r="H271" i="5" a="1"/>
  <c r="G346" i="5" a="1"/>
  <c r="F585" i="5" a="1"/>
  <c r="I585" i="5" a="1"/>
  <c r="G575" i="5" a="1"/>
  <c r="I566" i="5" a="1"/>
  <c r="F565" i="5" a="1"/>
  <c r="D555" i="5" a="1"/>
  <c r="C555" i="5" a="1"/>
  <c r="H525" i="5" a="1"/>
  <c r="I525" i="5" a="1"/>
  <c r="F516" i="5" a="1"/>
  <c r="D476" i="5" a="1"/>
  <c r="D341" i="5" a="1"/>
  <c r="E275" i="5" a="1"/>
  <c r="G255" i="5" a="1"/>
  <c r="I275" i="5" a="1"/>
  <c r="F350" i="5" a="1"/>
  <c r="F276" i="5" a="1"/>
  <c r="F306" i="5" a="1"/>
  <c r="E345" i="5" a="1"/>
  <c r="F286" i="5" a="1"/>
  <c r="C335" i="5" a="1"/>
  <c r="D266" i="5" a="1"/>
  <c r="I255" i="5" a="1"/>
  <c r="H265" i="5" a="1"/>
  <c r="G335" i="5" a="1"/>
  <c r="E316" i="5" a="1"/>
  <c r="F260" i="5" a="1"/>
  <c r="G315" i="5" a="1"/>
  <c r="E341" i="5" a="1"/>
  <c r="E296" i="5" a="1"/>
  <c r="I320" i="5" a="1"/>
  <c r="C261" i="5" a="1"/>
  <c r="H290" i="5" a="1"/>
  <c r="I351" i="5" a="1"/>
  <c r="H300" i="5" a="1"/>
  <c r="F311" i="5" a="1"/>
  <c r="I316" i="5" a="1"/>
  <c r="I310" i="5" a="1"/>
  <c r="I325" i="5" a="1"/>
  <c r="G266" i="5" a="1"/>
  <c r="D320" i="5" a="1"/>
  <c r="I335" i="5" a="1"/>
  <c r="I281" i="5" a="1"/>
  <c r="I280" i="5" a="1"/>
  <c r="I301" i="5" a="1"/>
  <c r="G260" i="5" a="1"/>
  <c r="G586" i="5" a="1"/>
  <c r="H575" i="5" a="1"/>
  <c r="C575" i="5" a="1"/>
  <c r="D565" i="5" a="1"/>
  <c r="E566" i="5" a="1"/>
  <c r="I556" i="5" a="1"/>
  <c r="H556" i="5" a="1"/>
  <c r="F545" i="5" a="1"/>
  <c r="I536" i="5" a="1"/>
  <c r="G536" i="5" a="1"/>
  <c r="D526" i="5" a="1"/>
  <c r="C526" i="5" a="1"/>
  <c r="G515" i="5" a="1"/>
  <c r="D515" i="5" a="1"/>
  <c r="I506" i="5" a="1"/>
  <c r="H496" i="5" a="1"/>
  <c r="I496" i="5" a="1"/>
  <c r="C486" i="5" a="1"/>
  <c r="I486" i="5" a="1"/>
  <c r="E475" i="5" a="1"/>
  <c r="I476" i="5" a="1"/>
  <c r="D465" i="5" a="1"/>
  <c r="H456" i="5" a="1"/>
  <c r="H276" i="5" a="1"/>
  <c r="D286" i="5" a="1"/>
  <c r="E315" i="5" a="1"/>
  <c r="C325" i="5" a="1"/>
  <c r="H315" i="5" a="1"/>
  <c r="I330" i="5" a="1"/>
  <c r="F285" i="5" a="1"/>
  <c r="D350" i="5" a="1"/>
  <c r="F295" i="5" a="1"/>
  <c r="D346" i="5" a="1"/>
  <c r="D301" i="5" a="1"/>
  <c r="E266" i="5" a="1"/>
  <c r="E281" i="5" a="1"/>
  <c r="D270" i="5" a="1"/>
  <c r="C275" i="5" a="1"/>
  <c r="G326" i="5" a="1"/>
  <c r="G301" i="5" a="1"/>
  <c r="H316" i="5" a="1"/>
  <c r="C311" i="5" a="1"/>
  <c r="E300" i="5" a="1"/>
  <c r="D265" i="5" a="1"/>
  <c r="E330" i="5" a="1"/>
  <c r="I311" i="5" a="1"/>
  <c r="D290" i="5" a="1"/>
  <c r="F321" i="5" a="1"/>
  <c r="C305" i="5" a="1"/>
  <c r="F275" i="5" a="1"/>
  <c r="I331" i="5" a="1"/>
  <c r="F345" i="5" a="1"/>
  <c r="H281" i="5" a="1"/>
  <c r="H325" i="5" a="1"/>
  <c r="E335" i="5" a="1"/>
  <c r="E280" i="5" a="1"/>
  <c r="E256" i="5" a="1"/>
  <c r="F265" i="5" a="1"/>
  <c r="H585" i="5" a="1"/>
  <c r="I586" i="5" a="1"/>
  <c r="F576" i="5" a="1"/>
  <c r="E576" i="5" a="1"/>
  <c r="H566" i="5" a="1"/>
  <c r="C565" i="5" a="1"/>
  <c r="H555" i="5" a="1"/>
  <c r="H545" i="5" a="1"/>
  <c r="G546" i="5" a="1"/>
  <c r="E536" i="5" a="1"/>
  <c r="E535" i="5" a="1"/>
  <c r="F525" i="5" a="1"/>
  <c r="I526" i="5" a="1"/>
  <c r="C516" i="5" a="1"/>
  <c r="C506" i="5" a="1"/>
  <c r="D505" i="5" a="1"/>
  <c r="G496" i="5" a="1"/>
  <c r="D496" i="5" a="1"/>
  <c r="D486" i="5" a="1"/>
  <c r="D485" i="5" a="1"/>
  <c r="I475" i="5" a="1"/>
  <c r="G465" i="5" a="1"/>
  <c r="H465" i="5" a="1"/>
  <c r="C455" i="5" a="1"/>
  <c r="E456" i="5" a="1"/>
  <c r="D445" i="5" a="1"/>
  <c r="C445" i="5" a="1"/>
  <c r="D436" i="5" a="1"/>
  <c r="G426" i="5" a="1"/>
  <c r="D426" i="5" a="1"/>
  <c r="H416" i="5" a="1"/>
  <c r="I415" i="5" a="1"/>
  <c r="D405" i="5" a="1"/>
  <c r="C406" i="5" a="1"/>
  <c r="D390" i="5" a="1"/>
  <c r="C395" i="5" a="1"/>
  <c r="E390" i="5" a="1"/>
  <c r="F381" i="5" a="1"/>
  <c r="D381" i="5" a="1"/>
  <c r="I370" i="5" a="1"/>
  <c r="F370" i="5" a="1"/>
  <c r="F360" i="5" a="1"/>
  <c r="E355" i="5" a="1"/>
  <c r="C355" i="5" a="1"/>
  <c r="D366" i="5" a="1"/>
  <c r="G365" i="5" a="1"/>
  <c r="H375" i="5" a="1"/>
  <c r="G376" i="5" a="1"/>
  <c r="G385" i="5" a="1"/>
  <c r="E400" i="5" a="1"/>
  <c r="C401" i="5" a="1"/>
  <c r="C410" i="5" a="1"/>
  <c r="C411" i="5" a="1"/>
  <c r="D420" i="5" a="1"/>
  <c r="H421" i="5" a="1"/>
  <c r="D431" i="5" a="1"/>
  <c r="G441" i="5" a="1"/>
  <c r="C440" i="5" a="1"/>
  <c r="I451" i="5" a="1"/>
  <c r="F451" i="5" a="1"/>
  <c r="E460" i="5" a="1"/>
  <c r="D461" i="5" a="1"/>
  <c r="D470" i="5" a="1"/>
  <c r="E480" i="5" a="1"/>
  <c r="C480" i="5" a="1"/>
  <c r="D490" i="5" a="1"/>
  <c r="G490" i="5" a="1"/>
  <c r="G500" i="5" a="1"/>
  <c r="I501" i="5" a="1"/>
  <c r="C510" i="5" a="1"/>
  <c r="E521" i="5" a="1"/>
  <c r="G521" i="5" a="1"/>
  <c r="E531" i="5" a="1"/>
  <c r="F530" i="5" a="1"/>
  <c r="H541" i="5" a="1"/>
  <c r="I540" i="5" a="1"/>
  <c r="G550" i="5" a="1"/>
  <c r="G561" i="5" a="1"/>
  <c r="D560" i="5" a="1"/>
  <c r="F571" i="5" a="1"/>
  <c r="I571" i="5" a="1"/>
  <c r="I580" i="5" a="1"/>
  <c r="E580" i="5" a="1"/>
  <c r="H591" i="5" a="1"/>
  <c r="I600" i="5" a="1"/>
  <c r="D591" i="5" a="1"/>
  <c r="E331" i="5" a="1"/>
  <c r="C351" i="5" a="1"/>
  <c r="C285" i="5" a="1"/>
  <c r="H306" i="5" a="1"/>
  <c r="H346" i="5" a="1"/>
  <c r="I295" i="5" a="1"/>
  <c r="F335" i="5" a="1"/>
  <c r="G300" i="5" a="1"/>
  <c r="F586" i="5" a="1"/>
  <c r="C566" i="5" a="1"/>
  <c r="I535" i="5" a="1"/>
  <c r="G516" i="5" a="1"/>
  <c r="C496" i="5" a="1"/>
  <c r="E476" i="5" a="1"/>
  <c r="G455" i="5" a="1"/>
  <c r="H435" i="5" a="1"/>
  <c r="G415" i="5" a="1"/>
  <c r="H406" i="5" a="1"/>
  <c r="H396" i="5" a="1"/>
  <c r="H381" i="5" a="1"/>
  <c r="E370" i="5" a="1"/>
  <c r="D360" i="5" a="1"/>
  <c r="I366" i="5" a="1"/>
  <c r="F375" i="5" a="1"/>
  <c r="H385" i="5" a="1"/>
  <c r="G401" i="5" a="1"/>
  <c r="E410" i="5" a="1"/>
  <c r="E420" i="5" a="1"/>
  <c r="C441" i="5" a="1"/>
  <c r="D450" i="5" a="1"/>
  <c r="C461" i="5" a="1"/>
  <c r="F471" i="5" a="1"/>
  <c r="I481" i="5" a="1"/>
  <c r="C491" i="5" a="1"/>
  <c r="E500" i="5" a="1"/>
  <c r="H521" i="5" a="1"/>
  <c r="G530" i="5" a="1"/>
  <c r="C541" i="5" a="1"/>
  <c r="E551" i="5" a="1"/>
  <c r="F561" i="5" a="1"/>
  <c r="H570" i="5" a="1"/>
  <c r="H580" i="5" a="1"/>
  <c r="F590" i="5" a="1"/>
  <c r="H270" i="5" a="1"/>
  <c r="C330" i="5" a="1"/>
  <c r="H311" i="5" a="1"/>
  <c r="F536" i="5" a="1"/>
  <c r="E446" i="5" a="1"/>
  <c r="D406" i="5" a="1"/>
  <c r="C366" i="5" a="1"/>
  <c r="F411" i="5" a="1"/>
  <c r="D451" i="5" a="1"/>
  <c r="F501" i="5" a="1"/>
  <c r="D540" i="5" a="1"/>
  <c r="H600" i="5" a="1"/>
  <c r="I346" i="5" a="1"/>
  <c r="E486" i="5" a="1"/>
  <c r="G416" i="5" a="1"/>
  <c r="E361" i="5" a="1"/>
  <c r="I410" i="5" a="1"/>
  <c r="G440" i="5" a="1"/>
  <c r="F491" i="5" a="1"/>
  <c r="D530" i="5" a="1"/>
  <c r="D581" i="5" a="1"/>
  <c r="F485" i="5" a="1"/>
  <c r="H426" i="5" a="1"/>
  <c r="F361" i="5" a="1"/>
  <c r="I401" i="5" a="1"/>
  <c r="I441" i="5" a="1"/>
  <c r="G491" i="5" a="1"/>
  <c r="I541" i="5" a="1"/>
  <c r="G581" i="5" a="1"/>
  <c r="F456" i="5" a="1"/>
  <c r="E380" i="5" a="1"/>
  <c r="F410" i="5" a="1"/>
  <c r="F470" i="5" a="1"/>
  <c r="C540" i="5" a="1"/>
  <c r="E600" i="5" a="1"/>
  <c r="H331" i="5" a="1"/>
  <c r="F301" i="5" a="1"/>
  <c r="E325" i="5" a="1"/>
  <c r="H350" i="5" a="1"/>
  <c r="G295" i="5" a="1"/>
  <c r="G281" i="5" a="1"/>
  <c r="G256" i="5" a="1"/>
  <c r="H295" i="5" a="1"/>
  <c r="F330" i="5" a="1"/>
  <c r="D585" i="5" a="1"/>
  <c r="D566" i="5" a="1"/>
  <c r="C535" i="5" a="1"/>
  <c r="E515" i="5" a="1"/>
  <c r="E496" i="5" a="1"/>
  <c r="E465" i="5" a="1"/>
  <c r="G445" i="5" a="1"/>
  <c r="H436" i="5" a="1"/>
  <c r="I416" i="5" a="1"/>
  <c r="F406" i="5" a="1"/>
  <c r="G395" i="5" a="1"/>
  <c r="H380" i="5" a="1"/>
  <c r="D370" i="5" a="1"/>
  <c r="C356" i="5" a="1"/>
  <c r="F366" i="5" a="1"/>
  <c r="E376" i="5" a="1"/>
  <c r="F386" i="5" a="1"/>
  <c r="C400" i="5" a="1"/>
  <c r="C420" i="5" a="1"/>
  <c r="H430" i="5" a="1"/>
  <c r="D441" i="5" a="1"/>
  <c r="E451" i="5" a="1"/>
  <c r="C460" i="5" a="1"/>
  <c r="I471" i="5" a="1"/>
  <c r="G480" i="5" a="1"/>
  <c r="C501" i="5" a="1"/>
  <c r="F510" i="5" a="1"/>
  <c r="F520" i="5" a="1"/>
  <c r="H531" i="5" a="1"/>
  <c r="E540" i="5" a="1"/>
  <c r="F551" i="5" a="1"/>
  <c r="G560" i="5" a="1"/>
  <c r="E581" i="5" a="1"/>
  <c r="C590" i="5" a="1"/>
  <c r="D590" i="5" a="1"/>
  <c r="C320" i="5" a="1"/>
  <c r="G270" i="5" a="1"/>
  <c r="E350" i="5" a="1"/>
  <c r="D575" i="5" a="1"/>
  <c r="H505" i="5" a="1"/>
  <c r="C465" i="5" a="1"/>
  <c r="C416" i="5" a="1"/>
  <c r="I380" i="5" a="1"/>
  <c r="D385" i="5" a="1"/>
  <c r="I440" i="5" a="1"/>
  <c r="H491" i="5" a="1"/>
  <c r="I531" i="5" a="1"/>
  <c r="C571" i="5" a="1"/>
  <c r="E326" i="5" a="1"/>
  <c r="C556" i="5" a="1"/>
  <c r="F446" i="5" a="1"/>
  <c r="I406" i="5" a="1"/>
  <c r="H365" i="5" a="1"/>
  <c r="I421" i="5" a="1"/>
  <c r="G461" i="5" a="1"/>
  <c r="D510" i="5" a="1"/>
  <c r="H560" i="5" a="1"/>
  <c r="F601" i="5" a="1"/>
  <c r="E445" i="5" a="1"/>
  <c r="F391" i="5" a="1"/>
  <c r="C376" i="5" a="1"/>
  <c r="E421" i="5" a="1"/>
  <c r="D471" i="5" a="1"/>
  <c r="E520" i="5" a="1"/>
  <c r="G551" i="5" a="1"/>
  <c r="E590" i="5" a="1"/>
  <c r="D446" i="5" a="1"/>
  <c r="I395" i="5" a="1"/>
  <c r="H376" i="5" a="1"/>
  <c r="I461" i="5" a="1"/>
  <c r="E550" i="5" a="1"/>
  <c r="C296" i="5" a="1"/>
  <c r="H255" i="5" a="1"/>
  <c r="G340" i="5" a="1"/>
  <c r="E270" i="5" a="1"/>
  <c r="F340" i="5" a="1"/>
  <c r="D321" i="5" a="1"/>
  <c r="G275" i="5" a="1"/>
  <c r="D280" i="5" a="1"/>
  <c r="H266" i="5" a="1"/>
  <c r="I575" i="5" a="1"/>
  <c r="G556" i="5" a="1"/>
  <c r="H535" i="5" a="1"/>
  <c r="E516" i="5" a="1"/>
  <c r="H485" i="5" a="1"/>
  <c r="H466" i="5" a="1"/>
  <c r="H445" i="5" a="1"/>
  <c r="G436" i="5" a="1"/>
  <c r="D415" i="5" a="1"/>
  <c r="I405" i="5" a="1"/>
  <c r="C391" i="5" a="1"/>
  <c r="C380" i="5" a="1"/>
  <c r="G361" i="5" a="1"/>
  <c r="I355" i="5" a="1"/>
  <c r="C365" i="5" a="1"/>
  <c r="E375" i="5" a="1"/>
  <c r="I385" i="5" a="1"/>
  <c r="G411" i="5" a="1"/>
  <c r="F421" i="5" a="1"/>
  <c r="E431" i="5" a="1"/>
  <c r="E440" i="5" a="1"/>
  <c r="H450" i="5" a="1"/>
  <c r="G460" i="5" a="1"/>
  <c r="C471" i="5" a="1"/>
  <c r="H490" i="5" a="1"/>
  <c r="I500" i="5" a="1"/>
  <c r="H510" i="5" a="1"/>
  <c r="D521" i="5" a="1"/>
  <c r="F531" i="5" a="1"/>
  <c r="G540" i="5" a="1"/>
  <c r="C550" i="5" a="1"/>
  <c r="D571" i="5" a="1"/>
  <c r="G580" i="5" a="1"/>
  <c r="E591" i="5" a="1"/>
  <c r="I591" i="5" a="1"/>
  <c r="F256" i="5" a="1"/>
  <c r="C301" i="5" a="1"/>
  <c r="F555" i="5" a="1"/>
  <c r="I485" i="5" a="1"/>
  <c r="F435" i="5" a="1"/>
  <c r="C390" i="5" a="1"/>
  <c r="I375" i="5" a="1"/>
  <c r="G431" i="5" a="1"/>
  <c r="D460" i="5" a="1"/>
  <c r="I510" i="5" a="1"/>
  <c r="D551" i="5" a="1"/>
  <c r="H601" i="5" a="1"/>
  <c r="G576" i="5" a="1"/>
  <c r="G506" i="5" a="1"/>
  <c r="E425" i="5" a="1"/>
  <c r="E371" i="5" a="1"/>
  <c r="H400" i="5" a="1"/>
  <c r="I431" i="5" a="1"/>
  <c r="F481" i="5" a="1"/>
  <c r="C521" i="5" a="1"/>
  <c r="H571" i="5" a="1"/>
  <c r="E505" i="5" a="1"/>
  <c r="F416" i="5" a="1"/>
  <c r="E356" i="5" a="1"/>
  <c r="D411" i="5" a="1"/>
  <c r="I460" i="5" a="1"/>
  <c r="D500" i="5" a="1"/>
  <c r="C561" i="5" a="1"/>
  <c r="C601" i="5" a="1"/>
  <c r="G475" i="5" a="1"/>
  <c r="I425" i="5" a="1"/>
  <c r="D361" i="5" a="1"/>
  <c r="F430" i="5" a="1"/>
  <c r="I480" i="5" a="1"/>
  <c r="E570" i="5" a="1"/>
  <c r="F331" i="5" a="1"/>
  <c r="D355" i="5" a="1"/>
  <c r="D401" i="5" a="1"/>
  <c r="D580" i="5" a="1"/>
  <c r="F326" i="5" a="1"/>
  <c r="H260" i="5" a="1"/>
  <c r="C295" i="5" a="1"/>
  <c r="G271" i="5" a="1"/>
  <c r="H335" i="5" a="1"/>
  <c r="D340" i="5" a="1"/>
  <c r="E526" i="5" a="1"/>
  <c r="D356" i="5" a="1"/>
  <c r="G421" i="5" a="1"/>
  <c r="C530" i="5" a="1"/>
  <c r="I271" i="5" a="1"/>
  <c r="E291" i="5" a="1"/>
  <c r="E295" i="5" a="1"/>
  <c r="E286" i="5" a="1"/>
  <c r="E271" i="5" a="1"/>
  <c r="H305" i="5" a="1"/>
  <c r="D326" i="5" a="1"/>
  <c r="D285" i="5" a="1"/>
  <c r="E340" i="5" a="1"/>
  <c r="F575" i="5" a="1"/>
  <c r="H546" i="5" a="1"/>
  <c r="H526" i="5" a="1"/>
  <c r="I371" i="5" a="1"/>
  <c r="H481" i="5" a="1"/>
  <c r="I386" i="5" a="1"/>
  <c r="D511" i="5" a="1"/>
  <c r="I305" i="5" a="1"/>
  <c r="E301" i="5" a="1"/>
  <c r="C260" i="5" a="1"/>
  <c r="G331" i="5" a="1"/>
  <c r="D330" i="5" a="1"/>
  <c r="H275" i="5" a="1"/>
  <c r="F325" i="5" a="1"/>
  <c r="I300" i="5" a="1"/>
  <c r="C341" i="5" a="1"/>
  <c r="F566" i="5" a="1"/>
  <c r="G545" i="5" a="1"/>
  <c r="H495" i="5" a="1"/>
  <c r="H370" i="5" a="1"/>
  <c r="F500" i="5" a="1"/>
  <c r="E336" i="5" a="1"/>
  <c r="E261" i="5" a="1"/>
  <c r="C316" i="5" a="1"/>
  <c r="I270" i="5" a="1"/>
  <c r="H341" i="5" a="1"/>
  <c r="C340" i="5" a="1"/>
  <c r="G265" i="5" a="1"/>
  <c r="C270" i="5" a="1"/>
  <c r="C586" i="5" a="1"/>
  <c r="H565" i="5" a="1"/>
  <c r="C546" i="5" a="1"/>
  <c r="D525" i="5" a="1"/>
  <c r="F495" i="5" a="1"/>
  <c r="F476" i="5" a="1"/>
  <c r="I455" i="5" a="1"/>
  <c r="C435" i="5" a="1"/>
  <c r="D425" i="5" a="1"/>
  <c r="G406" i="5" a="1"/>
  <c r="H395" i="5" a="1"/>
  <c r="G381" i="5" a="1"/>
  <c r="G371" i="5" a="1"/>
  <c r="G360" i="5" a="1"/>
  <c r="E365" i="5" a="1"/>
  <c r="D376" i="5" a="1"/>
  <c r="E386" i="5" a="1"/>
  <c r="F400" i="5" a="1"/>
  <c r="D410" i="5" a="1"/>
  <c r="G420" i="5" a="1"/>
  <c r="D430" i="5" a="1"/>
  <c r="I450" i="5" a="1"/>
  <c r="E461" i="5" a="1"/>
  <c r="G471" i="5" a="1"/>
  <c r="D480" i="5" a="1"/>
  <c r="E491" i="5" a="1"/>
  <c r="C500" i="5" a="1"/>
  <c r="G511" i="5" a="1"/>
  <c r="H530" i="5" a="1"/>
  <c r="D541" i="5" a="1"/>
  <c r="H551" i="5" a="1"/>
  <c r="D561" i="5" a="1"/>
  <c r="I570" i="5" a="1"/>
  <c r="I581" i="5" a="1"/>
  <c r="D600" i="5" a="1"/>
  <c r="H360" i="5" a="1"/>
  <c r="F420" i="5" a="1"/>
  <c r="H470" i="5" a="1"/>
  <c r="I520" i="5" a="1"/>
  <c r="F580" i="5" a="1"/>
  <c r="D275" i="5" a="1"/>
  <c r="G456" i="5" a="1"/>
  <c r="G390" i="5" a="1"/>
  <c r="G375" i="5" a="1"/>
  <c r="F450" i="5" a="1"/>
  <c r="E501" i="5" a="1"/>
  <c r="H540" i="5" a="1"/>
  <c r="G590" i="5" a="1"/>
  <c r="D456" i="5" a="1"/>
  <c r="I390" i="5" a="1"/>
  <c r="C386" i="5" a="1"/>
  <c r="C430" i="5" a="1"/>
  <c r="I511" i="5" a="1"/>
  <c r="G570" i="5" a="1"/>
  <c r="F526" i="5" a="1"/>
  <c r="F405" i="5" a="1"/>
  <c r="H366" i="5" a="1"/>
  <c r="G451" i="5" a="1"/>
  <c r="E490" i="5" a="1"/>
  <c r="I560" i="5" a="1"/>
  <c r="C341" i="5" l="1"/>
  <c r="G260" i="5"/>
  <c r="G346" i="5"/>
  <c r="G316" i="5"/>
  <c r="D316" i="5"/>
  <c r="I261" i="5"/>
  <c r="F265" i="5"/>
  <c r="E340" i="5"/>
  <c r="D275" i="5"/>
  <c r="I301" i="5"/>
  <c r="H271" i="5"/>
  <c r="F271" i="5"/>
  <c r="D255" i="5"/>
  <c r="C346" i="5"/>
  <c r="E256" i="5"/>
  <c r="H311" i="5"/>
  <c r="H266" i="5"/>
  <c r="I280" i="5"/>
  <c r="I315" i="5"/>
  <c r="E320" i="5"/>
  <c r="G291" i="5"/>
  <c r="I341" i="5"/>
  <c r="E280" i="5"/>
  <c r="F330" i="5"/>
  <c r="G300" i="5"/>
  <c r="I281" i="5"/>
  <c r="G330" i="5"/>
  <c r="E255" i="5"/>
  <c r="C286" i="5"/>
  <c r="H320" i="5"/>
  <c r="E335" i="5"/>
  <c r="C270" i="5"/>
  <c r="I300" i="5"/>
  <c r="I335" i="5"/>
  <c r="F281" i="5"/>
  <c r="E310" i="5"/>
  <c r="D305" i="5"/>
  <c r="D261" i="5"/>
  <c r="H325" i="5"/>
  <c r="D285" i="5"/>
  <c r="I346" i="5"/>
  <c r="D320" i="5"/>
  <c r="F270" i="5"/>
  <c r="I350" i="5"/>
  <c r="I290" i="5"/>
  <c r="H256" i="5"/>
  <c r="H281" i="5"/>
  <c r="C301" i="5"/>
  <c r="D280" i="5"/>
  <c r="G266" i="5"/>
  <c r="F291" i="5"/>
  <c r="C266" i="5"/>
  <c r="F316" i="5"/>
  <c r="I286" i="5"/>
  <c r="F345" i="5"/>
  <c r="H295" i="5"/>
  <c r="F335" i="5"/>
  <c r="I325" i="5"/>
  <c r="E306" i="5"/>
  <c r="E260" i="5"/>
  <c r="E346" i="5"/>
  <c r="G296" i="5"/>
  <c r="I331" i="5"/>
  <c r="G265" i="5"/>
  <c r="F325" i="5"/>
  <c r="I310" i="5"/>
  <c r="I296" i="5"/>
  <c r="D296" i="5"/>
  <c r="F315" i="5"/>
  <c r="E351" i="5"/>
  <c r="F275" i="5"/>
  <c r="D326" i="5"/>
  <c r="D340" i="5"/>
  <c r="I316" i="5"/>
  <c r="C306" i="5"/>
  <c r="H326" i="5"/>
  <c r="G285" i="5"/>
  <c r="H261" i="5"/>
  <c r="C305" i="5"/>
  <c r="E350" i="5"/>
  <c r="G275" i="5"/>
  <c r="F311" i="5"/>
  <c r="I345" i="5"/>
  <c r="E285" i="5"/>
  <c r="D315" i="5"/>
  <c r="H296" i="5"/>
  <c r="F321" i="5"/>
  <c r="G256" i="5"/>
  <c r="I295" i="5"/>
  <c r="H300" i="5"/>
  <c r="G350" i="5"/>
  <c r="F310" i="5"/>
  <c r="C256" i="5"/>
  <c r="H351" i="5"/>
  <c r="D290" i="5"/>
  <c r="C340" i="5"/>
  <c r="H275" i="5"/>
  <c r="I351" i="5"/>
  <c r="G290" i="5"/>
  <c r="C326" i="5"/>
  <c r="C345" i="5"/>
  <c r="C310" i="5"/>
  <c r="I311" i="5"/>
  <c r="H305" i="5"/>
  <c r="E326" i="5"/>
  <c r="H290" i="5"/>
  <c r="G305" i="5"/>
  <c r="F261" i="5"/>
  <c r="F320" i="5"/>
  <c r="H291" i="5"/>
  <c r="E330" i="5"/>
  <c r="C330" i="5"/>
  <c r="D321" i="5"/>
  <c r="C261" i="5"/>
  <c r="C255" i="5"/>
  <c r="I260" i="5"/>
  <c r="G325" i="5"/>
  <c r="F296" i="5"/>
  <c r="D265" i="5"/>
  <c r="G281" i="5"/>
  <c r="H346" i="5"/>
  <c r="I320" i="5"/>
  <c r="D271" i="5"/>
  <c r="F300" i="5"/>
  <c r="C281" i="5"/>
  <c r="H321" i="5"/>
  <c r="E300" i="5"/>
  <c r="H341" i="5"/>
  <c r="D330" i="5"/>
  <c r="E296" i="5"/>
  <c r="C280" i="5"/>
  <c r="H285" i="5"/>
  <c r="D325" i="5"/>
  <c r="E311" i="5"/>
  <c r="C311" i="5"/>
  <c r="E271" i="5"/>
  <c r="H335" i="5"/>
  <c r="E341" i="5"/>
  <c r="F266" i="5"/>
  <c r="G276" i="5"/>
  <c r="I340" i="5"/>
  <c r="D335" i="5"/>
  <c r="H316" i="5"/>
  <c r="G270" i="5"/>
  <c r="F340" i="5"/>
  <c r="G315" i="5"/>
  <c r="F255" i="5"/>
  <c r="C350" i="5"/>
  <c r="G341" i="5"/>
  <c r="C321" i="5"/>
  <c r="G301" i="5"/>
  <c r="G295" i="5"/>
  <c r="H306" i="5"/>
  <c r="F260" i="5"/>
  <c r="D351" i="5"/>
  <c r="I256" i="5"/>
  <c r="H301" i="5"/>
  <c r="I285" i="5"/>
  <c r="G326" i="5"/>
  <c r="I270" i="5"/>
  <c r="G331" i="5"/>
  <c r="E316" i="5"/>
  <c r="C336" i="5"/>
  <c r="H336" i="5"/>
  <c r="C315" i="5"/>
  <c r="G321" i="5"/>
  <c r="C275" i="5"/>
  <c r="E286" i="5"/>
  <c r="G271" i="5"/>
  <c r="G335" i="5"/>
  <c r="G320" i="5"/>
  <c r="C265" i="5"/>
  <c r="G306" i="5"/>
  <c r="E290" i="5"/>
  <c r="D270" i="5"/>
  <c r="H270" i="5"/>
  <c r="E270" i="5"/>
  <c r="H265" i="5"/>
  <c r="C271" i="5"/>
  <c r="D306" i="5"/>
  <c r="I265" i="5"/>
  <c r="F305" i="5"/>
  <c r="E281" i="5"/>
  <c r="H350" i="5"/>
  <c r="C285" i="5"/>
  <c r="I255" i="5"/>
  <c r="D256" i="5"/>
  <c r="G261" i="5"/>
  <c r="H345" i="5"/>
  <c r="I321" i="5"/>
  <c r="E266" i="5"/>
  <c r="C316" i="5"/>
  <c r="C260" i="5"/>
  <c r="D266" i="5"/>
  <c r="E265" i="5"/>
  <c r="I266" i="5"/>
  <c r="H310" i="5"/>
  <c r="F290" i="5"/>
  <c r="D301" i="5"/>
  <c r="E295" i="5"/>
  <c r="C295" i="5"/>
  <c r="C335" i="5"/>
  <c r="D260" i="5"/>
  <c r="G345" i="5"/>
  <c r="I306" i="5"/>
  <c r="E321" i="5"/>
  <c r="D346" i="5"/>
  <c r="C320" i="5"/>
  <c r="G340" i="5"/>
  <c r="F286" i="5"/>
  <c r="H286" i="5"/>
  <c r="F341" i="5"/>
  <c r="I291" i="5"/>
  <c r="I276" i="5"/>
  <c r="F295" i="5"/>
  <c r="E325" i="5"/>
  <c r="C351" i="5"/>
  <c r="E345" i="5"/>
  <c r="D276" i="5"/>
  <c r="C291" i="5"/>
  <c r="C290" i="5"/>
  <c r="D311" i="5"/>
  <c r="D350" i="5"/>
  <c r="E261" i="5"/>
  <c r="E301" i="5"/>
  <c r="F306" i="5"/>
  <c r="I336" i="5"/>
  <c r="F351" i="5"/>
  <c r="D291" i="5"/>
  <c r="F280" i="5"/>
  <c r="F285" i="5"/>
  <c r="E291" i="5"/>
  <c r="H260" i="5"/>
  <c r="F276" i="5"/>
  <c r="D331" i="5"/>
  <c r="C300" i="5"/>
  <c r="D310" i="5"/>
  <c r="D336" i="5"/>
  <c r="I330" i="5"/>
  <c r="F331" i="5"/>
  <c r="H255" i="5"/>
  <c r="F350" i="5"/>
  <c r="G336" i="5"/>
  <c r="E305" i="5"/>
  <c r="I326" i="5"/>
  <c r="F336" i="5"/>
  <c r="H315" i="5"/>
  <c r="F301" i="5"/>
  <c r="E331" i="5"/>
  <c r="I275" i="5"/>
  <c r="D345" i="5"/>
  <c r="C276" i="5"/>
  <c r="G351" i="5"/>
  <c r="H330" i="5"/>
  <c r="C325" i="5"/>
  <c r="E336" i="5"/>
  <c r="I305" i="5"/>
  <c r="G255" i="5"/>
  <c r="D300" i="5"/>
  <c r="G280" i="5"/>
  <c r="H280" i="5"/>
  <c r="E276" i="5"/>
  <c r="E315" i="5"/>
  <c r="I271" i="5"/>
  <c r="F326" i="5"/>
  <c r="E275" i="5"/>
  <c r="G286" i="5"/>
  <c r="D295" i="5"/>
  <c r="G310" i="5"/>
  <c r="C331" i="5"/>
  <c r="D286" i="5"/>
  <c r="F256" i="5"/>
  <c r="C296" i="5"/>
  <c r="D341" i="5"/>
  <c r="F346" i="5"/>
  <c r="H340" i="5"/>
  <c r="D281" i="5"/>
  <c r="G311" i="5"/>
  <c r="H276" i="5"/>
  <c r="H331" i="5"/>
  <c r="F56" i="1" a="1"/>
  <c r="F56" i="1" s="1"/>
  <c r="D53" i="1" a="1"/>
  <c r="D53" i="1" s="1"/>
  <c r="F68" i="1" a="1"/>
  <c r="F68" i="1" s="1"/>
  <c r="D63" i="1" a="1"/>
  <c r="D63" i="1" s="1"/>
  <c r="E67" i="1" a="1"/>
  <c r="E67" i="1" s="1"/>
  <c r="J62" i="1" a="1"/>
  <c r="J62" i="1" s="1"/>
  <c r="K61" i="1" a="1"/>
  <c r="K61" i="1" s="1"/>
  <c r="D65" i="1" a="1"/>
  <c r="D65" i="1" s="1"/>
  <c r="F64" i="1" a="1"/>
  <c r="F64" i="1" s="1"/>
  <c r="D54" i="1" a="1"/>
  <c r="D54" i="1" s="1"/>
  <c r="G54" i="1" a="1"/>
  <c r="G54" i="1" s="1"/>
  <c r="F62" i="1" a="1"/>
  <c r="F62" i="1" s="1"/>
  <c r="I66" i="1" a="1"/>
  <c r="I66" i="1" s="1"/>
  <c r="G72" i="1" a="1"/>
  <c r="G72" i="1" s="1"/>
  <c r="D70" i="1" a="1"/>
  <c r="D70" i="1" s="1"/>
  <c r="E53" i="1" a="1"/>
  <c r="E53" i="1" s="1"/>
  <c r="H60" i="1" a="1"/>
  <c r="H60" i="1" s="1"/>
  <c r="K66" i="1" a="1"/>
  <c r="K66" i="1" s="1"/>
  <c r="D62" i="1" a="1"/>
  <c r="D62" i="1" s="1"/>
  <c r="I72" i="1" a="1"/>
  <c r="I72" i="1" s="1"/>
  <c r="J55" i="1" a="1"/>
  <c r="J55" i="1" s="1"/>
  <c r="H56" i="1" a="1"/>
  <c r="H56" i="1" s="1"/>
  <c r="D68" i="1" a="1"/>
  <c r="D68" i="1" s="1"/>
  <c r="G65" i="1" a="1"/>
  <c r="G65" i="1" s="1"/>
  <c r="J64" i="1" a="1"/>
  <c r="J64" i="1" s="1"/>
  <c r="I56" i="1" a="1"/>
  <c r="I56" i="1" s="1"/>
  <c r="D55" i="1" a="1"/>
  <c r="D55" i="1" s="1"/>
  <c r="F67" i="1" a="1"/>
  <c r="F67" i="1" s="1"/>
  <c r="D72" i="1" a="1"/>
  <c r="D72" i="1" s="1"/>
  <c r="I69" i="1" a="1"/>
  <c r="I69" i="1" s="1"/>
  <c r="F72" i="1" a="1"/>
  <c r="F72" i="1" s="1"/>
  <c r="I58" i="1" a="1"/>
  <c r="I58" i="1" s="1"/>
  <c r="G69" i="1" a="1"/>
  <c r="G69" i="1" s="1"/>
  <c r="D64" i="1" a="1"/>
  <c r="D64" i="1" s="1"/>
  <c r="E58" i="1" a="1"/>
  <c r="E58" i="1" s="1"/>
  <c r="F71" i="1" a="1"/>
  <c r="F71" i="1" s="1"/>
  <c r="G62" i="1" a="1"/>
  <c r="G62" i="1" s="1"/>
  <c r="E68" i="1" a="1"/>
  <c r="E68" i="1" s="1"/>
  <c r="D66" i="1" a="1"/>
  <c r="D66" i="1" s="1"/>
  <c r="J65" i="1" a="1"/>
  <c r="J65" i="1" s="1"/>
  <c r="E64" i="1" a="1"/>
  <c r="E64" i="1" s="1"/>
  <c r="K58" i="1" a="1"/>
  <c r="K58" i="1" s="1"/>
  <c r="H62" i="1" a="1"/>
  <c r="H62" i="1" s="1"/>
  <c r="D71" i="1" a="1"/>
  <c r="D71" i="1" s="1"/>
  <c r="K57" i="1" a="1"/>
  <c r="K57" i="1" s="1"/>
  <c r="G55" i="1" a="1"/>
  <c r="G55" i="1" s="1"/>
  <c r="J66" i="1" a="1"/>
  <c r="J66" i="1" s="1"/>
  <c r="D56" i="1" a="1"/>
  <c r="D56" i="1" s="1"/>
  <c r="G67" i="1" a="1"/>
  <c r="G67" i="1" s="1"/>
  <c r="G57" i="1" a="1"/>
  <c r="G57" i="1" s="1"/>
  <c r="F70" i="1" a="1"/>
  <c r="F70" i="1" s="1"/>
  <c r="E72" i="1" a="1"/>
  <c r="E72" i="1" s="1"/>
  <c r="I64" i="1" a="1"/>
  <c r="I64" i="1" s="1"/>
  <c r="J61" i="1" a="1"/>
  <c r="J61" i="1" s="1"/>
  <c r="E56" i="1" a="1"/>
  <c r="E56" i="1" s="1"/>
  <c r="G61" i="1" a="1"/>
  <c r="G61" i="1" s="1"/>
  <c r="K59" i="1" a="1"/>
  <c r="K59" i="1" s="1"/>
  <c r="D57" i="1" a="1"/>
  <c r="D57" i="1" s="1"/>
  <c r="E66" i="1" a="1"/>
  <c r="E66" i="1" s="1"/>
  <c r="K63" i="1" a="1"/>
  <c r="K63" i="1" s="1"/>
  <c r="J71" i="1" a="1"/>
  <c r="J71" i="1" s="1"/>
  <c r="K68" i="1" a="1"/>
  <c r="K68" i="1" s="1"/>
  <c r="K64" i="1" a="1"/>
  <c r="K64" i="1" s="1"/>
  <c r="E57" i="1" a="1"/>
  <c r="E57" i="1" s="1"/>
  <c r="J67" i="1" a="1"/>
  <c r="J67" i="1" s="1"/>
  <c r="H66" i="1" a="1"/>
  <c r="H66" i="1" s="1"/>
  <c r="G59" i="1" a="1"/>
  <c r="G59" i="1" s="1"/>
  <c r="G60" i="1" a="1"/>
  <c r="G60" i="1" s="1"/>
  <c r="K65" i="1" a="1"/>
  <c r="K65" i="1" s="1"/>
  <c r="D59" i="1" a="1"/>
  <c r="D59" i="1" s="1"/>
  <c r="G70" i="1" a="1"/>
  <c r="G70" i="1" s="1"/>
  <c r="F61" i="1" a="1"/>
  <c r="F61" i="1" s="1"/>
  <c r="K53" i="1" a="1"/>
  <c r="K53" i="1" s="1"/>
  <c r="G58" i="1" a="1"/>
  <c r="G58" i="1" s="1"/>
  <c r="E54" i="1" a="1"/>
  <c r="E54" i="1" s="1"/>
  <c r="J56" i="1" a="1"/>
  <c r="J56" i="1" s="1"/>
  <c r="J54" i="1" a="1"/>
  <c r="J54" i="1" s="1"/>
  <c r="I71" i="1" a="1"/>
  <c r="I71" i="1" s="1"/>
  <c r="K70" i="1" a="1"/>
  <c r="K70" i="1" s="1"/>
  <c r="H58" i="1" a="1"/>
  <c r="H58" i="1" s="1"/>
  <c r="J69" i="1" a="1"/>
  <c r="J69" i="1" s="1"/>
  <c r="K72" i="1" a="1"/>
  <c r="K72" i="1" s="1"/>
  <c r="I60" i="1" a="1"/>
  <c r="I60" i="1" s="1"/>
  <c r="H64" i="1" a="1"/>
  <c r="H64" i="1" s="1"/>
  <c r="F66" i="1" a="1"/>
  <c r="F66" i="1" s="1"/>
  <c r="E62" i="1" a="1"/>
  <c r="E62" i="1" s="1"/>
  <c r="F57" i="1" a="1"/>
  <c r="F57" i="1" s="1"/>
  <c r="E55" i="1" a="1"/>
  <c r="E55" i="1" s="1"/>
  <c r="H65" i="1" a="1"/>
  <c r="H65" i="1" s="1"/>
  <c r="J53" i="1" a="1"/>
  <c r="J53" i="1" s="1"/>
  <c r="D60" i="1" a="1"/>
  <c r="D60" i="1" s="1"/>
  <c r="J60" i="1" a="1"/>
  <c r="J60" i="1" s="1"/>
  <c r="I57" i="1" a="1"/>
  <c r="I57" i="1" s="1"/>
  <c r="J70" i="1" a="1"/>
  <c r="J70" i="1" s="1"/>
  <c r="I53" i="1" a="1"/>
  <c r="I53" i="1" s="1"/>
  <c r="I70" i="1" a="1"/>
  <c r="I70" i="1" s="1"/>
  <c r="H61" i="1" a="1"/>
  <c r="H61" i="1" s="1"/>
  <c r="F65" i="1" a="1"/>
  <c r="F65" i="1" s="1"/>
  <c r="G63" i="1" a="1"/>
  <c r="G63" i="1" s="1"/>
  <c r="E69" i="1" a="1"/>
  <c r="E69" i="1" s="1"/>
  <c r="J72" i="1" a="1"/>
  <c r="J72" i="1" s="1"/>
  <c r="H59" i="1" a="1"/>
  <c r="H59" i="1" s="1"/>
  <c r="I61" i="1" a="1"/>
  <c r="I61" i="1" s="1"/>
  <c r="I59" i="1" a="1"/>
  <c r="I59" i="1" s="1"/>
  <c r="E59" i="1" a="1"/>
  <c r="E59" i="1" s="1"/>
  <c r="D58" i="1" a="1"/>
  <c r="D58" i="1" s="1"/>
  <c r="E70" i="1" a="1"/>
  <c r="E70" i="1" s="1"/>
  <c r="H70" i="1" a="1"/>
  <c r="H70" i="1" s="1"/>
  <c r="H57" i="1" a="1"/>
  <c r="H57" i="1" s="1"/>
  <c r="D67" i="1" a="1"/>
  <c r="D67" i="1" s="1"/>
  <c r="F59" i="1" a="1"/>
  <c r="F59" i="1" s="1"/>
  <c r="H67" i="1" a="1"/>
  <c r="H67" i="1" s="1"/>
  <c r="K67" i="1" a="1"/>
  <c r="K67" i="1" s="1"/>
  <c r="I62" i="1" a="1"/>
  <c r="I62" i="1" s="1"/>
  <c r="K56" i="1" a="1"/>
  <c r="K56" i="1" s="1"/>
  <c r="D69" i="1" a="1"/>
  <c r="D69" i="1" s="1"/>
  <c r="E61" i="1" a="1"/>
  <c r="E61" i="1" s="1"/>
  <c r="E71" i="1" a="1"/>
  <c r="E71" i="1" s="1"/>
  <c r="H72" i="1" a="1"/>
  <c r="H72" i="1" s="1"/>
  <c r="G56" i="1" a="1"/>
  <c r="G56" i="1" s="1"/>
  <c r="J57" i="1" a="1"/>
  <c r="J57" i="1" s="1"/>
  <c r="G53" i="1" a="1"/>
  <c r="G53" i="1" s="1"/>
  <c r="F63" i="1" a="1"/>
  <c r="F63" i="1" s="1"/>
  <c r="I65" i="1" a="1"/>
  <c r="I65" i="1" s="1"/>
  <c r="H55" i="1" a="1"/>
  <c r="H55" i="1" s="1"/>
  <c r="K55" i="1" a="1"/>
  <c r="K55" i="1" s="1"/>
  <c r="G66" i="1" a="1"/>
  <c r="G66" i="1" s="1"/>
  <c r="F55" i="1" a="1"/>
  <c r="F55" i="1" s="1"/>
  <c r="G68" i="1" a="1"/>
  <c r="G68" i="1" s="1"/>
  <c r="I63" i="1" a="1"/>
  <c r="I63" i="1" s="1"/>
  <c r="K60" i="1" a="1"/>
  <c r="K60" i="1" s="1"/>
  <c r="F60" i="1" a="1"/>
  <c r="F60" i="1" s="1"/>
  <c r="K54" i="1" a="1"/>
  <c r="K54" i="1" s="1"/>
  <c r="G71" i="1" a="1"/>
  <c r="G71" i="1" s="1"/>
  <c r="F54" i="1" a="1"/>
  <c r="F54" i="1" s="1"/>
  <c r="D61" i="1" a="1"/>
  <c r="D61" i="1" s="1"/>
  <c r="H63" i="1" a="1"/>
  <c r="H63" i="1" s="1"/>
  <c r="H53" i="1" a="1"/>
  <c r="H53" i="1" s="1"/>
  <c r="H68" i="1" a="1"/>
  <c r="H68" i="1" s="1"/>
  <c r="F69" i="1" a="1"/>
  <c r="F69" i="1" s="1"/>
  <c r="J58" i="1" a="1"/>
  <c r="J58" i="1" s="1"/>
  <c r="H71" i="1" a="1"/>
  <c r="H71" i="1" s="1"/>
  <c r="J59" i="1" a="1"/>
  <c r="J59" i="1" s="1"/>
  <c r="G64" i="1" a="1"/>
  <c r="G64" i="1" s="1"/>
  <c r="I68" i="1" a="1"/>
  <c r="I68" i="1" s="1"/>
  <c r="F58" i="1" a="1"/>
  <c r="F58" i="1" s="1"/>
  <c r="E60" i="1" a="1"/>
  <c r="E60" i="1" s="1"/>
  <c r="I67" i="1" a="1"/>
  <c r="I67" i="1" s="1"/>
  <c r="H54" i="1" a="1"/>
  <c r="H54" i="1" s="1"/>
  <c r="E65" i="1" a="1"/>
  <c r="E65" i="1" s="1"/>
  <c r="F53" i="1" a="1"/>
  <c r="F53" i="1" s="1"/>
  <c r="K69" i="1" a="1"/>
  <c r="K69" i="1" s="1"/>
  <c r="J63" i="1" a="1"/>
  <c r="J63" i="1" s="1"/>
  <c r="K62" i="1" a="1"/>
  <c r="K62" i="1" s="1"/>
  <c r="I55" i="1" a="1"/>
  <c r="I55" i="1" s="1"/>
  <c r="K71" i="1" a="1"/>
  <c r="K71" i="1" s="1"/>
  <c r="I54" i="1" a="1"/>
  <c r="I54" i="1" s="1"/>
  <c r="H69" i="1" a="1"/>
  <c r="H69" i="1" s="1"/>
  <c r="J68" i="1" a="1"/>
  <c r="J68" i="1" s="1"/>
  <c r="E63" i="1" a="1"/>
  <c r="E63" i="1" s="1"/>
  <c r="E580" i="5"/>
  <c r="H580" i="5"/>
  <c r="I581" i="5"/>
  <c r="D580" i="5"/>
  <c r="G581" i="5"/>
  <c r="C581" i="5"/>
  <c r="C580" i="5"/>
  <c r="F581" i="5"/>
  <c r="I580" i="5"/>
  <c r="D581" i="5"/>
  <c r="F580" i="5"/>
  <c r="G580" i="5"/>
  <c r="E581" i="5"/>
  <c r="H581" i="5"/>
  <c r="F570" i="5"/>
  <c r="E571" i="5"/>
  <c r="I571" i="5"/>
  <c r="H570" i="5"/>
  <c r="I570" i="5"/>
  <c r="E570" i="5"/>
  <c r="G570" i="5"/>
  <c r="G571" i="5"/>
  <c r="C570" i="5"/>
  <c r="D570" i="5"/>
  <c r="F571" i="5"/>
  <c r="H571" i="5"/>
  <c r="C571" i="5"/>
  <c r="D571" i="5"/>
  <c r="G560" i="5"/>
  <c r="I561" i="5"/>
  <c r="C560" i="5"/>
  <c r="E561" i="5"/>
  <c r="D560" i="5"/>
  <c r="F561" i="5"/>
  <c r="D561" i="5"/>
  <c r="I560" i="5"/>
  <c r="C561" i="5"/>
  <c r="E560" i="5"/>
  <c r="F560" i="5"/>
  <c r="H561" i="5"/>
  <c r="G561" i="5"/>
  <c r="H560" i="5"/>
  <c r="D551" i="5"/>
  <c r="C550" i="5"/>
  <c r="F551" i="5"/>
  <c r="I551" i="5"/>
  <c r="H550" i="5"/>
  <c r="D550" i="5"/>
  <c r="G550" i="5"/>
  <c r="E551" i="5"/>
  <c r="H551" i="5"/>
  <c r="E550" i="5"/>
  <c r="G551" i="5"/>
  <c r="I550" i="5"/>
  <c r="C551" i="5"/>
  <c r="F550" i="5"/>
  <c r="I540" i="5"/>
  <c r="H540" i="5"/>
  <c r="D540" i="5"/>
  <c r="G540" i="5"/>
  <c r="E540" i="5"/>
  <c r="F541" i="5"/>
  <c r="G541" i="5"/>
  <c r="F540" i="5"/>
  <c r="H541" i="5"/>
  <c r="C541" i="5"/>
  <c r="D541" i="5"/>
  <c r="C540" i="5"/>
  <c r="I541" i="5"/>
  <c r="E541" i="5"/>
  <c r="C531" i="5"/>
  <c r="D531" i="5"/>
  <c r="F530" i="5"/>
  <c r="D530" i="5"/>
  <c r="I531" i="5"/>
  <c r="F531" i="5"/>
  <c r="H531" i="5"/>
  <c r="I530" i="5"/>
  <c r="E530" i="5"/>
  <c r="G531" i="5"/>
  <c r="E531" i="5"/>
  <c r="G530" i="5"/>
  <c r="H530" i="5"/>
  <c r="C530" i="5"/>
  <c r="E520" i="5"/>
  <c r="H520" i="5"/>
  <c r="I521" i="5"/>
  <c r="D520" i="5"/>
  <c r="G521" i="5"/>
  <c r="C521" i="5"/>
  <c r="I520" i="5"/>
  <c r="D521" i="5"/>
  <c r="F520" i="5"/>
  <c r="G520" i="5"/>
  <c r="C520" i="5"/>
  <c r="F521" i="5"/>
  <c r="E521" i="5"/>
  <c r="H521" i="5"/>
  <c r="G511" i="5"/>
  <c r="D511" i="5"/>
  <c r="I511" i="5"/>
  <c r="H511" i="5"/>
  <c r="C511" i="5"/>
  <c r="E511" i="5"/>
  <c r="C510" i="5"/>
  <c r="D510" i="5"/>
  <c r="I510" i="5"/>
  <c r="H510" i="5"/>
  <c r="F510" i="5"/>
  <c r="G510" i="5"/>
  <c r="F511" i="5"/>
  <c r="E510" i="5"/>
  <c r="I501" i="5"/>
  <c r="E500" i="5"/>
  <c r="C500" i="5"/>
  <c r="F500" i="5"/>
  <c r="D500" i="5"/>
  <c r="H501" i="5"/>
  <c r="G501" i="5"/>
  <c r="H500" i="5"/>
  <c r="G500" i="5"/>
  <c r="E501" i="5"/>
  <c r="F501" i="5"/>
  <c r="I500" i="5"/>
  <c r="C501" i="5"/>
  <c r="D501" i="5"/>
  <c r="C490" i="5"/>
  <c r="F490" i="5"/>
  <c r="G490" i="5"/>
  <c r="C491" i="5"/>
  <c r="E491" i="5"/>
  <c r="E490" i="5"/>
  <c r="G491" i="5"/>
  <c r="I491" i="5"/>
  <c r="D491" i="5"/>
  <c r="I490" i="5"/>
  <c r="D490" i="5"/>
  <c r="F491" i="5"/>
  <c r="H491" i="5"/>
  <c r="H490" i="5"/>
  <c r="G480" i="5"/>
  <c r="C481" i="5"/>
  <c r="D481" i="5"/>
  <c r="G481" i="5"/>
  <c r="C480" i="5"/>
  <c r="I481" i="5"/>
  <c r="D480" i="5"/>
  <c r="I480" i="5"/>
  <c r="H481" i="5"/>
  <c r="E481" i="5"/>
  <c r="H480" i="5"/>
  <c r="F480" i="5"/>
  <c r="E480" i="5"/>
  <c r="F481" i="5"/>
  <c r="H470" i="5"/>
  <c r="C471" i="5"/>
  <c r="I471" i="5"/>
  <c r="C470" i="5"/>
  <c r="I470" i="5"/>
  <c r="E471" i="5"/>
  <c r="D470" i="5"/>
  <c r="F471" i="5"/>
  <c r="G471" i="5"/>
  <c r="F470" i="5"/>
  <c r="D471" i="5"/>
  <c r="H471" i="5"/>
  <c r="G470" i="5"/>
  <c r="E470" i="5"/>
  <c r="D461" i="5"/>
  <c r="G461" i="5"/>
  <c r="D460" i="5"/>
  <c r="G460" i="5"/>
  <c r="C460" i="5"/>
  <c r="F461" i="5"/>
  <c r="H460" i="5"/>
  <c r="H461" i="5"/>
  <c r="E460" i="5"/>
  <c r="C461" i="5"/>
  <c r="E461" i="5"/>
  <c r="I461" i="5"/>
  <c r="I460" i="5"/>
  <c r="F460" i="5"/>
  <c r="C451" i="5"/>
  <c r="H451" i="5"/>
  <c r="F451" i="5"/>
  <c r="F450" i="5"/>
  <c r="D451" i="5"/>
  <c r="H450" i="5"/>
  <c r="E451" i="5"/>
  <c r="G450" i="5"/>
  <c r="E450" i="5"/>
  <c r="C450" i="5"/>
  <c r="I451" i="5"/>
  <c r="D450" i="5"/>
  <c r="I450" i="5"/>
  <c r="G451" i="5"/>
  <c r="I441" i="5"/>
  <c r="H441" i="5"/>
  <c r="E441" i="5"/>
  <c r="D440" i="5"/>
  <c r="C440" i="5"/>
  <c r="G440" i="5"/>
  <c r="I440" i="5"/>
  <c r="E440" i="5"/>
  <c r="D441" i="5"/>
  <c r="H440" i="5"/>
  <c r="F441" i="5"/>
  <c r="F440" i="5"/>
  <c r="G441" i="5"/>
  <c r="C441" i="5"/>
  <c r="D430" i="5"/>
  <c r="F430" i="5"/>
  <c r="C430" i="5"/>
  <c r="C431" i="5"/>
  <c r="G430" i="5"/>
  <c r="H431" i="5"/>
  <c r="D431" i="5"/>
  <c r="I431" i="5"/>
  <c r="G431" i="5"/>
  <c r="E431" i="5"/>
  <c r="H430" i="5"/>
  <c r="F431" i="5"/>
  <c r="E430" i="5"/>
  <c r="I430" i="5"/>
  <c r="H421" i="5"/>
  <c r="E420" i="5"/>
  <c r="G420" i="5"/>
  <c r="G421" i="5"/>
  <c r="E421" i="5"/>
  <c r="D421" i="5"/>
  <c r="H420" i="5"/>
  <c r="I420" i="5"/>
  <c r="D420" i="5"/>
  <c r="I421" i="5"/>
  <c r="F420" i="5"/>
  <c r="F421" i="5"/>
  <c r="C420" i="5"/>
  <c r="C421" i="5"/>
  <c r="H411" i="5"/>
  <c r="H410" i="5"/>
  <c r="C411" i="5"/>
  <c r="E410" i="5"/>
  <c r="D410" i="5"/>
  <c r="F410" i="5"/>
  <c r="D411" i="5"/>
  <c r="G410" i="5"/>
  <c r="I411" i="5"/>
  <c r="E411" i="5"/>
  <c r="C410" i="5"/>
  <c r="I410" i="5"/>
  <c r="F411" i="5"/>
  <c r="G411" i="5"/>
  <c r="C400" i="5"/>
  <c r="F401" i="5"/>
  <c r="E401" i="5"/>
  <c r="D400" i="5"/>
  <c r="C401" i="5"/>
  <c r="G401" i="5"/>
  <c r="F400" i="5"/>
  <c r="D401" i="5"/>
  <c r="I401" i="5"/>
  <c r="G400" i="5"/>
  <c r="I400" i="5"/>
  <c r="H401" i="5"/>
  <c r="E400" i="5"/>
  <c r="H400" i="5"/>
  <c r="D385" i="5"/>
  <c r="I385" i="5"/>
  <c r="F386" i="5"/>
  <c r="E385" i="5"/>
  <c r="F385" i="5"/>
  <c r="D386" i="5"/>
  <c r="G385" i="5"/>
  <c r="H385" i="5"/>
  <c r="E386" i="5"/>
  <c r="I386" i="5"/>
  <c r="C386" i="5"/>
  <c r="C385" i="5"/>
  <c r="H386" i="5"/>
  <c r="G386" i="5"/>
  <c r="G376" i="5"/>
  <c r="G375" i="5"/>
  <c r="I375" i="5"/>
  <c r="E375" i="5"/>
  <c r="E376" i="5"/>
  <c r="F376" i="5"/>
  <c r="D375" i="5"/>
  <c r="C375" i="5"/>
  <c r="H375" i="5"/>
  <c r="F375" i="5"/>
  <c r="D376" i="5"/>
  <c r="H376" i="5"/>
  <c r="C376" i="5"/>
  <c r="I376" i="5"/>
  <c r="G366" i="5"/>
  <c r="D365" i="5"/>
  <c r="G365" i="5"/>
  <c r="H365" i="5"/>
  <c r="C366" i="5"/>
  <c r="C365" i="5"/>
  <c r="F366" i="5"/>
  <c r="I365" i="5"/>
  <c r="F365" i="5"/>
  <c r="E366" i="5"/>
  <c r="D366" i="5"/>
  <c r="I366" i="5"/>
  <c r="E365" i="5"/>
  <c r="H366" i="5"/>
  <c r="E356" i="5"/>
  <c r="H355" i="5"/>
  <c r="H356" i="5"/>
  <c r="I356" i="5"/>
  <c r="C355" i="5"/>
  <c r="D356" i="5"/>
  <c r="D355" i="5"/>
  <c r="I355" i="5"/>
  <c r="F356" i="5"/>
  <c r="F355" i="5"/>
  <c r="G355" i="5"/>
  <c r="G356" i="5"/>
  <c r="E355" i="5"/>
  <c r="C356" i="5"/>
  <c r="D360" i="5"/>
  <c r="G360" i="5"/>
  <c r="D361" i="5"/>
  <c r="C361" i="5"/>
  <c r="E360" i="5"/>
  <c r="I360" i="5"/>
  <c r="F360" i="5"/>
  <c r="F361" i="5"/>
  <c r="E361" i="5"/>
  <c r="H360" i="5"/>
  <c r="G361" i="5"/>
  <c r="I361" i="5"/>
  <c r="C360" i="5"/>
  <c r="H361" i="5"/>
  <c r="F370" i="5"/>
  <c r="D370" i="5"/>
  <c r="E370" i="5"/>
  <c r="G371" i="5"/>
  <c r="G370" i="5"/>
  <c r="C370" i="5"/>
  <c r="F371" i="5"/>
  <c r="C371" i="5"/>
  <c r="I370" i="5"/>
  <c r="H370" i="5"/>
  <c r="I371" i="5"/>
  <c r="E371" i="5"/>
  <c r="D371" i="5"/>
  <c r="H371" i="5"/>
  <c r="I381" i="5"/>
  <c r="C381" i="5"/>
  <c r="D381" i="5"/>
  <c r="I380" i="5"/>
  <c r="C380" i="5"/>
  <c r="H380" i="5"/>
  <c r="G380" i="5"/>
  <c r="F380" i="5"/>
  <c r="D380" i="5"/>
  <c r="E381" i="5"/>
  <c r="F381" i="5"/>
  <c r="H381" i="5"/>
  <c r="G381" i="5"/>
  <c r="E380" i="5"/>
  <c r="F396" i="5"/>
  <c r="D396" i="5"/>
  <c r="I391" i="5"/>
  <c r="G396" i="5"/>
  <c r="E390" i="5"/>
  <c r="I390" i="5"/>
  <c r="G390" i="5"/>
  <c r="C390" i="5"/>
  <c r="D391" i="5"/>
  <c r="C396" i="5"/>
  <c r="E395" i="5"/>
  <c r="D395" i="5"/>
  <c r="C395" i="5"/>
  <c r="C391" i="5"/>
  <c r="G395" i="5"/>
  <c r="H396" i="5"/>
  <c r="G391" i="5"/>
  <c r="E391" i="5"/>
  <c r="H390" i="5"/>
  <c r="F395" i="5"/>
  <c r="D390" i="5"/>
  <c r="H395" i="5"/>
  <c r="I395" i="5"/>
  <c r="F391" i="5"/>
  <c r="H391" i="5"/>
  <c r="I396" i="5"/>
  <c r="E396" i="5"/>
  <c r="F390" i="5"/>
  <c r="C406" i="5"/>
  <c r="I406" i="5"/>
  <c r="D406" i="5"/>
  <c r="I405" i="5"/>
  <c r="F406" i="5"/>
  <c r="H405" i="5"/>
  <c r="C405" i="5"/>
  <c r="E406" i="5"/>
  <c r="D405" i="5"/>
  <c r="H406" i="5"/>
  <c r="G406" i="5"/>
  <c r="F405" i="5"/>
  <c r="G405" i="5"/>
  <c r="E405" i="5"/>
  <c r="D416" i="5"/>
  <c r="E416" i="5"/>
  <c r="I415" i="5"/>
  <c r="F416" i="5"/>
  <c r="G416" i="5"/>
  <c r="C416" i="5"/>
  <c r="C415" i="5"/>
  <c r="E415" i="5"/>
  <c r="F415" i="5"/>
  <c r="H415" i="5"/>
  <c r="H416" i="5"/>
  <c r="D415" i="5"/>
  <c r="I416" i="5"/>
  <c r="G415" i="5"/>
  <c r="H425" i="5"/>
  <c r="G425" i="5"/>
  <c r="C426" i="5"/>
  <c r="C425" i="5"/>
  <c r="D426" i="5"/>
  <c r="D425" i="5"/>
  <c r="I425" i="5"/>
  <c r="H426" i="5"/>
  <c r="F425" i="5"/>
  <c r="E426" i="5"/>
  <c r="I426" i="5"/>
  <c r="F426" i="5"/>
  <c r="G426" i="5"/>
  <c r="E425" i="5"/>
  <c r="F435" i="5"/>
  <c r="G436" i="5"/>
  <c r="I436" i="5"/>
  <c r="C436" i="5"/>
  <c r="E436" i="5"/>
  <c r="E435" i="5"/>
  <c r="D436" i="5"/>
  <c r="H436" i="5"/>
  <c r="H435" i="5"/>
  <c r="C435" i="5"/>
  <c r="F436" i="5"/>
  <c r="I435" i="5"/>
  <c r="D435" i="5"/>
  <c r="G435" i="5"/>
  <c r="C445" i="5"/>
  <c r="D446" i="5"/>
  <c r="E445" i="5"/>
  <c r="F446" i="5"/>
  <c r="G446" i="5"/>
  <c r="I446" i="5"/>
  <c r="H446" i="5"/>
  <c r="I445" i="5"/>
  <c r="D445" i="5"/>
  <c r="E446" i="5"/>
  <c r="H445" i="5"/>
  <c r="G445" i="5"/>
  <c r="C446" i="5"/>
  <c r="F445" i="5"/>
  <c r="E455" i="5"/>
  <c r="H455" i="5"/>
  <c r="E456" i="5"/>
  <c r="G455" i="5"/>
  <c r="I455" i="5"/>
  <c r="F456" i="5"/>
  <c r="D455" i="5"/>
  <c r="I456" i="5"/>
  <c r="F455" i="5"/>
  <c r="C456" i="5"/>
  <c r="C455" i="5"/>
  <c r="D456" i="5"/>
  <c r="G456" i="5"/>
  <c r="H456" i="5"/>
  <c r="D466" i="5"/>
  <c r="I465" i="5"/>
  <c r="E466" i="5"/>
  <c r="F466" i="5"/>
  <c r="H465" i="5"/>
  <c r="C465" i="5"/>
  <c r="H466" i="5"/>
  <c r="D465" i="5"/>
  <c r="G466" i="5"/>
  <c r="C466" i="5"/>
  <c r="I466" i="5"/>
  <c r="F465" i="5"/>
  <c r="G465" i="5"/>
  <c r="E465" i="5"/>
  <c r="E476" i="5"/>
  <c r="I476" i="5"/>
  <c r="G476" i="5"/>
  <c r="C475" i="5"/>
  <c r="D475" i="5"/>
  <c r="H476" i="5"/>
  <c r="I475" i="5"/>
  <c r="F476" i="5"/>
  <c r="G475" i="5"/>
  <c r="E475" i="5"/>
  <c r="D476" i="5"/>
  <c r="F475" i="5"/>
  <c r="H475" i="5"/>
  <c r="C476" i="5"/>
  <c r="D485" i="5"/>
  <c r="F485" i="5"/>
  <c r="E486" i="5"/>
  <c r="I486" i="5"/>
  <c r="H486" i="5"/>
  <c r="C485" i="5"/>
  <c r="G486" i="5"/>
  <c r="F486" i="5"/>
  <c r="D486" i="5"/>
  <c r="I485" i="5"/>
  <c r="H485" i="5"/>
  <c r="C486" i="5"/>
  <c r="G485" i="5"/>
  <c r="E485" i="5"/>
  <c r="D495" i="5"/>
  <c r="E495" i="5"/>
  <c r="D496" i="5"/>
  <c r="E496" i="5"/>
  <c r="C496" i="5"/>
  <c r="I496" i="5"/>
  <c r="G495" i="5"/>
  <c r="I495" i="5"/>
  <c r="C495" i="5"/>
  <c r="F496" i="5"/>
  <c r="G496" i="5"/>
  <c r="F495" i="5"/>
  <c r="H495" i="5"/>
  <c r="H496" i="5"/>
  <c r="G505" i="5"/>
  <c r="H506" i="5"/>
  <c r="C505" i="5"/>
  <c r="E506" i="5"/>
  <c r="D505" i="5"/>
  <c r="E505" i="5"/>
  <c r="G506" i="5"/>
  <c r="I506" i="5"/>
  <c r="I505" i="5"/>
  <c r="F506" i="5"/>
  <c r="F505" i="5"/>
  <c r="D506" i="5"/>
  <c r="C506" i="5"/>
  <c r="H505" i="5"/>
  <c r="E516" i="5"/>
  <c r="D515" i="5"/>
  <c r="I515" i="5"/>
  <c r="F515" i="5"/>
  <c r="H516" i="5"/>
  <c r="H515" i="5"/>
  <c r="C516" i="5"/>
  <c r="E515" i="5"/>
  <c r="G516" i="5"/>
  <c r="G515" i="5"/>
  <c r="F516" i="5"/>
  <c r="C515" i="5"/>
  <c r="I516" i="5"/>
  <c r="D516" i="5"/>
  <c r="I526" i="5"/>
  <c r="D525" i="5"/>
  <c r="F526" i="5"/>
  <c r="C526" i="5"/>
  <c r="I525" i="5"/>
  <c r="C525" i="5"/>
  <c r="E525" i="5"/>
  <c r="G526" i="5"/>
  <c r="F525" i="5"/>
  <c r="H526" i="5"/>
  <c r="E526" i="5"/>
  <c r="D526" i="5"/>
  <c r="H525" i="5"/>
  <c r="G525" i="5"/>
  <c r="D535" i="5"/>
  <c r="F535" i="5"/>
  <c r="E535" i="5"/>
  <c r="F536" i="5"/>
  <c r="H535" i="5"/>
  <c r="G536" i="5"/>
  <c r="H536" i="5"/>
  <c r="C536" i="5"/>
  <c r="D536" i="5"/>
  <c r="G535" i="5"/>
  <c r="E536" i="5"/>
  <c r="C535" i="5"/>
  <c r="I535" i="5"/>
  <c r="I536" i="5"/>
  <c r="D545" i="5"/>
  <c r="F546" i="5"/>
  <c r="E545" i="5"/>
  <c r="I545" i="5"/>
  <c r="G546" i="5"/>
  <c r="C546" i="5"/>
  <c r="G545" i="5"/>
  <c r="F545" i="5"/>
  <c r="C545" i="5"/>
  <c r="I546" i="5"/>
  <c r="D546" i="5"/>
  <c r="E546" i="5"/>
  <c r="H545" i="5"/>
  <c r="H546" i="5"/>
  <c r="C556" i="5"/>
  <c r="H556" i="5"/>
  <c r="C555" i="5"/>
  <c r="D556" i="5"/>
  <c r="E556" i="5"/>
  <c r="F556" i="5"/>
  <c r="H555" i="5"/>
  <c r="F555" i="5"/>
  <c r="G556" i="5"/>
  <c r="I556" i="5"/>
  <c r="D555" i="5"/>
  <c r="I555" i="5"/>
  <c r="G555" i="5"/>
  <c r="E555" i="5"/>
  <c r="C565" i="5"/>
  <c r="D566" i="5"/>
  <c r="C566" i="5"/>
  <c r="E566" i="5"/>
  <c r="F565" i="5"/>
  <c r="E565" i="5"/>
  <c r="G565" i="5"/>
  <c r="I565" i="5"/>
  <c r="H566" i="5"/>
  <c r="H565" i="5"/>
  <c r="F566" i="5"/>
  <c r="D565" i="5"/>
  <c r="I566" i="5"/>
  <c r="G566" i="5"/>
  <c r="I576" i="5"/>
  <c r="C576" i="5"/>
  <c r="E576" i="5"/>
  <c r="F575" i="5"/>
  <c r="G576" i="5"/>
  <c r="C575" i="5"/>
  <c r="G575" i="5"/>
  <c r="E575" i="5"/>
  <c r="H576" i="5"/>
  <c r="D576" i="5"/>
  <c r="F576" i="5"/>
  <c r="D575" i="5"/>
  <c r="I575" i="5"/>
  <c r="H575" i="5"/>
  <c r="I585" i="5"/>
  <c r="C585" i="5"/>
  <c r="E585" i="5"/>
  <c r="G585" i="5"/>
  <c r="I586" i="5"/>
  <c r="D585" i="5"/>
  <c r="F586" i="5"/>
  <c r="G586" i="5"/>
  <c r="F585" i="5"/>
  <c r="H586" i="5"/>
  <c r="E586" i="5"/>
  <c r="D586" i="5"/>
  <c r="H585" i="5"/>
  <c r="C586" i="5"/>
  <c r="H590" i="5"/>
  <c r="D591" i="5"/>
  <c r="I591" i="5"/>
  <c r="D590" i="5"/>
  <c r="C591" i="5"/>
  <c r="F590" i="5"/>
  <c r="E590" i="5"/>
  <c r="G591" i="5"/>
  <c r="H591" i="5"/>
  <c r="G590" i="5"/>
  <c r="E591" i="5"/>
  <c r="C590" i="5"/>
  <c r="I590" i="5"/>
  <c r="F591" i="5"/>
  <c r="C601" i="5"/>
  <c r="F601" i="5"/>
  <c r="C600" i="5"/>
  <c r="I601" i="5"/>
  <c r="D600" i="5"/>
  <c r="E601" i="5"/>
  <c r="H600" i="5"/>
  <c r="G601" i="5"/>
  <c r="G600" i="5"/>
  <c r="H601" i="5"/>
  <c r="D601" i="5"/>
  <c r="I600" i="5"/>
  <c r="E600" i="5"/>
  <c r="F600" i="5"/>
  <c r="H119" i="1" a="1"/>
  <c r="H119" i="1" s="1"/>
  <c r="D118" i="1" a="1"/>
  <c r="D118" i="1" s="1"/>
  <c r="E84" i="1" a="1"/>
  <c r="E84" i="1" s="1"/>
  <c r="E113" i="1" a="1"/>
  <c r="E113" i="1" s="1"/>
  <c r="J103" i="1" a="1"/>
  <c r="J103" i="1" s="1"/>
  <c r="I111" i="1" a="1"/>
  <c r="I111" i="1" s="1"/>
  <c r="H83" i="1" a="1"/>
  <c r="H83" i="1" s="1"/>
  <c r="F77" i="1" a="1"/>
  <c r="F77" i="1" s="1"/>
  <c r="I96" i="1" a="1"/>
  <c r="I96" i="1" s="1"/>
  <c r="D107" i="1" a="1"/>
  <c r="D107" i="1" s="1"/>
  <c r="J111" i="1" a="1"/>
  <c r="J111" i="1" s="1"/>
  <c r="H86" i="1" a="1"/>
  <c r="H86" i="1" s="1"/>
  <c r="D98" i="1" a="1"/>
  <c r="D98" i="1" s="1"/>
  <c r="G89" i="1" a="1"/>
  <c r="G89" i="1" s="1"/>
  <c r="D77" i="1" a="1"/>
  <c r="D77" i="1" s="1"/>
  <c r="I89" i="1" a="1"/>
  <c r="I89" i="1" s="1"/>
  <c r="F93" i="1" a="1"/>
  <c r="F93" i="1" s="1"/>
  <c r="G120" i="1" a="1"/>
  <c r="G120" i="1" s="1"/>
  <c r="F107" i="1" a="1"/>
  <c r="F107" i="1" s="1"/>
  <c r="D93" i="1" a="1"/>
  <c r="D93" i="1" s="1"/>
  <c r="I112" i="1" a="1"/>
  <c r="I112" i="1" s="1"/>
  <c r="F109" i="1" a="1"/>
  <c r="F109" i="1" s="1"/>
  <c r="I119" i="1" a="1"/>
  <c r="I119" i="1" s="1"/>
  <c r="D99" i="1" a="1"/>
  <c r="D99" i="1" s="1"/>
  <c r="K121" i="1" a="1"/>
  <c r="K121" i="1" s="1"/>
  <c r="F118" i="1" a="1"/>
  <c r="F118" i="1" s="1"/>
  <c r="K117" i="1" a="1"/>
  <c r="K117" i="1" s="1"/>
  <c r="H100" i="1" a="1"/>
  <c r="H100" i="1" s="1"/>
  <c r="E76" i="1" a="1"/>
  <c r="E76" i="1" s="1"/>
  <c r="K115" i="1" a="1"/>
  <c r="K115" i="1" s="1"/>
  <c r="I109" i="1" a="1"/>
  <c r="I109" i="1" s="1"/>
  <c r="I94" i="1" a="1"/>
  <c r="I94" i="1" s="1"/>
  <c r="K113" i="1" a="1"/>
  <c r="K113" i="1" s="1"/>
  <c r="K107" i="1" a="1"/>
  <c r="K107" i="1" s="1"/>
  <c r="E81" i="1" a="1"/>
  <c r="E81" i="1" s="1"/>
  <c r="J85" i="1" a="1"/>
  <c r="J85" i="1" s="1"/>
  <c r="D96" i="1" a="1"/>
  <c r="D96" i="1" s="1"/>
  <c r="D121" i="1" a="1"/>
  <c r="D121" i="1" s="1"/>
  <c r="K109" i="1" a="1"/>
  <c r="K109" i="1" s="1"/>
  <c r="E95" i="1" a="1"/>
  <c r="E95" i="1" s="1"/>
  <c r="D86" i="1" a="1"/>
  <c r="D86" i="1" s="1"/>
  <c r="D94" i="1" a="1"/>
  <c r="D94" i="1" s="1"/>
  <c r="I79" i="1" a="1"/>
  <c r="I79" i="1" s="1"/>
  <c r="G93" i="1" a="1"/>
  <c r="G93" i="1" s="1"/>
  <c r="E79" i="1" a="1"/>
  <c r="E79" i="1" s="1"/>
  <c r="G97" i="1" a="1"/>
  <c r="G97" i="1" s="1"/>
  <c r="G94" i="1" a="1"/>
  <c r="G94" i="1" s="1"/>
  <c r="G103" i="1" a="1"/>
  <c r="G103" i="1" s="1"/>
  <c r="F102" i="1" a="1"/>
  <c r="F102" i="1" s="1"/>
  <c r="G84" i="1" a="1"/>
  <c r="G84" i="1" s="1"/>
  <c r="J104" i="1" a="1"/>
  <c r="J104" i="1" s="1"/>
  <c r="J112" i="1" a="1"/>
  <c r="J112" i="1" s="1"/>
  <c r="D97" i="1" a="1"/>
  <c r="D97" i="1" s="1"/>
  <c r="D102" i="1" a="1"/>
  <c r="D102" i="1" s="1"/>
  <c r="I82" i="1" a="1"/>
  <c r="I82" i="1" s="1"/>
  <c r="J118" i="1" a="1"/>
  <c r="J118" i="1" s="1"/>
  <c r="J105" i="1" a="1"/>
  <c r="J105" i="1" s="1"/>
  <c r="I108" i="1" a="1"/>
  <c r="I108" i="1" s="1"/>
  <c r="G79" i="1" a="1"/>
  <c r="G79" i="1" s="1"/>
  <c r="F100" i="1" a="1"/>
  <c r="F100" i="1" s="1"/>
  <c r="E90" i="1" a="1"/>
  <c r="E90" i="1" s="1"/>
  <c r="H92" i="1" a="1"/>
  <c r="H92" i="1" s="1"/>
  <c r="K106" i="1" a="1"/>
  <c r="K106" i="1" s="1"/>
  <c r="H89" i="1" a="1"/>
  <c r="H89" i="1" s="1"/>
  <c r="J113" i="1" a="1"/>
  <c r="J113" i="1" s="1"/>
  <c r="D79" i="1" a="1"/>
  <c r="D79" i="1" s="1"/>
  <c r="J109" i="1" a="1"/>
  <c r="J109" i="1" s="1"/>
  <c r="J100" i="1" a="1"/>
  <c r="J100" i="1" s="1"/>
  <c r="K89" i="1" a="1"/>
  <c r="K89" i="1" s="1"/>
  <c r="J96" i="1" a="1"/>
  <c r="J96" i="1" s="1"/>
  <c r="J114" i="1" a="1"/>
  <c r="J114" i="1" s="1"/>
  <c r="J115" i="1" a="1"/>
  <c r="J115" i="1" s="1"/>
  <c r="K87" i="1" a="1"/>
  <c r="K87" i="1" s="1"/>
  <c r="K116" i="1" a="1"/>
  <c r="K116" i="1" s="1"/>
  <c r="F112" i="1" a="1"/>
  <c r="F112" i="1" s="1"/>
  <c r="G80" i="1" a="1"/>
  <c r="G80" i="1" s="1"/>
  <c r="F116" i="1" a="1"/>
  <c r="F116" i="1" s="1"/>
  <c r="J117" i="1" a="1"/>
  <c r="J117" i="1" s="1"/>
  <c r="H116" i="1" a="1"/>
  <c r="H116" i="1" s="1"/>
  <c r="F106" i="1" a="1"/>
  <c r="F106" i="1" s="1"/>
  <c r="E121" i="1" a="1"/>
  <c r="E121" i="1" s="1"/>
  <c r="F108" i="1" a="1"/>
  <c r="F108" i="1" s="1"/>
  <c r="H73" i="1" a="1"/>
  <c r="H73" i="1" s="1"/>
  <c r="G105" i="1" a="1"/>
  <c r="G105" i="1" s="1"/>
  <c r="K110" i="1" a="1"/>
  <c r="K110" i="1" s="1"/>
  <c r="K79" i="1" a="1"/>
  <c r="K79" i="1" s="1"/>
  <c r="I99" i="1" a="1"/>
  <c r="I99" i="1" s="1"/>
  <c r="I77" i="1" a="1"/>
  <c r="I77" i="1" s="1"/>
  <c r="E111" i="1" a="1"/>
  <c r="E111" i="1" s="1"/>
  <c r="D95" i="1" a="1"/>
  <c r="D95" i="1" s="1"/>
  <c r="D113" i="1" a="1"/>
  <c r="D113" i="1" s="1"/>
  <c r="F88" i="1" a="1"/>
  <c r="F88" i="1" s="1"/>
  <c r="I92" i="1" a="1"/>
  <c r="I92" i="1" s="1"/>
  <c r="D120" i="1" a="1"/>
  <c r="D120" i="1" s="1"/>
  <c r="E114" i="1" a="1"/>
  <c r="E114" i="1" s="1"/>
  <c r="J116" i="1" a="1"/>
  <c r="J116" i="1" s="1"/>
  <c r="D114" i="1" a="1"/>
  <c r="D114" i="1" s="1"/>
  <c r="E94" i="1" a="1"/>
  <c r="E94" i="1" s="1"/>
  <c r="E103" i="1" a="1"/>
  <c r="E103" i="1" s="1"/>
  <c r="J102" i="1" a="1"/>
  <c r="J102" i="1" s="1"/>
  <c r="E93" i="1" a="1"/>
  <c r="E93" i="1" s="1"/>
  <c r="J89" i="1" a="1"/>
  <c r="J89" i="1" s="1"/>
  <c r="K103" i="1" a="1"/>
  <c r="K103" i="1" s="1"/>
  <c r="G82" i="1" a="1"/>
  <c r="G82" i="1" s="1"/>
  <c r="K114" i="1" a="1"/>
  <c r="K114" i="1" s="1"/>
  <c r="H78" i="1" a="1"/>
  <c r="H78" i="1" s="1"/>
  <c r="I118" i="1" a="1"/>
  <c r="I118" i="1" s="1"/>
  <c r="D111" i="1" a="1"/>
  <c r="D111" i="1" s="1"/>
  <c r="I113" i="1" a="1"/>
  <c r="I113" i="1" s="1"/>
  <c r="E92" i="1" a="1"/>
  <c r="E92" i="1" s="1"/>
  <c r="I104" i="1" a="1"/>
  <c r="I104" i="1" s="1"/>
  <c r="J74" i="1" a="1"/>
  <c r="J74" i="1" s="1"/>
  <c r="E116" i="1" a="1"/>
  <c r="E116" i="1" s="1"/>
  <c r="E117" i="1" a="1"/>
  <c r="E117" i="1" s="1"/>
  <c r="E105" i="1" a="1"/>
  <c r="E105" i="1" s="1"/>
  <c r="J122" i="1" a="1"/>
  <c r="J122" i="1" s="1"/>
  <c r="K105" i="1" a="1"/>
  <c r="K105" i="1" s="1"/>
  <c r="E100" i="1" a="1"/>
  <c r="E100" i="1" s="1"/>
  <c r="F83" i="1" a="1"/>
  <c r="F83" i="1" s="1"/>
  <c r="G117" i="1" a="1"/>
  <c r="G117" i="1" s="1"/>
  <c r="I87" i="1" a="1"/>
  <c r="I87" i="1" s="1"/>
  <c r="H97" i="1" a="1"/>
  <c r="H97" i="1" s="1"/>
  <c r="J86" i="1" a="1"/>
  <c r="J86" i="1" s="1"/>
  <c r="K90" i="1" a="1"/>
  <c r="K90" i="1" s="1"/>
  <c r="I115" i="1" a="1"/>
  <c r="I115" i="1" s="1"/>
  <c r="K108" i="1" a="1"/>
  <c r="K108" i="1" s="1"/>
  <c r="D84" i="1" a="1"/>
  <c r="D84" i="1" s="1"/>
  <c r="I116" i="1" a="1"/>
  <c r="I116" i="1" s="1"/>
  <c r="I85" i="1" a="1"/>
  <c r="I85" i="1" s="1"/>
  <c r="H99" i="1" a="1"/>
  <c r="H99" i="1" s="1"/>
  <c r="F104" i="1" a="1"/>
  <c r="F104" i="1" s="1"/>
  <c r="H90" i="1" a="1"/>
  <c r="H90" i="1" s="1"/>
  <c r="D73" i="1" a="1"/>
  <c r="D73" i="1" s="1"/>
  <c r="E109" i="1" a="1"/>
  <c r="E109" i="1" s="1"/>
  <c r="E102" i="1" a="1"/>
  <c r="E102" i="1" s="1"/>
  <c r="E75" i="1" a="1"/>
  <c r="E75" i="1" s="1"/>
  <c r="K81" i="1" a="1"/>
  <c r="K81" i="1" s="1"/>
  <c r="D89" i="1" a="1"/>
  <c r="D89" i="1" s="1"/>
  <c r="H120" i="1" a="1"/>
  <c r="H120" i="1" s="1"/>
  <c r="G73" i="1" a="1"/>
  <c r="G73" i="1" s="1"/>
  <c r="K84" i="1" a="1"/>
  <c r="K84" i="1" s="1"/>
  <c r="D108" i="1" a="1"/>
  <c r="D108" i="1" s="1"/>
  <c r="F97" i="1" a="1"/>
  <c r="F97" i="1" s="1"/>
  <c r="D109" i="1" a="1"/>
  <c r="D109" i="1" s="1"/>
  <c r="J84" i="1" a="1"/>
  <c r="J84" i="1" s="1"/>
  <c r="D105" i="1" a="1"/>
  <c r="D105" i="1" s="1"/>
  <c r="E82" i="1" a="1"/>
  <c r="E82" i="1" s="1"/>
  <c r="D100" i="1" a="1"/>
  <c r="D100" i="1" s="1"/>
  <c r="D110" i="1" a="1"/>
  <c r="D110" i="1" s="1"/>
  <c r="D101" i="1" a="1"/>
  <c r="D101" i="1" s="1"/>
  <c r="I117" i="1" a="1"/>
  <c r="I117" i="1" s="1"/>
  <c r="H105" i="1" a="1"/>
  <c r="H105" i="1" s="1"/>
  <c r="H82" i="1" a="1"/>
  <c r="H82" i="1" s="1"/>
  <c r="J93" i="1" a="1"/>
  <c r="J93" i="1" s="1"/>
  <c r="G115" i="1" a="1"/>
  <c r="G115" i="1" s="1"/>
  <c r="E88" i="1" a="1"/>
  <c r="E88" i="1" s="1"/>
  <c r="E97" i="1" a="1"/>
  <c r="E97" i="1" s="1"/>
  <c r="K104" i="1" a="1"/>
  <c r="K104" i="1" s="1"/>
  <c r="F115" i="1" a="1"/>
  <c r="F115" i="1" s="1"/>
  <c r="H103" i="1" a="1"/>
  <c r="H103" i="1" s="1"/>
  <c r="F110" i="1" a="1"/>
  <c r="F110" i="1" s="1"/>
  <c r="I91" i="1" a="1"/>
  <c r="I91" i="1" s="1"/>
  <c r="I73" i="1" a="1"/>
  <c r="I73" i="1" s="1"/>
  <c r="H111" i="1" a="1"/>
  <c r="H111" i="1" s="1"/>
  <c r="J107" i="1" a="1"/>
  <c r="J107" i="1" s="1"/>
  <c r="I114" i="1" a="1"/>
  <c r="I114" i="1" s="1"/>
  <c r="F98" i="1" a="1"/>
  <c r="F98" i="1" s="1"/>
  <c r="H106" i="1" a="1"/>
  <c r="H106" i="1" s="1"/>
  <c r="J98" i="1" a="1"/>
  <c r="J98" i="1" s="1"/>
  <c r="I75" i="1" a="1"/>
  <c r="I75" i="1" s="1"/>
  <c r="F121" i="1" a="1"/>
  <c r="F121" i="1" s="1"/>
  <c r="J77" i="1" a="1"/>
  <c r="J77" i="1" s="1"/>
  <c r="K96" i="1" a="1"/>
  <c r="K96" i="1" s="1"/>
  <c r="E122" i="1" a="1"/>
  <c r="E122" i="1" s="1"/>
  <c r="I101" i="1" a="1"/>
  <c r="I101" i="1" s="1"/>
  <c r="E108" i="1" a="1"/>
  <c r="E108" i="1" s="1"/>
  <c r="H118" i="1" a="1"/>
  <c r="H118" i="1" s="1"/>
  <c r="H121" i="1" a="1"/>
  <c r="H121" i="1" s="1"/>
  <c r="K85" i="1" a="1"/>
  <c r="K85" i="1" s="1"/>
  <c r="G119" i="1" a="1"/>
  <c r="G119" i="1" s="1"/>
  <c r="K92" i="1" a="1"/>
  <c r="K92" i="1" s="1"/>
  <c r="K122" i="1" a="1"/>
  <c r="K122" i="1" s="1"/>
  <c r="F105" i="1" a="1"/>
  <c r="F105" i="1" s="1"/>
  <c r="G83" i="1" a="1"/>
  <c r="G83" i="1" s="1"/>
  <c r="K120" i="1" a="1"/>
  <c r="K120" i="1" s="1"/>
  <c r="F92" i="1" a="1"/>
  <c r="F92" i="1" s="1"/>
  <c r="I102" i="1" a="1"/>
  <c r="I102" i="1" s="1"/>
  <c r="D119" i="1" a="1"/>
  <c r="D119" i="1" s="1"/>
  <c r="G92" i="1" a="1"/>
  <c r="G92" i="1" s="1"/>
  <c r="E83" i="1" a="1"/>
  <c r="E83" i="1" s="1"/>
  <c r="I105" i="1" a="1"/>
  <c r="I105" i="1" s="1"/>
  <c r="F91" i="1" a="1"/>
  <c r="F91" i="1" s="1"/>
  <c r="D76" i="1" a="1"/>
  <c r="D76" i="1" s="1"/>
  <c r="G116" i="1" a="1"/>
  <c r="G116" i="1" s="1"/>
  <c r="E119" i="1" a="1"/>
  <c r="E119" i="1" s="1"/>
  <c r="K74" i="1" a="1"/>
  <c r="K74" i="1" s="1"/>
  <c r="D78" i="1" a="1"/>
  <c r="D78" i="1" s="1"/>
  <c r="K86" i="1" a="1"/>
  <c r="K86" i="1" s="1"/>
  <c r="K80" i="1" a="1"/>
  <c r="K80" i="1" s="1"/>
  <c r="K91" i="1" a="1"/>
  <c r="K91" i="1" s="1"/>
  <c r="F80" i="1" a="1"/>
  <c r="F80" i="1" s="1"/>
  <c r="F117" i="1" a="1"/>
  <c r="F117" i="1" s="1"/>
  <c r="G74" i="1" a="1"/>
  <c r="G74" i="1" s="1"/>
  <c r="K98" i="1" a="1"/>
  <c r="K98" i="1" s="1"/>
  <c r="H109" i="1" a="1"/>
  <c r="H109" i="1" s="1"/>
  <c r="F96" i="1" a="1"/>
  <c r="F96" i="1" s="1"/>
  <c r="G107" i="1" a="1"/>
  <c r="G107" i="1" s="1"/>
  <c r="I80" i="1" a="1"/>
  <c r="I80" i="1" s="1"/>
  <c r="F79" i="1" a="1"/>
  <c r="F79" i="1" s="1"/>
  <c r="H87" i="1" a="1"/>
  <c r="H87" i="1" s="1"/>
  <c r="J108" i="1" a="1"/>
  <c r="J108" i="1" s="1"/>
  <c r="H115" i="1" a="1"/>
  <c r="H115" i="1" s="1"/>
  <c r="F101" i="1" a="1"/>
  <c r="F101" i="1" s="1"/>
  <c r="G108" i="1" a="1"/>
  <c r="G108" i="1" s="1"/>
  <c r="G99" i="1" a="1"/>
  <c r="G99" i="1" s="1"/>
  <c r="H77" i="1" a="1"/>
  <c r="H77" i="1" s="1"/>
  <c r="F120" i="1" a="1"/>
  <c r="F120" i="1" s="1"/>
  <c r="G113" i="1" a="1"/>
  <c r="G113" i="1" s="1"/>
  <c r="K78" i="1" a="1"/>
  <c r="K78" i="1" s="1"/>
  <c r="G101" i="1" a="1"/>
  <c r="G101" i="1" s="1"/>
  <c r="G90" i="1" a="1"/>
  <c r="G90" i="1" s="1"/>
  <c r="K118" i="1" a="1"/>
  <c r="K118" i="1" s="1"/>
  <c r="D104" i="1" a="1"/>
  <c r="D104" i="1" s="1"/>
  <c r="H74" i="1" a="1"/>
  <c r="H74" i="1" s="1"/>
  <c r="I110" i="1" a="1"/>
  <c r="I110" i="1" s="1"/>
  <c r="H98" i="1" a="1"/>
  <c r="H98" i="1" s="1"/>
  <c r="E110" i="1" a="1"/>
  <c r="E110" i="1" s="1"/>
  <c r="E118" i="1" a="1"/>
  <c r="E118" i="1" s="1"/>
  <c r="G88" i="1" a="1"/>
  <c r="G88" i="1" s="1"/>
  <c r="E104" i="1" a="1"/>
  <c r="E104" i="1" s="1"/>
  <c r="H94" i="1" a="1"/>
  <c r="H94" i="1" s="1"/>
  <c r="G76" i="1" a="1"/>
  <c r="G76" i="1" s="1"/>
  <c r="G100" i="1" a="1"/>
  <c r="G100" i="1" s="1"/>
  <c r="G98" i="1" a="1"/>
  <c r="G98" i="1" s="1"/>
  <c r="H95" i="1" a="1"/>
  <c r="H95" i="1" s="1"/>
  <c r="I98" i="1" a="1"/>
  <c r="I98" i="1" s="1"/>
  <c r="G110" i="1" a="1"/>
  <c r="G110" i="1" s="1"/>
  <c r="G86" i="1" a="1"/>
  <c r="G86" i="1" s="1"/>
  <c r="G121" i="1" a="1"/>
  <c r="G121" i="1" s="1"/>
  <c r="G111" i="1" a="1"/>
  <c r="G111" i="1" s="1"/>
  <c r="H84" i="1" a="1"/>
  <c r="H84" i="1" s="1"/>
  <c r="F89" i="1" a="1"/>
  <c r="F89" i="1" s="1"/>
  <c r="G122" i="1" a="1"/>
  <c r="G122" i="1" s="1"/>
  <c r="D117" i="1" a="1"/>
  <c r="D117" i="1" s="1"/>
  <c r="I81" i="1" a="1"/>
  <c r="I81" i="1" s="1"/>
  <c r="D115" i="1" a="1"/>
  <c r="D115" i="1" s="1"/>
  <c r="I90" i="1" a="1"/>
  <c r="I90" i="1" s="1"/>
  <c r="J106" i="1" a="1"/>
  <c r="J106" i="1" s="1"/>
  <c r="H122" i="1" a="1"/>
  <c r="H122" i="1" s="1"/>
  <c r="E112" i="1" a="1"/>
  <c r="E112" i="1" s="1"/>
  <c r="K100" i="1" a="1"/>
  <c r="K100" i="1" s="1"/>
  <c r="D82" i="1" a="1"/>
  <c r="D82" i="1" s="1"/>
  <c r="G106" i="1" a="1"/>
  <c r="G106" i="1" s="1"/>
  <c r="D87" i="1" a="1"/>
  <c r="D87" i="1" s="1"/>
  <c r="J90" i="1" a="1"/>
  <c r="J90" i="1" s="1"/>
  <c r="G118" i="1" a="1"/>
  <c r="G118" i="1" s="1"/>
  <c r="F90" i="1" a="1"/>
  <c r="F90" i="1" s="1"/>
  <c r="I106" i="1" a="1"/>
  <c r="I106" i="1" s="1"/>
  <c r="K75" i="1" a="1"/>
  <c r="K75" i="1" s="1"/>
  <c r="D112" i="1" a="1"/>
  <c r="D112" i="1" s="1"/>
  <c r="G81" i="1" a="1"/>
  <c r="G81" i="1" s="1"/>
  <c r="E115" i="1" a="1"/>
  <c r="E115" i="1" s="1"/>
  <c r="H91" i="1" a="1"/>
  <c r="H91" i="1" s="1"/>
  <c r="E96" i="1" a="1"/>
  <c r="E96" i="1" s="1"/>
  <c r="J120" i="1" a="1"/>
  <c r="J120" i="1" s="1"/>
  <c r="E74" i="1" a="1"/>
  <c r="E74" i="1" s="1"/>
  <c r="K97" i="1" a="1"/>
  <c r="K97" i="1" s="1"/>
  <c r="E106" i="1" a="1"/>
  <c r="E106" i="1" s="1"/>
  <c r="I121" i="1" a="1"/>
  <c r="I121" i="1" s="1"/>
  <c r="I97" i="1" a="1"/>
  <c r="I97" i="1" s="1"/>
  <c r="E98" i="1" a="1"/>
  <c r="E98" i="1" s="1"/>
  <c r="H88" i="1" a="1"/>
  <c r="H88" i="1" s="1"/>
  <c r="D91" i="1" a="1"/>
  <c r="D91" i="1" s="1"/>
  <c r="H117" i="1" a="1"/>
  <c r="H117" i="1" s="1"/>
  <c r="D85" i="1" a="1"/>
  <c r="D85" i="1" s="1"/>
  <c r="E107" i="1" a="1"/>
  <c r="E107" i="1" s="1"/>
  <c r="E91" i="1" a="1"/>
  <c r="E91" i="1" s="1"/>
  <c r="G75" i="1" a="1"/>
  <c r="G75" i="1" s="1"/>
  <c r="H113" i="1" a="1"/>
  <c r="H113" i="1" s="1"/>
  <c r="J87" i="1" a="1"/>
  <c r="J87" i="1" s="1"/>
  <c r="E85" i="1" a="1"/>
  <c r="E85" i="1" s="1"/>
  <c r="H107" i="1" a="1"/>
  <c r="H107" i="1" s="1"/>
  <c r="J101" i="1" a="1"/>
  <c r="J101" i="1" s="1"/>
  <c r="G102" i="1" a="1"/>
  <c r="G102" i="1" s="1"/>
  <c r="H79" i="1" a="1"/>
  <c r="H79" i="1" s="1"/>
  <c r="F111" i="1" a="1"/>
  <c r="F111" i="1" s="1"/>
  <c r="J76" i="1" a="1"/>
  <c r="J76" i="1" s="1"/>
  <c r="I122" i="1" a="1"/>
  <c r="I122" i="1" s="1"/>
  <c r="I107" i="1" a="1"/>
  <c r="I107" i="1" s="1"/>
  <c r="G112" i="1" a="1"/>
  <c r="G112" i="1" s="1"/>
  <c r="D106" i="1" a="1"/>
  <c r="D106" i="1" s="1"/>
  <c r="F94" i="1" a="1"/>
  <c r="F94" i="1" s="1"/>
  <c r="F103" i="1" a="1"/>
  <c r="F103" i="1" s="1"/>
  <c r="F76" i="1" a="1"/>
  <c r="F76" i="1" s="1"/>
  <c r="H101" i="1" a="1"/>
  <c r="H101" i="1" s="1"/>
  <c r="E86" i="1" a="1"/>
  <c r="E86" i="1" s="1"/>
  <c r="K76" i="1" a="1"/>
  <c r="K76" i="1" s="1"/>
  <c r="F78" i="1" a="1"/>
  <c r="F78" i="1" s="1"/>
  <c r="H80" i="1" a="1"/>
  <c r="H80" i="1" s="1"/>
  <c r="G87" i="1" a="1"/>
  <c r="G87" i="1" s="1"/>
  <c r="H96" i="1" a="1"/>
  <c r="H96" i="1" s="1"/>
  <c r="G91" i="1" a="1"/>
  <c r="G91" i="1" s="1"/>
  <c r="E87" i="1" a="1"/>
  <c r="E87" i="1" s="1"/>
  <c r="K83" i="1" a="1"/>
  <c r="K83" i="1" s="1"/>
  <c r="E80" i="1" a="1"/>
  <c r="E80" i="1" s="1"/>
  <c r="D116" i="1" a="1"/>
  <c r="D116" i="1" s="1"/>
  <c r="I76" i="1" a="1"/>
  <c r="I76" i="1" s="1"/>
  <c r="G95" i="1" a="1"/>
  <c r="G95" i="1" s="1"/>
  <c r="H81" i="1" a="1"/>
  <c r="H81" i="1" s="1"/>
  <c r="F73" i="1" a="1"/>
  <c r="F73" i="1" s="1"/>
  <c r="K102" i="1" a="1"/>
  <c r="K102" i="1" s="1"/>
  <c r="G109" i="1" a="1"/>
  <c r="G109" i="1" s="1"/>
  <c r="K94" i="1" a="1"/>
  <c r="K94" i="1" s="1"/>
  <c r="D83" i="1" a="1"/>
  <c r="D83" i="1" s="1"/>
  <c r="G104" i="1" a="1"/>
  <c r="G104" i="1" s="1"/>
  <c r="I86" i="1" a="1"/>
  <c r="I86" i="1" s="1"/>
  <c r="G78" i="1" a="1"/>
  <c r="G78" i="1" s="1"/>
  <c r="F122" i="1" a="1"/>
  <c r="F122" i="1" s="1"/>
  <c r="J119" i="1" a="1"/>
  <c r="J119" i="1" s="1"/>
  <c r="I100" i="1" a="1"/>
  <c r="I100" i="1" s="1"/>
  <c r="H85" i="1" a="1"/>
  <c r="H85" i="1" s="1"/>
  <c r="F85" i="1" a="1"/>
  <c r="F85" i="1" s="1"/>
  <c r="F82" i="1" a="1"/>
  <c r="F82" i="1" s="1"/>
  <c r="I95" i="1" a="1"/>
  <c r="I95" i="1" s="1"/>
  <c r="J110" i="1" a="1"/>
  <c r="J110" i="1" s="1"/>
  <c r="F99" i="1" a="1"/>
  <c r="F99" i="1" s="1"/>
  <c r="I74" i="1" a="1"/>
  <c r="I74" i="1" s="1"/>
  <c r="F95" i="1" a="1"/>
  <c r="F95" i="1" s="1"/>
  <c r="E78" i="1" a="1"/>
  <c r="E78" i="1" s="1"/>
  <c r="H102" i="1" a="1"/>
  <c r="H102" i="1" s="1"/>
  <c r="J95" i="1" a="1"/>
  <c r="J95" i="1" s="1"/>
  <c r="I78" i="1" a="1"/>
  <c r="I78" i="1" s="1"/>
  <c r="J82" i="1" a="1"/>
  <c r="J82" i="1" s="1"/>
  <c r="G77" i="1" a="1"/>
  <c r="G77" i="1" s="1"/>
  <c r="H110" i="1" a="1"/>
  <c r="H110" i="1" s="1"/>
  <c r="F113" i="1" a="1"/>
  <c r="F113" i="1" s="1"/>
  <c r="I88" i="1" a="1"/>
  <c r="I88" i="1" s="1"/>
  <c r="K111" i="1" a="1"/>
  <c r="K111" i="1" s="1"/>
  <c r="F84" i="1" a="1"/>
  <c r="F84" i="1" s="1"/>
  <c r="J73" i="1" a="1"/>
  <c r="J73" i="1" s="1"/>
  <c r="K93" i="1" a="1"/>
  <c r="K93" i="1" s="1"/>
  <c r="F74" i="1" a="1"/>
  <c r="F74" i="1" s="1"/>
  <c r="E101" i="1" a="1"/>
  <c r="E101" i="1" s="1"/>
  <c r="D74" i="1" a="1"/>
  <c r="D74" i="1" s="1"/>
  <c r="K77" i="1" a="1"/>
  <c r="K77" i="1" s="1"/>
  <c r="H93" i="1" a="1"/>
  <c r="H93" i="1" s="1"/>
  <c r="H104" i="1" a="1"/>
  <c r="H104" i="1" s="1"/>
  <c r="D81" i="1" a="1"/>
  <c r="D81" i="1" s="1"/>
  <c r="K73" i="1" a="1"/>
  <c r="K73" i="1" s="1"/>
  <c r="I83" i="1" a="1"/>
  <c r="I83" i="1" s="1"/>
  <c r="I84" i="1" a="1"/>
  <c r="I84" i="1" s="1"/>
  <c r="I103" i="1" a="1"/>
  <c r="I103" i="1" s="1"/>
  <c r="E120" i="1" a="1"/>
  <c r="E120" i="1" s="1"/>
  <c r="J94" i="1" a="1"/>
  <c r="J94" i="1" s="1"/>
  <c r="D75" i="1" a="1"/>
  <c r="D75" i="1" s="1"/>
  <c r="D103" i="1" a="1"/>
  <c r="D103" i="1" s="1"/>
  <c r="E77" i="1" a="1"/>
  <c r="E77" i="1" s="1"/>
  <c r="G96" i="1" a="1"/>
  <c r="G96" i="1" s="1"/>
  <c r="H76" i="1" a="1"/>
  <c r="H76" i="1" s="1"/>
  <c r="H114" i="1" a="1"/>
  <c r="H114" i="1" s="1"/>
  <c r="K82" i="1" a="1"/>
  <c r="K82" i="1" s="1"/>
  <c r="D80" i="1" a="1"/>
  <c r="D80" i="1" s="1"/>
  <c r="F86" i="1" a="1"/>
  <c r="F86" i="1" s="1"/>
  <c r="J99" i="1" a="1"/>
  <c r="J99" i="1" s="1"/>
  <c r="J91" i="1" a="1"/>
  <c r="J91" i="1" s="1"/>
  <c r="K119" i="1" a="1"/>
  <c r="K119" i="1" s="1"/>
  <c r="K88" i="1" a="1"/>
  <c r="K88" i="1" s="1"/>
  <c r="J75" i="1" a="1"/>
  <c r="J75" i="1" s="1"/>
  <c r="K95" i="1" a="1"/>
  <c r="K95" i="1" s="1"/>
  <c r="J78" i="1" a="1"/>
  <c r="J78" i="1" s="1"/>
  <c r="E99" i="1" a="1"/>
  <c r="E99" i="1" s="1"/>
  <c r="D88" i="1" a="1"/>
  <c r="D88" i="1" s="1"/>
  <c r="F114" i="1" a="1"/>
  <c r="F114" i="1" s="1"/>
  <c r="E73" i="1" a="1"/>
  <c r="E73" i="1" s="1"/>
  <c r="I120" i="1" a="1"/>
  <c r="I120" i="1" s="1"/>
  <c r="J92" i="1" a="1"/>
  <c r="J92" i="1" s="1"/>
  <c r="G85" i="1" a="1"/>
  <c r="G85" i="1" s="1"/>
  <c r="F75" i="1" a="1"/>
  <c r="F75" i="1" s="1"/>
  <c r="F119" i="1" a="1"/>
  <c r="F119" i="1" s="1"/>
  <c r="J97" i="1" a="1"/>
  <c r="J97" i="1" s="1"/>
  <c r="H108" i="1" a="1"/>
  <c r="H108" i="1" s="1"/>
  <c r="H112" i="1" a="1"/>
  <c r="H112" i="1" s="1"/>
  <c r="D122" i="1" a="1"/>
  <c r="D122" i="1" s="1"/>
  <c r="K112" i="1" a="1"/>
  <c r="K112" i="1" s="1"/>
  <c r="D92" i="1" a="1"/>
  <c r="D92" i="1" s="1"/>
  <c r="J121" i="1" a="1"/>
  <c r="J121" i="1" s="1"/>
  <c r="J80" i="1" a="1"/>
  <c r="J80" i="1" s="1"/>
  <c r="J81" i="1" a="1"/>
  <c r="J81" i="1" s="1"/>
  <c r="G114" i="1" a="1"/>
  <c r="G114" i="1" s="1"/>
  <c r="H75" i="1" a="1"/>
  <c r="H75" i="1" s="1"/>
  <c r="F87" i="1" a="1"/>
  <c r="F87" i="1" s="1"/>
  <c r="J88" i="1" a="1"/>
  <c r="J88" i="1" s="1"/>
  <c r="E89" i="1" a="1"/>
  <c r="E89" i="1" s="1"/>
  <c r="I93" i="1" a="1"/>
  <c r="I93" i="1" s="1"/>
  <c r="K101" i="1" a="1"/>
  <c r="K101" i="1" s="1"/>
  <c r="J79" i="1" a="1"/>
  <c r="J79" i="1" s="1"/>
  <c r="J83" i="1" a="1"/>
  <c r="J83" i="1" s="1"/>
  <c r="F81" i="1" a="1"/>
  <c r="F81" i="1" s="1"/>
  <c r="K99" i="1" a="1"/>
  <c r="K99" i="1" s="1"/>
  <c r="D90" i="1" a="1"/>
  <c r="D90" i="1" s="1"/>
  <c r="J363" i="2"/>
  <c r="J364" i="2"/>
  <c r="B53" i="1"/>
  <c r="B255" i="5"/>
  <c r="B161" i="2"/>
  <c r="F595" i="5" a="1"/>
  <c r="I596" i="5" a="1"/>
  <c r="E596" i="5" a="1"/>
  <c r="I595" i="5" a="1"/>
  <c r="H595" i="5" a="1"/>
  <c r="F596" i="5" a="1"/>
  <c r="E595" i="5" a="1"/>
  <c r="D596" i="5" a="1"/>
  <c r="G596" i="5" a="1"/>
  <c r="C595" i="5" a="1"/>
  <c r="D595" i="5" a="1"/>
  <c r="G595" i="5" a="1"/>
  <c r="C596" i="5" a="1"/>
  <c r="H596" i="5" a="1"/>
  <c r="I596" i="5" l="1"/>
  <c r="G595" i="5"/>
  <c r="D596" i="5"/>
  <c r="E595" i="5"/>
  <c r="C596" i="5"/>
  <c r="G596" i="5"/>
  <c r="I595" i="5"/>
  <c r="E596" i="5"/>
  <c r="F595" i="5"/>
  <c r="D595" i="5"/>
  <c r="H596" i="5"/>
  <c r="C595" i="5"/>
  <c r="F596" i="5"/>
  <c r="H595" i="5"/>
  <c r="B54" i="1"/>
  <c r="B260" i="5"/>
  <c r="B164" i="2"/>
  <c r="B55" i="1" l="1"/>
  <c r="B265" i="5"/>
  <c r="B167" i="2"/>
  <c r="B56" i="1" l="1"/>
  <c r="B270" i="5"/>
  <c r="B170" i="2"/>
  <c r="B57" i="1" l="1"/>
  <c r="B275" i="5"/>
  <c r="B173" i="2"/>
  <c r="B58" i="1" l="1"/>
  <c r="B280" i="5"/>
  <c r="B176" i="2"/>
  <c r="B59" i="1" l="1"/>
  <c r="B285" i="5"/>
  <c r="B179" i="2"/>
  <c r="B60" i="1" l="1"/>
  <c r="B290" i="5"/>
  <c r="B182" i="2"/>
  <c r="B61" i="1" l="1"/>
  <c r="B295" i="5"/>
  <c r="B185" i="2"/>
  <c r="B62" i="1" l="1"/>
  <c r="B300" i="5"/>
  <c r="B188" i="2"/>
  <c r="B63" i="1" l="1"/>
  <c r="B305" i="5"/>
  <c r="B191" i="2"/>
  <c r="B64" i="1" l="1"/>
  <c r="B310" i="5"/>
  <c r="B194" i="2"/>
  <c r="B65" i="1" l="1"/>
  <c r="B315" i="5"/>
  <c r="B197" i="2"/>
  <c r="B66" i="1" l="1"/>
  <c r="B320" i="5"/>
  <c r="B200" i="2"/>
  <c r="B67" i="1" l="1"/>
  <c r="B325" i="5"/>
  <c r="B203" i="2"/>
  <c r="B68" i="1" l="1"/>
  <c r="B330" i="5"/>
  <c r="B206" i="2"/>
  <c r="B69" i="1" l="1"/>
  <c r="B209" i="2"/>
  <c r="B335" i="5"/>
  <c r="B70" i="1" l="1"/>
  <c r="B212" i="2"/>
  <c r="B215" i="2" s="1"/>
  <c r="B340" i="5"/>
  <c r="B218" i="2" l="1"/>
  <c r="B355" i="5" s="1"/>
  <c r="B72" i="1"/>
  <c r="B350" i="5"/>
  <c r="B71" i="1"/>
  <c r="B345" i="5"/>
  <c r="B221" i="2" l="1"/>
  <c r="B360" i="5" s="1"/>
  <c r="B224" i="2" l="1"/>
  <c r="B365" i="5" s="1"/>
  <c r="B227" i="2" l="1"/>
  <c r="B370" i="5" s="1"/>
  <c r="B230" i="2" l="1"/>
  <c r="B375" i="5" s="1"/>
  <c r="B233" i="2" l="1"/>
  <c r="B380" i="5"/>
  <c r="B236" i="2" l="1"/>
  <c r="B385" i="5"/>
  <c r="B239" i="2" l="1"/>
  <c r="B390" i="5" s="1"/>
  <c r="B242" i="2" l="1"/>
  <c r="B395" i="5" s="1"/>
  <c r="B245" i="2" l="1"/>
  <c r="B400" i="5"/>
  <c r="B248" i="2" l="1"/>
  <c r="B405" i="5" s="1"/>
  <c r="B251" i="2" l="1"/>
  <c r="B410" i="5"/>
  <c r="B254" i="2" l="1"/>
  <c r="B415" i="5" s="1"/>
  <c r="B257" i="2" l="1"/>
  <c r="B420" i="5" s="1"/>
  <c r="B260" i="2" l="1"/>
  <c r="B425" i="5"/>
  <c r="B263" i="2" l="1"/>
  <c r="B430" i="5" s="1"/>
  <c r="B266" i="2" l="1"/>
  <c r="B435" i="5" s="1"/>
  <c r="B269" i="2" l="1"/>
  <c r="B440" i="5" s="1"/>
  <c r="B272" i="2" l="1"/>
  <c r="B445" i="5"/>
  <c r="B275" i="2" l="1"/>
  <c r="B450" i="5" s="1"/>
  <c r="B278" i="2" l="1"/>
  <c r="B455" i="5"/>
  <c r="B281" i="2" l="1"/>
  <c r="B460" i="5" s="1"/>
  <c r="B284" i="2" l="1"/>
  <c r="B465" i="5" s="1"/>
  <c r="B287" i="2" l="1"/>
  <c r="B470" i="5" s="1"/>
  <c r="B290" i="2" l="1"/>
  <c r="B475" i="5" s="1"/>
  <c r="B293" i="2" l="1"/>
  <c r="B480" i="5"/>
  <c r="B296" i="2" l="1"/>
  <c r="B485" i="5" s="1"/>
  <c r="B299" i="2" l="1"/>
  <c r="B490" i="5" s="1"/>
  <c r="B302" i="2" l="1"/>
  <c r="B495" i="5" s="1"/>
  <c r="B305" i="2" l="1"/>
  <c r="B308" i="2" s="1"/>
  <c r="B500" i="5" l="1"/>
  <c r="B311" i="2"/>
  <c r="B505" i="5"/>
  <c r="B314" i="2" l="1"/>
  <c r="B510" i="5"/>
  <c r="B317" i="2" l="1"/>
  <c r="B515" i="5"/>
  <c r="B320" i="2" l="1"/>
  <c r="B520" i="5"/>
  <c r="B323" i="2" l="1"/>
  <c r="B525" i="5"/>
  <c r="B326" i="2" l="1"/>
  <c r="B530" i="5"/>
  <c r="B329" i="2" l="1"/>
  <c r="B535" i="5"/>
  <c r="B332" i="2" l="1"/>
  <c r="B540" i="5"/>
  <c r="B335" i="2" l="1"/>
  <c r="B545" i="5"/>
  <c r="B338" i="2" l="1"/>
  <c r="B550" i="5"/>
  <c r="B341" i="2" l="1"/>
  <c r="B555" i="5"/>
  <c r="B344" i="2" l="1"/>
  <c r="B560" i="5"/>
  <c r="B347" i="2" l="1"/>
  <c r="B565" i="5"/>
  <c r="B350" i="2" l="1"/>
  <c r="B570" i="5"/>
  <c r="B353" i="2" l="1"/>
  <c r="B575" i="5"/>
  <c r="B356" i="2" l="1"/>
  <c r="B580" i="5"/>
  <c r="B359" i="2" l="1"/>
  <c r="B585" i="5"/>
  <c r="B362" i="2" l="1"/>
  <c r="B590" i="5"/>
  <c r="B595" i="5" l="1"/>
  <c r="B87" i="1"/>
  <c r="B114" i="1"/>
  <c r="B106" i="1"/>
  <c r="B112" i="1"/>
  <c r="B113" i="1"/>
  <c r="B94" i="1"/>
  <c r="B99" i="1"/>
  <c r="B110" i="1"/>
  <c r="B88" i="1"/>
  <c r="B600" i="5"/>
  <c r="B104" i="1"/>
  <c r="B77" i="1"/>
  <c r="B101" i="1"/>
  <c r="B116" i="1"/>
  <c r="B107" i="1"/>
  <c r="B95" i="1"/>
  <c r="B85" i="1"/>
  <c r="B118" i="1"/>
  <c r="B115" i="1"/>
  <c r="B102" i="1"/>
  <c r="B82" i="1"/>
  <c r="B120" i="1"/>
  <c r="B93" i="1"/>
  <c r="B111" i="1"/>
  <c r="B96" i="1"/>
  <c r="B121" i="1"/>
  <c r="B74" i="1"/>
  <c r="B117" i="1"/>
  <c r="B97" i="1"/>
  <c r="B86" i="1"/>
  <c r="B109" i="1"/>
  <c r="B100" i="1"/>
  <c r="B75" i="1"/>
  <c r="B119" i="1"/>
  <c r="B122" i="1"/>
  <c r="B103" i="1"/>
  <c r="B92" i="1"/>
  <c r="B89" i="1"/>
  <c r="B108" i="1"/>
  <c r="B76" i="1"/>
  <c r="B80" i="1"/>
  <c r="B98" i="1"/>
  <c r="B81" i="1"/>
  <c r="B79" i="1"/>
  <c r="B91" i="1"/>
  <c r="B90" i="1"/>
  <c r="B84" i="1"/>
  <c r="B78" i="1"/>
  <c r="B83" i="1"/>
  <c r="B73" i="1"/>
  <c r="B10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<sst xmlns="http://schemas.openxmlformats.org/spreadsheetml/2006/main" count="423" uniqueCount="44">
  <si>
    <t>2026v1</t>
  </si>
  <si>
    <t>Original Formula based workbook</t>
  </si>
  <si>
    <t>2026v2</t>
  </si>
  <si>
    <t>Added conditional formatted for scr, scratch, SCRATCH, SCRATCHED added to Heat Sheet</t>
  </si>
  <si>
    <t>2026v3</t>
  </si>
  <si>
    <t>Increased Events from 70 to 120</t>
  </si>
  <si>
    <t>Number of Events</t>
  </si>
  <si>
    <t>Centers (minutes)</t>
  </si>
  <si>
    <t>First Event Time</t>
  </si>
  <si>
    <t>Break After Event</t>
  </si>
  <si>
    <t>Break Length (minutes)</t>
  </si>
  <si>
    <t>Regatta Name</t>
  </si>
  <si>
    <t>Regatta Date</t>
  </si>
  <si>
    <t>#</t>
  </si>
  <si>
    <t>Time</t>
  </si>
  <si>
    <t>Race</t>
  </si>
  <si>
    <t>Lane 1</t>
  </si>
  <si>
    <t>Lane 2</t>
  </si>
  <si>
    <t>Lane 3</t>
  </si>
  <si>
    <t>Lane 4</t>
  </si>
  <si>
    <t xml:space="preserve">Lane 5 </t>
  </si>
  <si>
    <t>Lane 6</t>
  </si>
  <si>
    <t>Place</t>
  </si>
  <si>
    <t>Split</t>
  </si>
  <si>
    <t>F</t>
  </si>
  <si>
    <t>Charlie Brown Classic</t>
  </si>
  <si>
    <t>M-1x</t>
  </si>
  <si>
    <t>M-JR-1x</t>
  </si>
  <si>
    <t>Pig Pen</t>
  </si>
  <si>
    <t>Woodstock</t>
  </si>
  <si>
    <t>Snoopy</t>
  </si>
  <si>
    <t>Linus</t>
  </si>
  <si>
    <t>McAllen</t>
  </si>
  <si>
    <t>Brid</t>
  </si>
  <si>
    <t>Dog</t>
  </si>
  <si>
    <t>Smith</t>
  </si>
  <si>
    <t>M-Jr-4+</t>
  </si>
  <si>
    <t>Heat 1</t>
  </si>
  <si>
    <t>3 to Advance</t>
  </si>
  <si>
    <t>Oscar</t>
  </si>
  <si>
    <t>Michael</t>
  </si>
  <si>
    <t>George</t>
  </si>
  <si>
    <t>Tobias</t>
  </si>
  <si>
    <t>GOB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</si>
</sst>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mm:ss.0;@"/>
  </numFmts>
  <fonts count="36" x14ac:knownFonts="1"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name val="Arial"/>
      <family val="2"/>
    </font>
    <font>
      <sz val="14"/>
      <name val="Aptos Narrow"/>
      <family val="2"/>
      <scheme val="minor"/>
    </font>
    <font>
      <sz val="10"/>
      <name val="Aptos Narrow"/>
      <family val="2"/>
      <scheme val="minor"/>
    </font>
    <font>
      <sz val="12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ptos Narrow"/>
      <family val="2"/>
    </font>
    <font>
      <sz val="10"/>
      <color theme="1"/>
      <name val="Aptos Narrow"/>
      <family val="2"/>
    </font>
    <font>
      <sz val="10"/>
      <name val="Aptos Narrow"/>
      <scheme val="minor"/>
    </font>
    <font>
      <sz val="12"/>
      <color theme="1"/>
      <name val="Aptos Narrow"/>
      <scheme val="minor"/>
    </font>
    <font>
      <sz val="10"/>
      <color theme="1"/>
      <name val="Aptos Narrow"/>
      <scheme val="minor"/>
    </font>
    <font>
      <b/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u/>
      <sz val="9"/>
      <color rgb="FF0000FF"/>
      <name val="Arial"/>
      <family val="2"/>
    </font>
    <font>
      <b/>
      <sz val="10"/>
      <color theme="1"/>
      <name val="Arial"/>
      <family val="2"/>
    </font>
    <font>
      <sz val="14"/>
      <color theme="0"/>
      <name val="Aptos Narrow"/>
      <family val="2"/>
      <scheme val="minor"/>
    </font>
    <font>
      <sz val="11"/>
      <color theme="1"/>
      <name val="Aptos Narrow"/>
    </font>
    <font>
      <sz val="11"/>
      <color rgb="FF000000"/>
      <name val="Aptos Narrow"/>
    </font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color rgb="FF000000"/>
      <name val="Aptos Narrow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u/>
      <sz val="9"/>
      <color rgb="FF0000FF"/>
      <name val="Arial"/>
      <family val="2"/>
    </font>
    <font>
      <b/>
      <sz val="10"/>
      <color theme="1"/>
      <name val="Arial"/>
      <family val="2"/>
    </font>
    <font>
      <sz val="11"/>
      <color theme="0"/>
      <name val="Aptos Narrow"/>
      <family val="2"/>
      <scheme val="minor"/>
    </font>
    <font>
      <sz val="12"/>
      <color rgb="FF000000"/>
      <name val="Aptos Narrow"/>
      <family val="2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rgb="FFFFFFFF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medium">
        <color rgb="FF000000"/>
      </left>
      <right style="thin">
        <color indexed="64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rgb="FF000000"/>
      </left>
      <right style="thin">
        <color indexed="64"/>
      </right>
      <top/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/>
      <right style="medium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0000"/>
      </bottom>
      <diagonal/>
    </border>
    <border>
      <left style="thin">
        <color indexed="64"/>
      </left>
      <right/>
      <top/>
      <bottom style="double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double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double">
        <color rgb="FF000000"/>
      </bottom>
      <diagonal/>
    </border>
  </borders>
  <cellStyleXfs count="1">
    <xf numFmtId="0" fontId="0" fillId="0" borderId="0"/>
  </cellStyleXfs>
  <cellXfs count="221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7" fillId="0" borderId="8" xfId="0" applyFont="1" applyBorder="1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3" borderId="13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13" fillId="4" borderId="36" xfId="0" applyFont="1" applyFill="1" applyBorder="1" applyAlignment="1">
      <alignment horizontal="right"/>
    </xf>
    <xf numFmtId="0" fontId="14" fillId="0" borderId="37" xfId="0" applyFont="1" applyBorder="1" applyAlignment="1">
      <alignment horizontal="center"/>
    </xf>
    <xf numFmtId="20" fontId="14" fillId="0" borderId="37" xfId="0" applyNumberFormat="1" applyFont="1" applyBorder="1" applyAlignment="1">
      <alignment horizontal="center"/>
    </xf>
    <xf numFmtId="0" fontId="15" fillId="3" borderId="7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14" fontId="14" fillId="0" borderId="37" xfId="0" applyNumberFormat="1" applyFont="1" applyBorder="1" applyAlignment="1">
      <alignment horizontal="center"/>
    </xf>
    <xf numFmtId="0" fontId="21" fillId="4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23" fillId="0" borderId="38" xfId="0" applyFont="1" applyBorder="1" applyAlignment="1">
      <alignment horizontal="center"/>
    </xf>
    <xf numFmtId="0" fontId="22" fillId="0" borderId="9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/>
    </xf>
    <xf numFmtId="1" fontId="14" fillId="0" borderId="37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20" fontId="0" fillId="0" borderId="2" xfId="0" applyNumberFormat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0" xfId="0" applyBorder="1" applyAlignment="1">
      <alignment horizontal="center" vertical="center"/>
    </xf>
    <xf numFmtId="20" fontId="0" fillId="0" borderId="50" xfId="0" applyNumberFormat="1" applyBorder="1" applyAlignment="1">
      <alignment horizontal="center" vertical="center"/>
    </xf>
    <xf numFmtId="0" fontId="24" fillId="0" borderId="27" xfId="0" applyFont="1" applyBorder="1" applyAlignment="1">
      <alignment horizontal="center" vertical="top" wrapText="1"/>
    </xf>
    <xf numFmtId="0" fontId="3" fillId="2" borderId="17" xfId="0" applyFont="1" applyFill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6" fillId="3" borderId="7" xfId="0" applyFont="1" applyFill="1" applyBorder="1" applyAlignment="1">
      <alignment horizontal="center" vertical="center"/>
    </xf>
    <xf numFmtId="0" fontId="27" fillId="3" borderId="7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 wrapText="1"/>
    </xf>
    <xf numFmtId="0" fontId="27" fillId="3" borderId="1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center" vertical="center" wrapText="1"/>
    </xf>
    <xf numFmtId="0" fontId="27" fillId="3" borderId="2" xfId="0" applyFont="1" applyFill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165" fontId="23" fillId="0" borderId="42" xfId="0" applyNumberFormat="1" applyFont="1" applyBorder="1" applyAlignment="1">
      <alignment horizontal="center"/>
    </xf>
    <xf numFmtId="165" fontId="22" fillId="0" borderId="12" xfId="0" applyNumberFormat="1" applyFont="1" applyBorder="1" applyAlignment="1">
      <alignment horizontal="center" vertical="center"/>
    </xf>
    <xf numFmtId="165" fontId="23" fillId="0" borderId="43" xfId="0" applyNumberFormat="1" applyFont="1" applyBorder="1" applyAlignment="1">
      <alignment horizontal="center"/>
    </xf>
    <xf numFmtId="165" fontId="22" fillId="0" borderId="11" xfId="0" applyNumberFormat="1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3" fillId="0" borderId="0" xfId="0" applyFont="1"/>
    <xf numFmtId="0" fontId="9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165" fontId="23" fillId="0" borderId="0" xfId="0" applyNumberFormat="1" applyFont="1" applyAlignment="1">
      <alignment horizontal="center"/>
    </xf>
    <xf numFmtId="165" fontId="22" fillId="0" borderId="0" xfId="0" applyNumberFormat="1" applyFont="1" applyAlignment="1">
      <alignment horizontal="center" vertical="center"/>
    </xf>
    <xf numFmtId="0" fontId="0" fillId="0" borderId="57" xfId="0" applyBorder="1" applyAlignment="1">
      <alignment horizontal="center" vertical="center" wrapText="1"/>
    </xf>
    <xf numFmtId="165" fontId="23" fillId="0" borderId="58" xfId="0" applyNumberFormat="1" applyFont="1" applyBorder="1" applyAlignment="1">
      <alignment horizontal="center"/>
    </xf>
    <xf numFmtId="165" fontId="22" fillId="0" borderId="59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0" fontId="0" fillId="0" borderId="52" xfId="0" applyNumberFormat="1" applyBorder="1" applyAlignment="1">
      <alignment horizontal="center" vertical="center"/>
    </xf>
    <xf numFmtId="20" fontId="0" fillId="0" borderId="53" xfId="0" applyNumberFormat="1" applyBorder="1" applyAlignment="1">
      <alignment horizontal="center" vertical="center"/>
    </xf>
    <xf numFmtId="20" fontId="0" fillId="0" borderId="56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0" fontId="0" fillId="0" borderId="2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20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9" xfId="0" applyNumberFormat="1" applyBorder="1" applyAlignment="1">
      <alignment horizontal="center" vertical="center"/>
    </xf>
    <xf numFmtId="20" fontId="0" fillId="0" borderId="29" xfId="0" applyNumberForma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164" fontId="16" fillId="0" borderId="0" xfId="0" applyNumberFormat="1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8" fillId="5" borderId="38" xfId="0" applyFont="1" applyFill="1" applyBorder="1"/>
    <xf numFmtId="0" fontId="29" fillId="0" borderId="39" xfId="0" applyFont="1" applyBorder="1"/>
    <xf numFmtId="0" fontId="29" fillId="0" borderId="40" xfId="0" applyFont="1" applyBorder="1"/>
    <xf numFmtId="0" fontId="30" fillId="5" borderId="41" xfId="0" applyFont="1" applyFill="1" applyBorder="1" applyAlignment="1">
      <alignment wrapText="1"/>
    </xf>
    <xf numFmtId="0" fontId="29" fillId="0" borderId="41" xfId="0" applyFont="1" applyBorder="1"/>
    <xf numFmtId="0" fontId="31" fillId="5" borderId="41" xfId="0" applyFont="1" applyFill="1" applyBorder="1" applyAlignment="1">
      <alignment horizontal="left"/>
    </xf>
    <xf numFmtId="0" fontId="29" fillId="0" borderId="41" xfId="0" applyFont="1" applyBorder="1" applyAlignment="1">
      <alignment horizontal="left"/>
    </xf>
    <xf numFmtId="0" fontId="32" fillId="5" borderId="41" xfId="0" applyFont="1" applyFill="1" applyBorder="1" applyAlignment="1">
      <alignment horizontal="right" wrapText="1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0" borderId="22" xfId="0" applyBorder="1" applyAlignment="1">
      <alignment horizontal="center" vertical="center"/>
    </xf>
    <xf numFmtId="20" fontId="0" fillId="0" borderId="23" xfId="0" applyNumberForma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20" fontId="0" fillId="0" borderId="61" xfId="0" applyNumberFormat="1" applyBorder="1" applyAlignment="1">
      <alignment horizontal="center" vertical="center"/>
    </xf>
    <xf numFmtId="20" fontId="0" fillId="0" borderId="48" xfId="0" applyNumberFormat="1" applyBorder="1" applyAlignment="1">
      <alignment horizontal="center" vertical="center"/>
    </xf>
    <xf numFmtId="20" fontId="0" fillId="0" borderId="5" xfId="0" applyNumberFormat="1" applyBorder="1" applyAlignment="1">
      <alignment horizontal="center" vertical="center"/>
    </xf>
    <xf numFmtId="20" fontId="0" fillId="0" borderId="21" xfId="0" applyNumberFormat="1" applyBorder="1" applyAlignment="1">
      <alignment horizontal="center" vertical="center"/>
    </xf>
    <xf numFmtId="0" fontId="17" fillId="5" borderId="38" xfId="0" applyFont="1" applyFill="1" applyBorder="1"/>
    <xf numFmtId="0" fontId="2" fillId="0" borderId="39" xfId="0" applyFont="1" applyBorder="1"/>
    <xf numFmtId="0" fontId="2" fillId="0" borderId="40" xfId="0" applyFont="1" applyBorder="1"/>
    <xf numFmtId="0" fontId="18" fillId="5" borderId="41" xfId="0" applyFont="1" applyFill="1" applyBorder="1" applyAlignment="1">
      <alignment wrapText="1"/>
    </xf>
    <xf numFmtId="0" fontId="2" fillId="0" borderId="41" xfId="0" applyFont="1" applyBorder="1"/>
    <xf numFmtId="0" fontId="19" fillId="5" borderId="41" xfId="0" applyFont="1" applyFill="1" applyBorder="1" applyAlignment="1">
      <alignment horizontal="left"/>
    </xf>
    <xf numFmtId="0" fontId="2" fillId="0" borderId="41" xfId="0" applyFont="1" applyBorder="1" applyAlignment="1">
      <alignment horizontal="left"/>
    </xf>
    <xf numFmtId="0" fontId="20" fillId="5" borderId="41" xfId="0" applyFont="1" applyFill="1" applyBorder="1" applyAlignment="1">
      <alignment horizontal="right" wrapText="1"/>
    </xf>
    <xf numFmtId="0" fontId="0" fillId="0" borderId="2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5" fillId="0" borderId="55" xfId="0" applyFont="1" applyBorder="1" applyAlignment="1">
      <alignment horizontal="center"/>
    </xf>
  </cellXfs>
  <cellStyles count="1">
    <cellStyle name="Normal" xfId="0" builtinId="0"/>
  </cellStyles>
  <dxfs count="10">
    <dxf>
      <font>
        <strike/>
        <color theme="1"/>
      </font>
      <fill>
        <patternFill patternType="solid">
          <bgColor theme="0"/>
        </patternFill>
      </fill>
    </dxf>
    <dxf>
      <font>
        <strike/>
        <color theme="1"/>
      </font>
      <fill>
        <patternFill patternType="solid">
          <bgColor theme="0"/>
        </patternFill>
      </fill>
    </dxf>
    <dxf>
      <font>
        <strike/>
        <color theme="1"/>
      </font>
      <fill>
        <patternFill patternType="solid">
          <bgColor theme="0"/>
        </patternFill>
      </fill>
    </dxf>
    <dxf>
      <font>
        <strike/>
        <color theme="1"/>
      </font>
      <fill>
        <patternFill patternType="solid">
          <bgColor theme="0"/>
        </patternFill>
      </fill>
    </dxf>
    <dxf>
      <font>
        <strike/>
        <color theme="1"/>
      </font>
      <fill>
        <patternFill patternType="solid">
          <bgColor theme="0"/>
        </patternFill>
      </fill>
    </dxf>
    <dxf>
      <font>
        <strike/>
        <color theme="1"/>
      </font>
      <fill>
        <patternFill patternType="solid">
          <bgColor theme="0"/>
        </patternFill>
      </fill>
    </dxf>
    <dxf>
      <font>
        <strike/>
        <color theme="1"/>
      </font>
      <fill>
        <patternFill patternType="solid">
          <bgColor theme="0"/>
        </patternFill>
      </fill>
    </dxf>
    <dxf>
      <font>
        <strike/>
        <color theme="1"/>
      </font>
      <fill>
        <patternFill patternType="solid">
          <bgColor theme="0"/>
        </patternFill>
      </fill>
    </dxf>
    <dxf>
      <font>
        <b/>
        <i val="0"/>
        <color theme="0"/>
      </font>
      <fill>
        <patternFill patternType="solid"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color theme="0"/>
      </font>
      <fill>
        <patternFill patternType="solid"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2120900</xdr:colOff>
          <xdr:row>15</xdr:row>
          <xdr:rowOff>0</xdr:rowOff>
        </xdr:from>
        <xdr:to>
          <xdr:col>1</xdr:col>
          <xdr:colOff>1524000</xdr:colOff>
          <xdr:row>17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Export  Ref HeatSheet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2120900</xdr:colOff>
          <xdr:row>17</xdr:row>
          <xdr:rowOff>190500</xdr:rowOff>
        </xdr:from>
        <xdr:to>
          <xdr:col>1</xdr:col>
          <xdr:colOff>1511300</xdr:colOff>
          <xdr:row>19</xdr:row>
          <xdr:rowOff>165100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Export 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38100</xdr:rowOff>
        </xdr:from>
        <xdr:to>
          <xdr:col>1</xdr:col>
          <xdr:colOff>1524000</xdr:colOff>
          <xdr:row>11</xdr:row>
          <xdr:rowOff>12700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Export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2082800</xdr:colOff>
          <xdr:row>12</xdr:row>
          <xdr:rowOff>12700</xdr:rowOff>
        </xdr:from>
        <xdr:to>
          <xdr:col>1</xdr:col>
          <xdr:colOff>1511300</xdr:colOff>
          <xdr:row>14</xdr:row>
          <xdr:rowOff>38100</xdr:rowOff>
        </xdr:to>
        <xdr:sp macro="" textlink="">
          <xdr:nvSpPr>
            <xdr:cNvPr id="2053" name="Button 5" descr="Generate HeatShee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 HeatSheet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AAE1-8F04-433C-A7FC-96CEB549FF2A}">
  <sheetPr codeName="Sheet5"/>
  <dimension ref="A1:B3"/>
  <sheetViews>
    <sheetView workbookViewId="0">
      <selection activeCell="B10" sqref="B10"/>
    </sheetView>
  </sheetViews>
  <sheetFormatPr baseColWidth="10" defaultColWidth="8.83203125" defaultRowHeight="16" x14ac:dyDescent="0.2"/>
  <cols>
    <col min="2" max="2" width="41.33203125" customWidth="1"/>
  </cols>
  <sheetData>
    <row r="1" spans="1:2" ht="17" x14ac:dyDescent="0.2">
      <c r="A1" t="s">
        <v>0</v>
      </c>
      <c r="B1" s="136" t="s">
        <v>1</v>
      </c>
    </row>
    <row r="2" spans="1:2" ht="34" x14ac:dyDescent="0.2">
      <c r="A2" t="s">
        <v>2</v>
      </c>
      <c r="B2" s="136" t="s">
        <v>3</v>
      </c>
    </row>
    <row r="3" spans="1:2" x14ac:dyDescent="0.2">
      <c r="A3" t="s">
        <v>4</v>
      </c>
      <c r="B3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7C9E1-05EF-4D88-B606-2DC49F35D645}">
  <sheetPr codeName="Sheet2"/>
  <dimension ref="A1:B7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28" customWidth="1"/>
    <col min="2" max="2" width="26.5" customWidth="1"/>
  </cols>
  <sheetData>
    <row r="1" spans="1:2" ht="22" x14ac:dyDescent="0.3">
      <c r="A1" s="114" t="s">
        <v>6</v>
      </c>
      <c r="B1" s="115">
        <v>50</v>
      </c>
    </row>
    <row r="2" spans="1:2" ht="22" x14ac:dyDescent="0.3">
      <c r="A2" s="114" t="s">
        <v>7</v>
      </c>
      <c r="B2" s="115">
        <v>5</v>
      </c>
    </row>
    <row r="3" spans="1:2" ht="22" x14ac:dyDescent="0.3">
      <c r="A3" s="114" t="s">
        <v>8</v>
      </c>
      <c r="B3" s="116">
        <v>0.375</v>
      </c>
    </row>
    <row r="4" spans="1:2" ht="22" x14ac:dyDescent="0.3">
      <c r="A4" s="114" t="s">
        <v>9</v>
      </c>
      <c r="B4" s="127">
        <v>40</v>
      </c>
    </row>
    <row r="5" spans="1:2" ht="22" x14ac:dyDescent="0.3">
      <c r="A5" s="114" t="s">
        <v>10</v>
      </c>
      <c r="B5" s="115">
        <v>67</v>
      </c>
    </row>
    <row r="6" spans="1:2" ht="22" x14ac:dyDescent="0.3">
      <c r="A6" s="114" t="s">
        <v>11</v>
      </c>
      <c r="B6" s="115" t="s">
        <v>25</v>
      </c>
    </row>
    <row r="7" spans="1:2" ht="22" x14ac:dyDescent="0.3">
      <c r="A7" s="114" t="s">
        <v>12</v>
      </c>
      <c r="B7" s="120">
        <v>46508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RefereeHeatSheet">
                <anchor moveWithCells="1" sizeWithCells="1">
                  <from>
                    <xdr:col>0</xdr:col>
                    <xdr:colOff>2120900</xdr:colOff>
                    <xdr:row>15</xdr:row>
                    <xdr:rowOff>0</xdr:rowOff>
                  </from>
                  <to>
                    <xdr:col>1</xdr:col>
                    <xdr:colOff>1524000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portResultsSheet">
                <anchor moveWithCells="1" sizeWithCells="1">
                  <from>
                    <xdr:col>0</xdr:col>
                    <xdr:colOff>2120900</xdr:colOff>
                    <xdr:row>17</xdr:row>
                    <xdr:rowOff>190500</xdr:rowOff>
                  </from>
                  <to>
                    <xdr:col>1</xdr:col>
                    <xdr:colOff>1511300</xdr:colOff>
                    <xdr:row>19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xportAllSheets">
                <anchor moveWithCells="1" sizeWithCells="1">
                  <from>
                    <xdr:col>1</xdr:col>
                    <xdr:colOff>0</xdr:colOff>
                    <xdr:row>9</xdr:row>
                    <xdr:rowOff>38100</xdr:rowOff>
                  </from>
                  <to>
                    <xdr:col>1</xdr:col>
                    <xdr:colOff>1524000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ExportHeatSheet" altText="Generate HeatSheet">
                <anchor moveWithCells="1" sizeWithCells="1">
                  <from>
                    <xdr:col>0</xdr:col>
                    <xdr:colOff>2082800</xdr:colOff>
                    <xdr:row>12</xdr:row>
                    <xdr:rowOff>12700</xdr:rowOff>
                  </from>
                  <to>
                    <xdr:col>1</xdr:col>
                    <xdr:colOff>1511300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9C05-A873-4F8B-B2F1-C08FD2621D3E}">
  <sheetPr codeName="Sheet3"/>
  <dimension ref="A1:J1946"/>
  <sheetViews>
    <sheetView tabSelected="1" zoomScale="168" zoomScaleNormal="100" zoomScaleSheetLayoutView="111" workbookViewId="0">
      <pane ySplit="4" topLeftCell="A5" activePane="bottomLeft" state="frozen"/>
      <selection pane="bottomLeft" activeCell="H3" sqref="D3:I3"/>
    </sheetView>
  </sheetViews>
  <sheetFormatPr baseColWidth="10" defaultColWidth="11" defaultRowHeight="16" x14ac:dyDescent="0.2"/>
  <cols>
    <col min="1" max="1" width="3.83203125" style="4" customWidth="1"/>
    <col min="2" max="2" width="9.1640625" style="5" customWidth="1"/>
    <col min="3" max="3" width="13.83203125" style="1" customWidth="1"/>
    <col min="4" max="4" width="16.6640625" style="1" customWidth="1"/>
    <col min="5" max="5" width="16.5" style="1" customWidth="1"/>
    <col min="6" max="7" width="16.6640625" style="1" customWidth="1"/>
    <col min="8" max="8" width="16.5" style="1" customWidth="1"/>
    <col min="9" max="9" width="16.6640625" style="112" customWidth="1"/>
    <col min="10" max="10" width="11" style="163"/>
  </cols>
  <sheetData>
    <row r="1" spans="1:10" s="110" customFormat="1" ht="24" x14ac:dyDescent="0.2">
      <c r="A1" s="187" t="str">
        <f>'Regatta Attributes'!B6 &amp; " Heat Sheet"</f>
        <v>Charlie Brown Classic Heat Sheet</v>
      </c>
      <c r="B1" s="187"/>
      <c r="C1" s="187"/>
      <c r="D1" s="187"/>
      <c r="E1" s="187"/>
      <c r="F1" s="187"/>
      <c r="G1" s="187"/>
      <c r="H1" s="187"/>
      <c r="I1" s="187"/>
      <c r="J1" s="162"/>
    </row>
    <row r="2" spans="1:10" ht="24" x14ac:dyDescent="0.2">
      <c r="A2" s="188">
        <f>'Regatta Attributes'!B7</f>
        <v>46508</v>
      </c>
      <c r="B2" s="188"/>
      <c r="C2" s="188"/>
      <c r="D2" s="188"/>
      <c r="E2" s="188"/>
      <c r="F2" s="188"/>
      <c r="G2" s="188"/>
      <c r="H2" s="188"/>
      <c r="I2" s="188"/>
    </row>
    <row r="3" spans="1:10" x14ac:dyDescent="0.2">
      <c r="A3" s="191"/>
      <c r="B3" s="192"/>
      <c r="C3" s="193"/>
      <c r="D3" s="194"/>
      <c r="E3" s="195"/>
      <c r="F3" s="196"/>
      <c r="G3" s="197"/>
      <c r="H3" s="198"/>
      <c r="I3" s="195"/>
    </row>
    <row r="4" spans="1:10" ht="16" customHeight="1" x14ac:dyDescent="0.2">
      <c r="A4" s="140" t="s">
        <v>13</v>
      </c>
      <c r="B4" s="141" t="s">
        <v>14</v>
      </c>
      <c r="C4" s="140" t="s">
        <v>15</v>
      </c>
      <c r="D4" s="142" t="s">
        <v>16</v>
      </c>
      <c r="E4" s="6" t="s">
        <v>17</v>
      </c>
      <c r="F4" s="6" t="s">
        <v>18</v>
      </c>
      <c r="G4" s="6" t="s">
        <v>19</v>
      </c>
      <c r="H4" s="6" t="s">
        <v>20</v>
      </c>
      <c r="I4" s="143" t="s">
        <v>21</v>
      </c>
    </row>
    <row r="5" spans="1:10" ht="16" customHeight="1" x14ac:dyDescent="0.2">
      <c r="A5" s="184">
        <v>1</v>
      </c>
      <c r="B5" s="182" t="str">
        <f>TEXT('Regatta Attributes'!B3, "hh:mm AM/PM")</f>
        <v>09:00 AM</v>
      </c>
      <c r="C5" s="18" t="s">
        <v>26</v>
      </c>
      <c r="D5" s="43"/>
      <c r="E5" s="43" t="s">
        <v>28</v>
      </c>
      <c r="F5" s="21" t="s">
        <v>29</v>
      </c>
      <c r="G5" s="44" t="s">
        <v>30</v>
      </c>
      <c r="H5" s="96" t="s">
        <v>31</v>
      </c>
      <c r="I5" s="98"/>
    </row>
    <row r="6" spans="1:10" ht="16" customHeight="1" x14ac:dyDescent="0.2">
      <c r="A6" s="184"/>
      <c r="B6" s="182"/>
      <c r="C6" s="10"/>
      <c r="D6" s="94"/>
      <c r="E6" s="94" t="s">
        <v>26</v>
      </c>
      <c r="F6" s="94" t="s">
        <v>26</v>
      </c>
      <c r="G6" s="94" t="s">
        <v>27</v>
      </c>
      <c r="H6" s="94" t="s">
        <v>27</v>
      </c>
      <c r="I6" s="164"/>
      <c r="J6" s="163" t="str">
        <f>IF(A5='Regatta Attributes'!$B$4, "Break", "")</f>
        <v/>
      </c>
    </row>
    <row r="7" spans="1:10" ht="16" customHeight="1" x14ac:dyDescent="0.2">
      <c r="A7" s="189"/>
      <c r="B7" s="183"/>
      <c r="C7" s="26"/>
      <c r="D7" s="65"/>
      <c r="E7" s="23" t="s">
        <v>32</v>
      </c>
      <c r="F7" s="22" t="s">
        <v>33</v>
      </c>
      <c r="G7" s="22" t="s">
        <v>34</v>
      </c>
      <c r="H7" s="97" t="s">
        <v>35</v>
      </c>
      <c r="I7" s="99"/>
      <c r="J7" s="163" t="str">
        <f>IF(A5='Regatta Attributes'!$B$4, "Break", "")</f>
        <v/>
      </c>
    </row>
    <row r="8" spans="1:10" ht="16" customHeight="1" x14ac:dyDescent="0.2">
      <c r="A8" s="190" cm="1">
        <f t="array" ref="A8">_xlfn.LET(_xlpm.EVENT, A5+1, IF(ISERROR(_xlpm.EVENT), "", IF(_xlpm.EVENT &lt;= 'Regatta Attributes'!$B$1, _xlpm.EVENT, "")))</f>
        <v>2</v>
      </c>
      <c r="B8" s="181" t="str">
        <f>TEXT(B5 + TIME(0, 'Regatta Attributes'!$B$2, 0), "hh:mm AM/PM")</f>
        <v>09:05 AM</v>
      </c>
      <c r="C8" s="19" t="s">
        <v>36</v>
      </c>
      <c r="D8" s="33" t="s">
        <v>39</v>
      </c>
      <c r="E8" s="44" t="s">
        <v>40</v>
      </c>
      <c r="F8" s="44" t="s">
        <v>41</v>
      </c>
      <c r="G8" s="44" t="s">
        <v>42</v>
      </c>
      <c r="H8" s="44" t="s">
        <v>43</v>
      </c>
      <c r="I8" s="98"/>
      <c r="J8" s="163" t="str">
        <f>IF(A5='Regatta Attributes'!$B$4, "Break", "")</f>
        <v/>
      </c>
    </row>
    <row r="9" spans="1:10" ht="16" customHeight="1" x14ac:dyDescent="0.2">
      <c r="A9" s="184"/>
      <c r="B9" s="182"/>
      <c r="C9" s="12" t="s">
        <v>37</v>
      </c>
      <c r="D9" s="54"/>
      <c r="E9" s="11"/>
      <c r="F9" s="11"/>
      <c r="G9" s="11"/>
      <c r="H9" s="11"/>
      <c r="I9" s="95"/>
      <c r="J9" s="163" t="str">
        <f>IF(AND(A8&lt;&gt;"", A8='Regatta Attributes'!$B$4), "Break", "")</f>
        <v/>
      </c>
    </row>
    <row r="10" spans="1:10" ht="16" customHeight="1" x14ac:dyDescent="0.2">
      <c r="A10" s="189"/>
      <c r="B10" s="183"/>
      <c r="C10" s="2" t="s">
        <v>38</v>
      </c>
      <c r="D10" s="67"/>
      <c r="E10" s="32"/>
      <c r="F10" s="32"/>
      <c r="G10" s="32"/>
      <c r="H10" s="32"/>
      <c r="I10" s="99"/>
      <c r="J10" s="163" t="str">
        <f>IF(AND(A8&lt;&gt;"", A8='Regatta Attributes'!$B$4), "Break", "")</f>
        <v/>
      </c>
    </row>
    <row r="11" spans="1:10" ht="16" customHeight="1" x14ac:dyDescent="0.2">
      <c r="A11" s="180" cm="1">
        <f t="array" ref="A11">_xlfn.LET(_xlpm.EVENT, A8+1, IF($J8="Break", 'Regatta Attributes'!$B$4+1, IF(ISERROR(_xlpm.EVENT), "", IF($J9="Break", "", IF(_xlpm.EVENT &lt;= 'Regatta Attributes'!$B$1, _xlpm.EVENT, "")))))</f>
        <v>3</v>
      </c>
      <c r="B11" s="181" t="str">
        <f>TEXT(IF(A11="", IF($J9="Break", "Break", ""), _xlfn.LET(_xlpm.CENTER, B8 + TIME(0, 'Regatta Attributes'!$B$2, 0), IF(ISERROR(_xlpm.CENTER), VLOOKUP('Regatta Attributes'!$B$4, $A:$B, 2, FALSE) + TIME(0, 'Regatta Attributes'!$B$5, 0), _xlpm.CENTER) )), "hh:mm AM/PM")</f>
        <v>09:10 AM</v>
      </c>
      <c r="C11" s="20"/>
      <c r="D11" s="49"/>
      <c r="E11" s="50"/>
      <c r="F11" s="44"/>
      <c r="G11" s="44"/>
      <c r="H11" s="44"/>
      <c r="I11" s="98"/>
      <c r="J11" s="163" t="str">
        <f>IF(AND(A8&lt;&gt;"", A8='Regatta Attributes'!$B$4), "Break", "")</f>
        <v/>
      </c>
    </row>
    <row r="12" spans="1:10" ht="16" customHeight="1" x14ac:dyDescent="0.2">
      <c r="A12" s="180"/>
      <c r="B12" s="182"/>
      <c r="C12" s="10"/>
      <c r="D12" s="51"/>
      <c r="E12" s="14"/>
      <c r="F12" s="46"/>
      <c r="G12" s="46"/>
      <c r="H12" s="46"/>
      <c r="I12" s="95"/>
      <c r="J12" s="163" t="str">
        <f>IF(AND(A11&lt;&gt;"", A11='Regatta Attributes'!$B$4), "Break", "")</f>
        <v/>
      </c>
    </row>
    <row r="13" spans="1:10" ht="16" customHeight="1" x14ac:dyDescent="0.2">
      <c r="A13" s="174"/>
      <c r="B13" s="183"/>
      <c r="C13" s="23"/>
      <c r="D13" s="23"/>
      <c r="E13" s="25"/>
      <c r="F13" s="22"/>
      <c r="G13" s="22"/>
      <c r="H13" s="22"/>
      <c r="I13" s="99"/>
      <c r="J13" s="163" t="str">
        <f>IF(AND(A11&lt;&gt;"", A11='Regatta Attributes'!$B$4), "Break", "")</f>
        <v/>
      </c>
    </row>
    <row r="14" spans="1:10" ht="16" customHeight="1" x14ac:dyDescent="0.2">
      <c r="A14" s="180" cm="1">
        <f t="array" ref="A14">_xlfn.LET(_xlpm.EVENT, A11+1, IF($J11="Break", 'Regatta Attributes'!$B$4+1, IF(ISERROR(_xlpm.EVENT), "", IF($J12="Break", "", IF(_xlpm.EVENT &lt;= 'Regatta Attributes'!$B$1, _xlpm.EVENT, "")))))</f>
        <v>4</v>
      </c>
      <c r="B14" s="181" t="str">
        <f>TEXT(IF(A14="", IF($J12="Break", "Break", ""), _xlfn.LET(_xlpm.CENTER, B11 + TIME(0, 'Regatta Attributes'!$B$2, 0), IF(ISERROR(_xlpm.CENTER), VLOOKUP('Regatta Attributes'!$B$4, $A:$B, 2, FALSE) + TIME(0, 'Regatta Attributes'!$B$5, 0), _xlpm.CENTER) )), "hh:mm AM/PM")</f>
        <v>09:15 AM</v>
      </c>
      <c r="C14" s="20"/>
      <c r="D14" s="44"/>
      <c r="E14" s="50"/>
      <c r="F14" s="44"/>
      <c r="G14" s="43"/>
      <c r="H14" s="96"/>
      <c r="I14" s="98"/>
      <c r="J14" s="163" t="str">
        <f>IF(AND(A11&lt;&gt;"", A11='Regatta Attributes'!$B$4), "Break", "")</f>
        <v/>
      </c>
    </row>
    <row r="15" spans="1:10" ht="16" customHeight="1" x14ac:dyDescent="0.2">
      <c r="A15" s="180"/>
      <c r="B15" s="182"/>
      <c r="C15" s="10"/>
      <c r="D15" s="46"/>
      <c r="E15" s="14"/>
      <c r="F15" s="14"/>
      <c r="G15" s="14"/>
      <c r="H15" s="94"/>
      <c r="I15" s="95"/>
      <c r="J15" s="163" t="str">
        <f>IF(AND(A14&lt;&gt;"", A14='Regatta Attributes'!$B$4), "Break", "")</f>
        <v/>
      </c>
    </row>
    <row r="16" spans="1:10" ht="16" customHeight="1" x14ac:dyDescent="0.2">
      <c r="A16" s="180"/>
      <c r="B16" s="183"/>
      <c r="C16" s="17"/>
      <c r="D16" s="22"/>
      <c r="E16" s="25"/>
      <c r="F16" s="22"/>
      <c r="G16" s="22"/>
      <c r="H16" s="97"/>
      <c r="I16" s="99"/>
      <c r="J16" s="163" t="str">
        <f>IF(AND(A14&lt;&gt;"", A14='Regatta Attributes'!$B$4), "Break", "")</f>
        <v/>
      </c>
    </row>
    <row r="17" spans="1:10" ht="16" customHeight="1" x14ac:dyDescent="0.2">
      <c r="A17" s="176" cm="1">
        <f t="array" ref="A17">_xlfn.LET(_xlpm.EVENT, A14+1, IF($J14="Break", 'Regatta Attributes'!$B$4+1, IF(ISERROR(_xlpm.EVENT), "", IF($J15="Break", "", IF(_xlpm.EVENT &lt;= 'Regatta Attributes'!$B$1, _xlpm.EVENT, "")))))</f>
        <v>5</v>
      </c>
      <c r="B17" s="181" t="str">
        <f>TEXT(IF(A17="", IF($J15="Break", "Break", ""), _xlfn.LET(_xlpm.CENTER, B14 + TIME(0, 'Regatta Attributes'!$B$2, 0), IF(ISERROR(_xlpm.CENTER), VLOOKUP('Regatta Attributes'!$B$4, $A:$B, 2, FALSE) + TIME(0, 'Regatta Attributes'!$B$5, 0), _xlpm.CENTER) )), "hh:mm AM/PM")</f>
        <v>09:20 AM</v>
      </c>
      <c r="C17" s="103"/>
      <c r="D17" s="52"/>
      <c r="E17" s="48"/>
      <c r="F17" s="44"/>
      <c r="G17" s="53"/>
      <c r="H17" s="47"/>
      <c r="I17" s="98"/>
      <c r="J17" s="163" t="str">
        <f>IF(AND(A14&lt;&gt;"", A14='Regatta Attributes'!$B$4), "Break", "")</f>
        <v/>
      </c>
    </row>
    <row r="18" spans="1:10" ht="16" customHeight="1" x14ac:dyDescent="0.2">
      <c r="A18" s="180"/>
      <c r="B18" s="182"/>
      <c r="C18" s="104"/>
      <c r="D18" s="54"/>
      <c r="E18" s="13"/>
      <c r="F18" s="55"/>
      <c r="G18" s="56"/>
      <c r="H18" s="55"/>
      <c r="I18" s="95"/>
      <c r="J18" s="163" t="str">
        <f>IF(AND(A17&lt;&gt;"", A17='Regatta Attributes'!$B$4), "Break", "")</f>
        <v/>
      </c>
    </row>
    <row r="19" spans="1:10" ht="16" customHeight="1" x14ac:dyDescent="0.2">
      <c r="A19" s="180"/>
      <c r="B19" s="183"/>
      <c r="C19" s="105"/>
      <c r="D19" s="57"/>
      <c r="E19" s="58"/>
      <c r="F19" s="59"/>
      <c r="G19" s="60"/>
      <c r="H19" s="59"/>
      <c r="I19" s="99"/>
      <c r="J19" s="163" t="str">
        <f>IF(AND(A17&lt;&gt;"", A17='Regatta Attributes'!$B$4), "Break", "")</f>
        <v/>
      </c>
    </row>
    <row r="20" spans="1:10" ht="16" customHeight="1" x14ac:dyDescent="0.2">
      <c r="A20" s="180" cm="1">
        <f t="array" ref="A20">_xlfn.LET(_xlpm.EVENT, A17+1, IF($J17="Break", 'Regatta Attributes'!$B$4+1, IF(ISERROR(_xlpm.EVENT), "", IF($J18="Break", "", IF(_xlpm.EVENT &lt;= 'Regatta Attributes'!$B$1, _xlpm.EVENT, "")))))</f>
        <v>6</v>
      </c>
      <c r="B20" s="181" t="str">
        <f>TEXT(IF(A20="", IF($J18="Break", "Break", ""), _xlfn.LET(_xlpm.CENTER, B17 + TIME(0, 'Regatta Attributes'!$B$2, 0), IF(ISERROR(_xlpm.CENTER), VLOOKUP('Regatta Attributes'!$B$4, $A:$B, 2, FALSE) + TIME(0, 'Regatta Attributes'!$B$5, 0), _xlpm.CENTER) )), "hh:mm AM/PM")</f>
        <v>09:25 AM</v>
      </c>
      <c r="C20" s="19"/>
      <c r="D20" s="33"/>
      <c r="E20" s="41"/>
      <c r="F20" s="34"/>
      <c r="G20" s="34"/>
      <c r="H20" s="61"/>
      <c r="I20" s="98"/>
      <c r="J20" s="163" t="str">
        <f>IF(AND(A17&lt;&gt;"", A17='Regatta Attributes'!$B$4), "Break", "")</f>
        <v/>
      </c>
    </row>
    <row r="21" spans="1:10" ht="16" customHeight="1" x14ac:dyDescent="0.2">
      <c r="A21" s="180"/>
      <c r="B21" s="182"/>
      <c r="C21" s="12"/>
      <c r="D21" s="54"/>
      <c r="E21" s="13"/>
      <c r="F21" s="55"/>
      <c r="G21" s="56"/>
      <c r="H21" s="55"/>
      <c r="I21" s="95"/>
      <c r="J21" s="163" t="str">
        <f>IF(AND(A20&lt;&gt;"", A20='Regatta Attributes'!$B$4), "Break", "")</f>
        <v/>
      </c>
    </row>
    <row r="22" spans="1:10" ht="16" customHeight="1" x14ac:dyDescent="0.2">
      <c r="A22" s="180"/>
      <c r="B22" s="183"/>
      <c r="C22" s="28"/>
      <c r="D22" s="57"/>
      <c r="E22" s="58"/>
      <c r="F22" s="59"/>
      <c r="G22" s="60"/>
      <c r="H22" s="59"/>
      <c r="I22" s="99"/>
      <c r="J22" s="163" t="str">
        <f>IF(AND(A20&lt;&gt;"", A20='Regatta Attributes'!$B$4), "Break", "")</f>
        <v/>
      </c>
    </row>
    <row r="23" spans="1:10" ht="16" customHeight="1" x14ac:dyDescent="0.2">
      <c r="A23" s="180" cm="1">
        <f t="array" ref="A23">_xlfn.LET(_xlpm.EVENT, A20+1, IF($J20="Break", 'Regatta Attributes'!$B$4+1, IF(ISERROR(_xlpm.EVENT), "", IF($J21="Break", "", IF(_xlpm.EVENT &lt;= 'Regatta Attributes'!$B$1, _xlpm.EVENT, "")))))</f>
        <v>7</v>
      </c>
      <c r="B23" s="181" t="str">
        <f>TEXT(IF(A23="", IF($J21="Break", "Break", ""), _xlfn.LET(_xlpm.CENTER, B20 + TIME(0, 'Regatta Attributes'!$B$2, 0), IF(ISERROR(_xlpm.CENTER), VLOOKUP('Regatta Attributes'!$B$4, $A:$B, 2, FALSE) + TIME(0, 'Regatta Attributes'!$B$5, 0), _xlpm.CENTER) )), "hh:mm AM/PM")</f>
        <v>09:30 AM</v>
      </c>
      <c r="C23" s="19"/>
      <c r="D23" s="33"/>
      <c r="E23" s="62"/>
      <c r="F23" s="34"/>
      <c r="G23" s="33"/>
      <c r="H23" s="62"/>
      <c r="I23" s="98"/>
      <c r="J23" s="163" t="str">
        <f>IF(AND(A20&lt;&gt;"", A20='Regatta Attributes'!$B$4), "Break", "")</f>
        <v/>
      </c>
    </row>
    <row r="24" spans="1:10" ht="16" customHeight="1" x14ac:dyDescent="0.2">
      <c r="A24" s="180"/>
      <c r="B24" s="182"/>
      <c r="C24" s="12"/>
      <c r="D24" s="54"/>
      <c r="E24" s="54"/>
      <c r="F24" s="56"/>
      <c r="G24" s="56"/>
      <c r="H24" s="56"/>
      <c r="I24" s="95"/>
      <c r="J24" s="163" t="str">
        <f>IF(AND(A23&lt;&gt;"", A23='Regatta Attributes'!$B$4), "Break", "")</f>
        <v/>
      </c>
    </row>
    <row r="25" spans="1:10" ht="16" customHeight="1" x14ac:dyDescent="0.2">
      <c r="A25" s="180"/>
      <c r="B25" s="183"/>
      <c r="C25" s="28"/>
      <c r="D25" s="57"/>
      <c r="E25" s="57"/>
      <c r="F25" s="60"/>
      <c r="G25" s="60"/>
      <c r="H25" s="60"/>
      <c r="I25" s="99"/>
      <c r="J25" s="163" t="str">
        <f>IF(AND(A23&lt;&gt;"", A23='Regatta Attributes'!$B$4), "Break", "")</f>
        <v/>
      </c>
    </row>
    <row r="26" spans="1:10" ht="16" customHeight="1" x14ac:dyDescent="0.2">
      <c r="A26" s="180" cm="1">
        <f t="array" ref="A26">_xlfn.LET(_xlpm.EVENT, A23+1, IF($J23="Break", 'Regatta Attributes'!$B$4+1, IF(ISERROR(_xlpm.EVENT), "", IF($J24="Break", "", IF(_xlpm.EVENT &lt;= 'Regatta Attributes'!$B$1, _xlpm.EVENT, "")))))</f>
        <v>8</v>
      </c>
      <c r="B26" s="181" t="str">
        <f>TEXT(IF(A26="", IF($J24="Break", "Break", ""), _xlfn.LET(_xlpm.CENTER, B23 + TIME(0, 'Regatta Attributes'!$B$2, 0), IF(ISERROR(_xlpm.CENTER), VLOOKUP('Regatta Attributes'!$B$4, $A:$B, 2, FALSE) + TIME(0, 'Regatta Attributes'!$B$5, 0), _xlpm.CENTER) )), "hh:mm AM/PM")</f>
        <v>09:35 AM</v>
      </c>
      <c r="C26" s="19"/>
      <c r="D26" s="33"/>
      <c r="E26" s="41"/>
      <c r="F26" s="34"/>
      <c r="G26" s="62"/>
      <c r="H26" s="61"/>
      <c r="I26" s="98"/>
      <c r="J26" s="163" t="str">
        <f>IF(AND(A23&lt;&gt;"", A23='Regatta Attributes'!$B$4), "Break", "")</f>
        <v/>
      </c>
    </row>
    <row r="27" spans="1:10" s="111" customFormat="1" ht="16" customHeight="1" x14ac:dyDescent="0.2">
      <c r="A27" s="180"/>
      <c r="B27" s="182"/>
      <c r="C27" s="12"/>
      <c r="D27" s="54"/>
      <c r="E27" s="13"/>
      <c r="F27" s="46"/>
      <c r="G27" s="55"/>
      <c r="H27" s="55"/>
      <c r="I27" s="95"/>
      <c r="J27" s="163" t="str">
        <f>IF(AND(A26&lt;&gt;"", A26='Regatta Attributes'!$B$4), "Break", "")</f>
        <v/>
      </c>
    </row>
    <row r="28" spans="1:10" s="111" customFormat="1" ht="16" customHeight="1" x14ac:dyDescent="0.2">
      <c r="A28" s="180"/>
      <c r="B28" s="183"/>
      <c r="C28" s="28"/>
      <c r="D28" s="57"/>
      <c r="E28" s="58"/>
      <c r="F28" s="63"/>
      <c r="G28" s="59"/>
      <c r="H28" s="59"/>
      <c r="I28" s="99"/>
      <c r="J28" s="163" t="str">
        <f>IF(AND(A26&lt;&gt;"", A26='Regatta Attributes'!$B$4), "Break", "")</f>
        <v/>
      </c>
    </row>
    <row r="29" spans="1:10" s="111" customFormat="1" ht="16" customHeight="1" x14ac:dyDescent="0.2">
      <c r="A29" s="180" cm="1">
        <f t="array" ref="A29">_xlfn.LET(_xlpm.EVENT, A26+1, IF($J26="Break", 'Regatta Attributes'!$B$4+1, IF(ISERROR(_xlpm.EVENT), "", IF($J27="Break", "", IF(_xlpm.EVENT &lt;= 'Regatta Attributes'!$B$1, _xlpm.EVENT, "")))))</f>
        <v>9</v>
      </c>
      <c r="B29" s="181" t="str">
        <f>TEXT(IF(A29="", IF($J27="Break", "Break", ""), _xlfn.LET(_xlpm.CENTER, B26 + TIME(0, 'Regatta Attributes'!$B$2, 0), IF(ISERROR(_xlpm.CENTER), VLOOKUP('Regatta Attributes'!$B$4, $A:$B, 2, FALSE) + TIME(0, 'Regatta Attributes'!$B$5, 0), _xlpm.CENTER) )), "hh:mm AM/PM")</f>
        <v>09:40 AM</v>
      </c>
      <c r="C29" s="103"/>
      <c r="D29" s="50"/>
      <c r="E29" s="44"/>
      <c r="F29" s="43"/>
      <c r="G29" s="44"/>
      <c r="H29" s="44"/>
      <c r="I29" s="98"/>
      <c r="J29" s="163" t="str">
        <f>IF(AND(A26&lt;&gt;"", A26='Regatta Attributes'!$B$4), "Break", "")</f>
        <v/>
      </c>
    </row>
    <row r="30" spans="1:10" ht="16" customHeight="1" x14ac:dyDescent="0.2">
      <c r="A30" s="180"/>
      <c r="B30" s="182"/>
      <c r="C30" s="104"/>
      <c r="D30" s="45"/>
      <c r="E30" s="14"/>
      <c r="F30" s="46"/>
      <c r="G30" s="45"/>
      <c r="H30" s="46"/>
      <c r="I30" s="95"/>
      <c r="J30" s="163" t="str">
        <f>IF(AND(A29&lt;&gt;"", A29='Regatta Attributes'!$B$4), "Break", "")</f>
        <v/>
      </c>
    </row>
    <row r="31" spans="1:10" ht="16" customHeight="1" x14ac:dyDescent="0.2">
      <c r="A31" s="180"/>
      <c r="B31" s="183"/>
      <c r="C31" s="113"/>
      <c r="D31" s="23"/>
      <c r="E31" s="25"/>
      <c r="F31" s="22"/>
      <c r="G31" s="22"/>
      <c r="H31" s="22"/>
      <c r="I31" s="99"/>
      <c r="J31" s="163" t="str">
        <f>IF(AND(A29&lt;&gt;"", A29='Regatta Attributes'!$B$4), "Break", "")</f>
        <v/>
      </c>
    </row>
    <row r="32" spans="1:10" ht="16" customHeight="1" x14ac:dyDescent="0.2">
      <c r="A32" s="174" cm="1">
        <f t="array" ref="A32">_xlfn.LET(_xlpm.EVENT, A29+1, IF($J29="Break", 'Regatta Attributes'!$B$4+1, IF(ISERROR(_xlpm.EVENT), "", IF($J30="Break", "", IF(_xlpm.EVENT &lt;= 'Regatta Attributes'!$B$1, _xlpm.EVENT, "")))))</f>
        <v>10</v>
      </c>
      <c r="B32" s="177" t="str">
        <f>TEXT(IF(A32="", IF($J30="Break", "Break", ""), _xlfn.LET(_xlpm.CENTER, B29 + TIME(0, 'Regatta Attributes'!$B$2, 0), IF(ISERROR(_xlpm.CENTER), VLOOKUP('Regatta Attributes'!$B$4, $A:$B, 2, FALSE) + TIME(0, 'Regatta Attributes'!$B$5, 0), _xlpm.CENTER) )), "hh:mm AM/PM")</f>
        <v>09:45 AM</v>
      </c>
      <c r="C32" s="103"/>
      <c r="D32" s="100"/>
      <c r="E32" s="101"/>
      <c r="F32" s="44"/>
      <c r="G32" s="44"/>
      <c r="H32" s="44"/>
      <c r="I32" s="98"/>
      <c r="J32" s="163" t="str">
        <f>IF(AND(A29&lt;&gt;"", A29='Regatta Attributes'!$B$4), "Break", "")</f>
        <v/>
      </c>
    </row>
    <row r="33" spans="1:10" s="110" customFormat="1" ht="14.25" customHeight="1" x14ac:dyDescent="0.2">
      <c r="A33" s="175"/>
      <c r="B33" s="178"/>
      <c r="C33" s="104"/>
      <c r="D33" s="94"/>
      <c r="E33" s="102"/>
      <c r="F33" s="46"/>
      <c r="G33" s="46"/>
      <c r="H33" s="45"/>
      <c r="I33" s="99"/>
      <c r="J33" s="162" t="str">
        <f>IF(AND(A32&lt;&gt;"", A32='Regatta Attributes'!$B$4), "Break", "")</f>
        <v/>
      </c>
    </row>
    <row r="34" spans="1:10" ht="16" customHeight="1" x14ac:dyDescent="0.2">
      <c r="A34" s="176"/>
      <c r="B34" s="186"/>
      <c r="C34" s="106"/>
      <c r="D34" s="66"/>
      <c r="E34" s="63"/>
      <c r="F34" s="63"/>
      <c r="G34" s="63"/>
      <c r="H34" s="63"/>
      <c r="I34" s="133"/>
      <c r="J34" s="163" t="str">
        <f>IF(AND(A32&lt;&gt;"", A32='Regatta Attributes'!$B$4), "Break", "")</f>
        <v/>
      </c>
    </row>
    <row r="35" spans="1:10" ht="16" customHeight="1" x14ac:dyDescent="0.2">
      <c r="A35" s="184" cm="1">
        <f t="array" ref="A35">_xlfn.LET(_xlpm.EVENT, A32+1, IF($J32="Break", 'Regatta Attributes'!$B$4+1, IF(ISERROR(_xlpm.EVENT), "", IF($J34="Break", "", IF(_xlpm.EVENT &lt;= 'Regatta Attributes'!$B$1, _xlpm.EVENT, "")))))</f>
        <v>11</v>
      </c>
      <c r="B35" s="185" t="str">
        <f>TEXT(IF(A35="", IF($J34="Break", "Break", ""), _xlfn.LET(_xlpm.CENTER, B32 + TIME(0, 'Regatta Attributes'!$B$2, 0), IF(ISERROR(_xlpm.CENTER), VLOOKUP('Regatta Attributes'!$B$4, $A:$B, 2, FALSE) + TIME(0, 'Regatta Attributes'!$B$5, 0), _xlpm.CENTER) )), "hh:mm AM/PM")</f>
        <v>09:50 AM</v>
      </c>
      <c r="C35" s="20"/>
      <c r="D35" s="43"/>
      <c r="E35" s="50"/>
      <c r="F35" s="44"/>
      <c r="G35" s="44"/>
      <c r="H35" s="44"/>
      <c r="I35" s="98"/>
      <c r="J35" s="163" t="str">
        <f>IF(AND(A32&lt;&gt;"", A32='Regatta Attributes'!$B$4), "Break", "")</f>
        <v/>
      </c>
    </row>
    <row r="36" spans="1:10" ht="16" customHeight="1" x14ac:dyDescent="0.2">
      <c r="A36" s="184"/>
      <c r="B36" s="182"/>
      <c r="C36" s="10"/>
      <c r="D36" s="45"/>
      <c r="E36" s="14"/>
      <c r="F36" s="46"/>
      <c r="G36" s="46"/>
      <c r="H36" s="46"/>
      <c r="I36" s="95"/>
      <c r="J36" s="163" t="str">
        <f>IF(AND(A35&lt;&gt;"", A35='Regatta Attributes'!$B$4), "Break", "")</f>
        <v/>
      </c>
    </row>
    <row r="37" spans="1:10" ht="16" customHeight="1" x14ac:dyDescent="0.2">
      <c r="A37" s="184"/>
      <c r="B37" s="183"/>
      <c r="C37" s="26"/>
      <c r="D37" s="65"/>
      <c r="E37" s="66"/>
      <c r="F37" s="63"/>
      <c r="G37" s="63"/>
      <c r="H37" s="63"/>
      <c r="I37" s="99"/>
      <c r="J37" s="163" t="str">
        <f>IF(AND(A35&lt;&gt;"", A35='Regatta Attributes'!$B$4), "Break", "")</f>
        <v/>
      </c>
    </row>
    <row r="38" spans="1:10" ht="16" customHeight="1" x14ac:dyDescent="0.2">
      <c r="A38" s="180" cm="1">
        <f t="array" ref="A38">_xlfn.LET(_xlpm.EVENT, A35+1, IF($J35="Break", 'Regatta Attributes'!$B$4+1, IF(ISERROR(_xlpm.EVENT), "", IF($J36="Break", "", IF(_xlpm.EVENT &lt;= 'Regatta Attributes'!$B$1, _xlpm.EVENT, "")))))</f>
        <v>12</v>
      </c>
      <c r="B38" s="181" t="str">
        <f>TEXT(IF(A38="", IF($J36="Break", "Break", ""), _xlfn.LET(_xlpm.CENTER, B35 + TIME(0, 'Regatta Attributes'!$B$2, 0), IF(ISERROR(_xlpm.CENTER), VLOOKUP('Regatta Attributes'!$B$4, $A:$B, 2, FALSE) + TIME(0, 'Regatta Attributes'!$B$5, 0), _xlpm.CENTER) )), "hh:mm AM/PM")</f>
        <v>09:55 AM</v>
      </c>
      <c r="C38" s="18"/>
      <c r="D38" s="33"/>
      <c r="E38" s="42"/>
      <c r="F38" s="34"/>
      <c r="G38" s="42"/>
      <c r="H38" s="34"/>
      <c r="I38" s="98"/>
      <c r="J38" s="163" t="str">
        <f>IF(AND(A35&lt;&gt;"", A35='Regatta Attributes'!$B$4), "Break", "")</f>
        <v/>
      </c>
    </row>
    <row r="39" spans="1:10" ht="16" customHeight="1" x14ac:dyDescent="0.2">
      <c r="A39" s="180"/>
      <c r="B39" s="182"/>
      <c r="C39" s="10"/>
      <c r="D39" s="54"/>
      <c r="E39" s="14"/>
      <c r="F39" s="46"/>
      <c r="G39" s="46"/>
      <c r="H39" s="46"/>
      <c r="I39" s="95"/>
      <c r="J39" s="163" t="str">
        <f>IF(AND(A38&lt;&gt;"", A38='Regatta Attributes'!$B$4), "Break", "")</f>
        <v/>
      </c>
    </row>
    <row r="40" spans="1:10" ht="16" customHeight="1" x14ac:dyDescent="0.2">
      <c r="A40" s="180"/>
      <c r="B40" s="183"/>
      <c r="C40" s="17"/>
      <c r="D40" s="67"/>
      <c r="E40" s="25"/>
      <c r="F40" s="22"/>
      <c r="G40" s="22"/>
      <c r="H40" s="22"/>
      <c r="I40" s="99"/>
      <c r="J40" s="163" t="str">
        <f>IF(AND(A38&lt;&gt;"", A38='Regatta Attributes'!$B$4), "Break", "")</f>
        <v/>
      </c>
    </row>
    <row r="41" spans="1:10" ht="16" customHeight="1" x14ac:dyDescent="0.2">
      <c r="A41" s="180" cm="1">
        <f t="array" ref="A41">_xlfn.LET(_xlpm.EVENT, A38+1, IF($J38="Break", 'Regatta Attributes'!$B$4+1, IF(ISERROR(_xlpm.EVENT), "", IF($J39="Break", "", IF(_xlpm.EVENT &lt;= 'Regatta Attributes'!$B$1, _xlpm.EVENT, "")))))</f>
        <v>13</v>
      </c>
      <c r="B41" s="181" t="str">
        <f>TEXT(IF(A41="", IF($J39="Break", "Break", ""), _xlfn.LET(_xlpm.CENTER, B38 + TIME(0, 'Regatta Attributes'!$B$2, 0), IF(ISERROR(_xlpm.CENTER), VLOOKUP('Regatta Attributes'!$B$4, $A:$B, 2, FALSE) + TIME(0, 'Regatta Attributes'!$B$5, 0), _xlpm.CENTER) )), "hh:mm AM/PM")</f>
        <v>10:00 AM</v>
      </c>
      <c r="C41" s="20"/>
      <c r="D41" s="43"/>
      <c r="E41" s="50"/>
      <c r="F41" s="44"/>
      <c r="G41" s="44"/>
      <c r="H41" s="50"/>
      <c r="I41" s="98"/>
      <c r="J41" s="163" t="str">
        <f>IF(AND(A38&lt;&gt;"", A38='Regatta Attributes'!$B$4), "Break", "")</f>
        <v/>
      </c>
    </row>
    <row r="42" spans="1:10" ht="16" customHeight="1" x14ac:dyDescent="0.2">
      <c r="A42" s="180"/>
      <c r="B42" s="182"/>
      <c r="C42" s="10"/>
      <c r="D42" s="45"/>
      <c r="E42" s="14"/>
      <c r="F42" s="46"/>
      <c r="G42" s="46"/>
      <c r="H42" s="64"/>
      <c r="I42" s="95"/>
      <c r="J42" s="163" t="str">
        <f>IF(AND(A41&lt;&gt;"", A41='Regatta Attributes'!$B$4), "Break", "")</f>
        <v/>
      </c>
    </row>
    <row r="43" spans="1:10" ht="16" customHeight="1" x14ac:dyDescent="0.2">
      <c r="A43" s="180"/>
      <c r="B43" s="183"/>
      <c r="C43" s="17"/>
      <c r="D43" s="23"/>
      <c r="E43" s="25"/>
      <c r="F43" s="22"/>
      <c r="G43" s="22"/>
      <c r="H43" s="22"/>
      <c r="I43" s="99"/>
      <c r="J43" s="163" t="str">
        <f>IF(AND(A41&lt;&gt;"", A41='Regatta Attributes'!$B$4), "Break", "")</f>
        <v/>
      </c>
    </row>
    <row r="44" spans="1:10" ht="16" customHeight="1" x14ac:dyDescent="0.2">
      <c r="A44" s="180" cm="1">
        <f t="array" ref="A44">_xlfn.LET(_xlpm.EVENT, A41+1, IF($J41="Break", 'Regatta Attributes'!$B$4+1, IF(ISERROR(_xlpm.EVENT), "", IF($J42="Break", "", IF(_xlpm.EVENT &lt;= 'Regatta Attributes'!$B$1, _xlpm.EVENT, "")))))</f>
        <v>14</v>
      </c>
      <c r="B44" s="181" t="str">
        <f>TEXT(IF(A44="", IF($J42="Break", "Break", ""), _xlfn.LET(_xlpm.CENTER, B41 + TIME(0, 'Regatta Attributes'!$B$2, 0), IF(ISERROR(_xlpm.CENTER), VLOOKUP('Regatta Attributes'!$B$4, $A:$B, 2, FALSE) + TIME(0, 'Regatta Attributes'!$B$5, 0), _xlpm.CENTER) )), "hh:mm AM/PM")</f>
        <v>10:05 AM</v>
      </c>
      <c r="C44" s="20"/>
      <c r="D44" s="43"/>
      <c r="E44" s="50"/>
      <c r="F44" s="44"/>
      <c r="G44" s="44"/>
      <c r="H44" s="50"/>
      <c r="I44" s="98"/>
      <c r="J44" s="163" t="str">
        <f>IF(AND(A41&lt;&gt;"", A41='Regatta Attributes'!$B$4), "Break", "")</f>
        <v/>
      </c>
    </row>
    <row r="45" spans="1:10" ht="16" customHeight="1" x14ac:dyDescent="0.2">
      <c r="A45" s="180"/>
      <c r="B45" s="182"/>
      <c r="C45" s="10"/>
      <c r="D45" s="45"/>
      <c r="E45" s="14"/>
      <c r="F45" s="46"/>
      <c r="G45" s="45"/>
      <c r="H45" s="46"/>
      <c r="I45" s="95"/>
      <c r="J45" s="163" t="str">
        <f>IF(AND(A44&lt;&gt;"", A44='Regatta Attributes'!$B$4), "Break", "")</f>
        <v/>
      </c>
    </row>
    <row r="46" spans="1:10" ht="16" customHeight="1" x14ac:dyDescent="0.2">
      <c r="A46" s="180"/>
      <c r="B46" s="183"/>
      <c r="C46" s="26"/>
      <c r="D46" s="65"/>
      <c r="E46" s="66"/>
      <c r="F46" s="63"/>
      <c r="G46" s="63"/>
      <c r="H46" s="63"/>
      <c r="I46" s="99"/>
      <c r="J46" s="163" t="str">
        <f>IF(AND(A44&lt;&gt;"", A44='Regatta Attributes'!$B$4), "Break", "")</f>
        <v/>
      </c>
    </row>
    <row r="47" spans="1:10" ht="16" customHeight="1" x14ac:dyDescent="0.2">
      <c r="A47" s="180" cm="1">
        <f t="array" ref="A47">_xlfn.LET(_xlpm.EVENT, A44+1, IF($J44="Break", 'Regatta Attributes'!$B$4+1, IF(ISERROR(_xlpm.EVENT), "", IF($J45="Break", "", IF(_xlpm.EVENT &lt;= 'Regatta Attributes'!$B$1, _xlpm.EVENT, "")))))</f>
        <v>15</v>
      </c>
      <c r="B47" s="181" t="str">
        <f>TEXT(IF(A47="", IF($J45="Break", "Break", ""), _xlfn.LET(_xlpm.CENTER, B44 + TIME(0, 'Regatta Attributes'!$B$2, 0), IF(ISERROR(_xlpm.CENTER), VLOOKUP('Regatta Attributes'!$B$4, $A:$B, 2, FALSE) + TIME(0, 'Regatta Attributes'!$B$5, 0), _xlpm.CENTER) )), "hh:mm AM/PM")</f>
        <v>10:10 AM</v>
      </c>
      <c r="C47" s="27"/>
      <c r="D47" s="52"/>
      <c r="E47" s="44"/>
      <c r="F47" s="44"/>
      <c r="G47" s="44"/>
      <c r="H47" s="44"/>
      <c r="I47" s="98"/>
      <c r="J47" s="163" t="str">
        <f>IF(AND(A44&lt;&gt;"", A44='Regatta Attributes'!$B$4), "Break", "")</f>
        <v/>
      </c>
    </row>
    <row r="48" spans="1:10" ht="16" customHeight="1" x14ac:dyDescent="0.2">
      <c r="A48" s="180"/>
      <c r="B48" s="182"/>
      <c r="C48" s="12"/>
      <c r="D48" s="54"/>
      <c r="E48" s="11"/>
      <c r="F48" s="11"/>
      <c r="G48" s="11"/>
      <c r="H48" s="11"/>
      <c r="I48" s="95"/>
      <c r="J48" s="163" t="str">
        <f>IF(AND(A47&lt;&gt;"", A47='Regatta Attributes'!$B$4), "Break", "")</f>
        <v/>
      </c>
    </row>
    <row r="49" spans="1:10" ht="16" customHeight="1" x14ac:dyDescent="0.2">
      <c r="A49" s="180"/>
      <c r="B49" s="183"/>
      <c r="C49" s="28"/>
      <c r="D49" s="57"/>
      <c r="E49" s="30"/>
      <c r="F49" s="30"/>
      <c r="G49" s="30"/>
      <c r="H49" s="30"/>
      <c r="I49" s="99"/>
      <c r="J49" s="163" t="str">
        <f>IF(AND(A47&lt;&gt;"", A47='Regatta Attributes'!$B$4), "Break", "")</f>
        <v/>
      </c>
    </row>
    <row r="50" spans="1:10" ht="16" customHeight="1" x14ac:dyDescent="0.2">
      <c r="A50" s="180" cm="1">
        <f t="array" ref="A50">_xlfn.LET(_xlpm.EVENT, A47+1, IF($J47="Break", 'Regatta Attributes'!$B$4+1, IF(ISERROR(_xlpm.EVENT), "", IF($J48="Break", "", IF(_xlpm.EVENT &lt;= 'Regatta Attributes'!$B$1, _xlpm.EVENT, "")))))</f>
        <v>16</v>
      </c>
      <c r="B50" s="181" t="str">
        <f>TEXT(IF(A50="", IF($J48="Break", "Break", ""), _xlfn.LET(_xlpm.CENTER, B47 + TIME(0, 'Regatta Attributes'!$B$2, 0), IF(ISERROR(_xlpm.CENTER), VLOOKUP('Regatta Attributes'!$B$4, $A:$B, 2, FALSE) + TIME(0, 'Regatta Attributes'!$B$5, 0), _xlpm.CENTER) )), "hh:mm AM/PM")</f>
        <v>10:15 AM</v>
      </c>
      <c r="C50" s="20"/>
      <c r="D50" s="43"/>
      <c r="E50" s="50"/>
      <c r="F50" s="44"/>
      <c r="G50" s="44"/>
      <c r="H50" s="50"/>
      <c r="I50" s="98"/>
      <c r="J50" s="163" t="str">
        <f>IF(AND(A47&lt;&gt;"", A47='Regatta Attributes'!$B$4), "Break", "")</f>
        <v/>
      </c>
    </row>
    <row r="51" spans="1:10" ht="16" customHeight="1" x14ac:dyDescent="0.2">
      <c r="A51" s="180"/>
      <c r="B51" s="182"/>
      <c r="C51" s="10"/>
      <c r="D51" s="45"/>
      <c r="E51" s="14"/>
      <c r="F51" s="46"/>
      <c r="G51" s="45"/>
      <c r="H51" s="46"/>
      <c r="I51" s="95"/>
      <c r="J51" s="163" t="str">
        <f>IF(AND(A50&lt;&gt;"", A50='Regatta Attributes'!$B$4), "Break", "")</f>
        <v/>
      </c>
    </row>
    <row r="52" spans="1:10" ht="16" customHeight="1" x14ac:dyDescent="0.2">
      <c r="A52" s="180"/>
      <c r="B52" s="183"/>
      <c r="C52" s="26"/>
      <c r="D52" s="65"/>
      <c r="E52" s="66"/>
      <c r="F52" s="63"/>
      <c r="G52" s="63"/>
      <c r="H52" s="63"/>
      <c r="I52" s="99"/>
      <c r="J52" s="163" t="str">
        <f>IF(AND(A50&lt;&gt;"", A50='Regatta Attributes'!$B$4), "Break", "")</f>
        <v/>
      </c>
    </row>
    <row r="53" spans="1:10" ht="16" customHeight="1" x14ac:dyDescent="0.2">
      <c r="A53" s="180" cm="1">
        <f t="array" ref="A53">_xlfn.LET(_xlpm.EVENT, A50+1, IF($J50="Break", 'Regatta Attributes'!$B$4+1, IF(ISERROR(_xlpm.EVENT), "", IF($J51="Break", "", IF(_xlpm.EVENT &lt;= 'Regatta Attributes'!$B$1, _xlpm.EVENT, "")))))</f>
        <v>17</v>
      </c>
      <c r="B53" s="181" t="str">
        <f>TEXT(IF(A53="", IF($J51="Break", "Break", ""), _xlfn.LET(_xlpm.CENTER, B50 + TIME(0, 'Regatta Attributes'!$B$2, 0), IF(ISERROR(_xlpm.CENTER), VLOOKUP('Regatta Attributes'!$B$4, $A:$B, 2, FALSE) + TIME(0, 'Regatta Attributes'!$B$5, 0), _xlpm.CENTER) )), "hh:mm AM/PM")</f>
        <v>10:20 AM</v>
      </c>
      <c r="C53" s="109"/>
      <c r="D53" s="85"/>
      <c r="E53" s="85"/>
      <c r="F53" s="85"/>
      <c r="G53" s="85"/>
      <c r="H53" s="85"/>
      <c r="I53" s="98"/>
      <c r="J53" s="163" t="str">
        <f>IF(AND(A50&lt;&gt;"", A50='Regatta Attributes'!$B$4), "Break", "")</f>
        <v/>
      </c>
    </row>
    <row r="54" spans="1:10" ht="16" customHeight="1" x14ac:dyDescent="0.2">
      <c r="A54" s="180"/>
      <c r="B54" s="182"/>
      <c r="C54" s="107"/>
      <c r="D54" s="86"/>
      <c r="E54" s="86"/>
      <c r="F54" s="86"/>
      <c r="G54" s="86"/>
      <c r="H54" s="86"/>
      <c r="I54" s="95"/>
      <c r="J54" s="163" t="str">
        <f>IF(AND(A53&lt;&gt;"", A53='Regatta Attributes'!$B$4), "Break", "")</f>
        <v/>
      </c>
    </row>
    <row r="55" spans="1:10" ht="16" customHeight="1" x14ac:dyDescent="0.2">
      <c r="A55" s="180"/>
      <c r="B55" s="183"/>
      <c r="C55" s="108"/>
      <c r="D55" s="87"/>
      <c r="E55" s="87"/>
      <c r="F55" s="87"/>
      <c r="G55" s="87"/>
      <c r="H55" s="87"/>
      <c r="I55" s="99"/>
      <c r="J55" s="163" t="str">
        <f>IF(AND(A53&lt;&gt;"", A53='Regatta Attributes'!$B$4), "Break", "")</f>
        <v/>
      </c>
    </row>
    <row r="56" spans="1:10" ht="16" customHeight="1" x14ac:dyDescent="0.2">
      <c r="A56" s="180" cm="1">
        <f t="array" ref="A56">_xlfn.LET(_xlpm.EVENT, A53+1, IF($J53="Break", 'Regatta Attributes'!$B$4+1, IF(ISERROR(_xlpm.EVENT), "", IF($J54="Break", "", IF(_xlpm.EVENT &lt;= 'Regatta Attributes'!$B$1, _xlpm.EVENT, "")))))</f>
        <v>18</v>
      </c>
      <c r="B56" s="181" t="str">
        <f>TEXT(IF(A56="", IF($J54="Break", "Break", ""), _xlfn.LET(_xlpm.CENTER, B53 + TIME(0, 'Regatta Attributes'!$B$2, 0), IF(ISERROR(_xlpm.CENTER), VLOOKUP('Regatta Attributes'!$B$4, $A:$B, 2, FALSE) + TIME(0, 'Regatta Attributes'!$B$5, 0), _xlpm.CENTER) )), "hh:mm AM/PM")</f>
        <v>10:25 AM</v>
      </c>
      <c r="C56" s="109"/>
      <c r="D56" s="85"/>
      <c r="E56" s="85"/>
      <c r="F56" s="85"/>
      <c r="G56" s="85"/>
      <c r="H56" s="85"/>
      <c r="I56" s="98"/>
      <c r="J56" s="163" t="str">
        <f>IF(AND(A53&lt;&gt;"", A53='Regatta Attributes'!$B$4), "Break", "")</f>
        <v/>
      </c>
    </row>
    <row r="57" spans="1:10" ht="16" customHeight="1" x14ac:dyDescent="0.2">
      <c r="A57" s="180"/>
      <c r="B57" s="182"/>
      <c r="C57" s="107"/>
      <c r="D57" s="88"/>
      <c r="E57" s="88"/>
      <c r="F57" s="86"/>
      <c r="G57" s="86"/>
      <c r="H57" s="86"/>
      <c r="I57" s="95"/>
      <c r="J57" s="163" t="str">
        <f>IF(AND(A56&lt;&gt;"", A56='Regatta Attributes'!$B$4), "Break", "")</f>
        <v/>
      </c>
    </row>
    <row r="58" spans="1:10" ht="16" customHeight="1" x14ac:dyDescent="0.2">
      <c r="A58" s="180"/>
      <c r="B58" s="183"/>
      <c r="C58" s="105"/>
      <c r="D58" s="89"/>
      <c r="E58" s="89"/>
      <c r="F58" s="89"/>
      <c r="G58" s="90"/>
      <c r="H58" s="90"/>
      <c r="I58" s="99"/>
      <c r="J58" s="163" t="str">
        <f>IF(AND(A56&lt;&gt;"", A56='Regatta Attributes'!$B$4), "Break", "")</f>
        <v/>
      </c>
    </row>
    <row r="59" spans="1:10" ht="16" customHeight="1" x14ac:dyDescent="0.2">
      <c r="A59" s="180" cm="1">
        <f t="array" ref="A59">_xlfn.LET(_xlpm.EVENT, A56+1, IF($J56="Break", 'Regatta Attributes'!$B$4+1, IF(ISERROR(_xlpm.EVENT), "", IF($J57="Break", "", IF(_xlpm.EVENT &lt;= 'Regatta Attributes'!$B$1, _xlpm.EVENT, "")))))</f>
        <v>19</v>
      </c>
      <c r="B59" s="181" t="str">
        <f>TEXT(IF(A59="", IF($J57="Break", "Break", ""), _xlfn.LET(_xlpm.CENTER, B56 + TIME(0, 'Regatta Attributes'!$B$2, 0), IF(ISERROR(_xlpm.CENTER), VLOOKUP('Regatta Attributes'!$B$4, $A:$B, 2, FALSE) + TIME(0, 'Regatta Attributes'!$B$5, 0), _xlpm.CENTER) )), "hh:mm AM/PM")</f>
        <v>10:30 AM</v>
      </c>
      <c r="C59" s="19"/>
      <c r="D59" s="44"/>
      <c r="E59" s="44"/>
      <c r="F59" s="44"/>
      <c r="G59" s="44"/>
      <c r="H59" s="44"/>
      <c r="I59" s="98"/>
      <c r="J59" s="163" t="str">
        <f>IF(AND(A56&lt;&gt;"", A56='Regatta Attributes'!$B$4), "Break", "")</f>
        <v/>
      </c>
    </row>
    <row r="60" spans="1:10" ht="16" customHeight="1" x14ac:dyDescent="0.2">
      <c r="A60" s="180"/>
      <c r="B60" s="182"/>
      <c r="C60" s="12"/>
      <c r="D60" s="54"/>
      <c r="E60" s="11"/>
      <c r="F60" s="11"/>
      <c r="G60" s="11"/>
      <c r="H60" s="54"/>
      <c r="I60" s="95"/>
      <c r="J60" s="163" t="str">
        <f>IF(AND(A59&lt;&gt;"", A59='Regatta Attributes'!$B$4), "Break", "")</f>
        <v/>
      </c>
    </row>
    <row r="61" spans="1:10" ht="16" customHeight="1" x14ac:dyDescent="0.2">
      <c r="A61" s="180"/>
      <c r="B61" s="183"/>
      <c r="C61" s="2"/>
      <c r="D61" s="67"/>
      <c r="E61" s="32"/>
      <c r="F61" s="32"/>
      <c r="G61" s="32"/>
      <c r="H61" s="67"/>
      <c r="I61" s="99"/>
      <c r="J61" s="163" t="str">
        <f>IF(AND(A59&lt;&gt;"", A59='Regatta Attributes'!$B$4), "Break", "")</f>
        <v/>
      </c>
    </row>
    <row r="62" spans="1:10" ht="16" customHeight="1" x14ac:dyDescent="0.2">
      <c r="A62" s="180" cm="1">
        <f t="array" ref="A62">_xlfn.LET(_xlpm.EVENT, A59+1, IF($J59="Break", 'Regatta Attributes'!$B$4+1, IF(ISERROR(_xlpm.EVENT), "", IF($J60="Break", "", IF(_xlpm.EVENT &lt;= 'Regatta Attributes'!$B$1, _xlpm.EVENT, "")))))</f>
        <v>20</v>
      </c>
      <c r="B62" s="181" t="str">
        <f>TEXT(IF(A62="", IF($J60="Break", "Break", ""), _xlfn.LET(_xlpm.CENTER, B59 + TIME(0, 'Regatta Attributes'!$B$2, 0), IF(ISERROR(_xlpm.CENTER), VLOOKUP('Regatta Attributes'!$B$4, $A:$B, 2, FALSE) + TIME(0, 'Regatta Attributes'!$B$5, 0), _xlpm.CENTER) )), "hh:mm AM/PM")</f>
        <v>10:35 AM</v>
      </c>
      <c r="C62" s="27"/>
      <c r="D62" s="52"/>
      <c r="E62" s="44"/>
      <c r="F62" s="44"/>
      <c r="G62" s="44"/>
      <c r="H62" s="44"/>
      <c r="I62" s="98"/>
      <c r="J62" s="163" t="str">
        <f>IF(AND(A59&lt;&gt;"", A59='Regatta Attributes'!$B$4), "Break", "")</f>
        <v/>
      </c>
    </row>
    <row r="63" spans="1:10" s="110" customFormat="1" ht="15.75" customHeight="1" x14ac:dyDescent="0.2">
      <c r="A63" s="180"/>
      <c r="B63" s="182"/>
      <c r="C63" s="12"/>
      <c r="D63" s="54"/>
      <c r="E63" s="11"/>
      <c r="F63" s="11"/>
      <c r="G63" s="11"/>
      <c r="H63" s="54"/>
      <c r="I63" s="99"/>
      <c r="J63" s="162" t="str">
        <f>IF(AND(A62&lt;&gt;"", A62='Regatta Attributes'!$B$4), "Break", "")</f>
        <v/>
      </c>
    </row>
    <row r="64" spans="1:10" ht="16" customHeight="1" x14ac:dyDescent="0.2">
      <c r="A64" s="180"/>
      <c r="B64" s="183"/>
      <c r="C64" s="28"/>
      <c r="D64" s="57"/>
      <c r="E64" s="30"/>
      <c r="F64" s="30"/>
      <c r="G64" s="30"/>
      <c r="H64" s="57"/>
      <c r="I64" s="133"/>
      <c r="J64" s="163" t="str">
        <f>IF(AND(A62&lt;&gt;"", A62='Regatta Attributes'!$B$4), "Break", "")</f>
        <v/>
      </c>
    </row>
    <row r="65" spans="1:10" ht="16" customHeight="1" x14ac:dyDescent="0.2">
      <c r="A65" s="184" cm="1">
        <f t="array" ref="A65">_xlfn.LET(_xlpm.EVENT, A62+1, IF($J62="Break", 'Regatta Attributes'!$B$4+1, IF(ISERROR(_xlpm.EVENT), "", IF($J64="Break", "", IF(_xlpm.EVENT &lt;= 'Regatta Attributes'!$B$1, _xlpm.EVENT, "")))))</f>
        <v>21</v>
      </c>
      <c r="B65" s="185" t="str">
        <f>TEXT(IF(A65="", IF($J64="Break", "Break", ""), _xlfn.LET(_xlpm.CENTER, B62 + TIME(0, 'Regatta Attributes'!$B$2, 0), IF(ISERROR(_xlpm.CENTER), VLOOKUP('Regatta Attributes'!$B$4, $A:$B, 2, FALSE) + TIME(0, 'Regatta Attributes'!$B$5, 0), _xlpm.CENTER) )), "hh:mm AM/PM")</f>
        <v>10:40 AM</v>
      </c>
      <c r="C65" s="27"/>
      <c r="D65" s="52"/>
      <c r="E65" s="52"/>
      <c r="F65" s="52"/>
      <c r="G65" s="52"/>
      <c r="H65" s="29"/>
      <c r="I65" s="98"/>
      <c r="J65" s="163" t="str">
        <f>IF(AND(A62&lt;&gt;"", A62='Regatta Attributes'!$B$4), "Break", "")</f>
        <v/>
      </c>
    </row>
    <row r="66" spans="1:10" ht="16" customHeight="1" x14ac:dyDescent="0.2">
      <c r="A66" s="184"/>
      <c r="B66" s="182"/>
      <c r="C66" s="12"/>
      <c r="D66" s="54"/>
      <c r="E66" s="54"/>
      <c r="F66" s="54"/>
      <c r="G66" s="54"/>
      <c r="H66" s="54"/>
      <c r="I66" s="95"/>
      <c r="J66" s="163" t="str">
        <f>IF(AND(A65&lt;&gt;"", A65='Regatta Attributes'!$B$4), "Break", "")</f>
        <v/>
      </c>
    </row>
    <row r="67" spans="1:10" ht="16" customHeight="1" x14ac:dyDescent="0.2">
      <c r="A67" s="184"/>
      <c r="B67" s="183"/>
      <c r="C67" s="28"/>
      <c r="D67" s="57"/>
      <c r="E67" s="57"/>
      <c r="F67" s="57"/>
      <c r="G67" s="57"/>
      <c r="H67" s="57"/>
      <c r="I67" s="99"/>
      <c r="J67" s="163" t="str">
        <f>IF(AND(A65&lt;&gt;"", A65='Regatta Attributes'!$B$4), "Break", "")</f>
        <v/>
      </c>
    </row>
    <row r="68" spans="1:10" ht="16" customHeight="1" x14ac:dyDescent="0.2">
      <c r="A68" s="180" cm="1">
        <f t="array" ref="A68">_xlfn.LET(_xlpm.EVENT, A65+1, IF($J65="Break", 'Regatta Attributes'!$B$4+1, IF(ISERROR(_xlpm.EVENT), "", IF($J66="Break", "", IF(_xlpm.EVENT &lt;= 'Regatta Attributes'!$B$1, _xlpm.EVENT, "")))))</f>
        <v>22</v>
      </c>
      <c r="B68" s="181" t="str">
        <f>TEXT(IF(A68="", IF($J66="Break", "Break", ""), _xlfn.LET(_xlpm.CENTER, B65 + TIME(0, 'Regatta Attributes'!$B$2, 0), IF(ISERROR(_xlpm.CENTER), VLOOKUP('Regatta Attributes'!$B$4, $A:$B, 2, FALSE) + TIME(0, 'Regatta Attributes'!$B$5, 0), _xlpm.CENTER) )), "hh:mm AM/PM")</f>
        <v>10:45 AM</v>
      </c>
      <c r="C68" s="20"/>
      <c r="D68" s="43"/>
      <c r="E68" s="50"/>
      <c r="F68" s="44"/>
      <c r="G68" s="44"/>
      <c r="H68" s="50"/>
      <c r="I68" s="98"/>
      <c r="J68" s="163" t="str">
        <f>IF(AND(A65&lt;&gt;"", A65='Regatta Attributes'!$B$4), "Break", "")</f>
        <v/>
      </c>
    </row>
    <row r="69" spans="1:10" ht="16" customHeight="1" x14ac:dyDescent="0.2">
      <c r="A69" s="180"/>
      <c r="B69" s="182"/>
      <c r="C69" s="10"/>
      <c r="D69" s="45"/>
      <c r="E69" s="14"/>
      <c r="F69" s="46"/>
      <c r="G69" s="45"/>
      <c r="H69" s="46"/>
      <c r="I69" s="95"/>
      <c r="J69" s="163" t="str">
        <f>IF(AND(A68&lt;&gt;"", A68='Regatta Attributes'!$B$4), "Break", "")</f>
        <v/>
      </c>
    </row>
    <row r="70" spans="1:10" ht="16" customHeight="1" x14ac:dyDescent="0.2">
      <c r="A70" s="180"/>
      <c r="B70" s="183"/>
      <c r="C70" s="26"/>
      <c r="D70" s="65"/>
      <c r="E70" s="66"/>
      <c r="F70" s="63"/>
      <c r="G70" s="63"/>
      <c r="H70" s="63"/>
      <c r="I70" s="99"/>
      <c r="J70" s="163" t="str">
        <f>IF(AND(A68&lt;&gt;"", A68='Regatta Attributes'!$B$4), "Break", "")</f>
        <v/>
      </c>
    </row>
    <row r="71" spans="1:10" ht="16" customHeight="1" x14ac:dyDescent="0.2">
      <c r="A71" s="180" cm="1">
        <f t="array" ref="A71">_xlfn.LET(_xlpm.EVENT, A68+1, IF($J68="Break", 'Regatta Attributes'!$B$4+1, IF(ISERROR(_xlpm.EVENT), "", IF($J69="Break", "", IF(_xlpm.EVENT &lt;= 'Regatta Attributes'!$B$1, _xlpm.EVENT, "")))))</f>
        <v>23</v>
      </c>
      <c r="B71" s="181" t="str">
        <f>TEXT(IF(A71="", IF($J69="Break", "Break", ""), _xlfn.LET(_xlpm.CENTER, B68 + TIME(0, 'Regatta Attributes'!$B$2, 0), IF(ISERROR(_xlpm.CENTER), VLOOKUP('Regatta Attributes'!$B$4, $A:$B, 2, FALSE) + TIME(0, 'Regatta Attributes'!$B$5, 0), _xlpm.CENTER) )), "hh:mm AM/PM")</f>
        <v>10:50 AM</v>
      </c>
      <c r="C71" s="12"/>
      <c r="D71" s="44"/>
      <c r="E71" s="44"/>
      <c r="F71" s="44"/>
      <c r="G71" s="44"/>
      <c r="H71" s="44"/>
      <c r="I71" s="98"/>
      <c r="J71" s="163" t="str">
        <f>IF(AND(A68&lt;&gt;"", A68='Regatta Attributes'!$B$4), "Break", "")</f>
        <v/>
      </c>
    </row>
    <row r="72" spans="1:10" ht="16" customHeight="1" x14ac:dyDescent="0.2">
      <c r="A72" s="180"/>
      <c r="B72" s="182"/>
      <c r="C72" s="12"/>
      <c r="D72" s="70"/>
      <c r="E72" s="70"/>
      <c r="F72" s="69"/>
      <c r="G72" s="69"/>
      <c r="H72" s="70"/>
      <c r="I72" s="95"/>
      <c r="J72" s="163" t="str">
        <f>IF(AND(A71&lt;&gt;"", A71='Regatta Attributes'!$B$4), "Break", "")</f>
        <v/>
      </c>
    </row>
    <row r="73" spans="1:10" ht="16" customHeight="1" x14ac:dyDescent="0.2">
      <c r="A73" s="180"/>
      <c r="B73" s="183"/>
      <c r="C73" s="28"/>
      <c r="D73" s="75"/>
      <c r="E73" s="76"/>
      <c r="F73" s="76"/>
      <c r="G73" s="76"/>
      <c r="H73" s="75"/>
      <c r="I73" s="99"/>
      <c r="J73" s="163" t="str">
        <f>IF(AND(A71&lt;&gt;"", A71='Regatta Attributes'!$B$4), "Break", "")</f>
        <v/>
      </c>
    </row>
    <row r="74" spans="1:10" ht="16" customHeight="1" x14ac:dyDescent="0.2">
      <c r="A74" s="180" cm="1">
        <f t="array" ref="A74">_xlfn.LET(_xlpm.EVENT, A71+1, IF($J71="Break", 'Regatta Attributes'!$B$4+1, IF(ISERROR(_xlpm.EVENT), "", IF($J72="Break", "", IF(_xlpm.EVENT &lt;= 'Regatta Attributes'!$B$1, _xlpm.EVENT, "")))))</f>
        <v>24</v>
      </c>
      <c r="B74" s="181" t="str">
        <f>TEXT(IF(A74="", IF($J72="Break", "Break", ""), _xlfn.LET(_xlpm.CENTER, B71 + TIME(0, 'Regatta Attributes'!$B$2, 0), IF(ISERROR(_xlpm.CENTER), VLOOKUP('Regatta Attributes'!$B$4, $A:$B, 2, FALSE) + TIME(0, 'Regatta Attributes'!$B$5, 0), _xlpm.CENTER) )), "hh:mm AM/PM")</f>
        <v>10:55 AM</v>
      </c>
      <c r="C74" s="27"/>
      <c r="D74" s="52"/>
      <c r="E74" s="47"/>
      <c r="F74" s="52"/>
      <c r="G74" s="52"/>
      <c r="H74" s="47"/>
      <c r="I74" s="98"/>
      <c r="J74" s="163" t="str">
        <f>IF(AND(A71&lt;&gt;"", A71='Regatta Attributes'!$B$4), "Break", "")</f>
        <v/>
      </c>
    </row>
    <row r="75" spans="1:10" ht="16" customHeight="1" x14ac:dyDescent="0.2">
      <c r="A75" s="180"/>
      <c r="B75" s="182"/>
      <c r="C75" s="12"/>
      <c r="D75" s="54"/>
      <c r="E75" s="13"/>
      <c r="F75" s="46"/>
      <c r="G75" s="55"/>
      <c r="H75" s="55"/>
      <c r="I75" s="95"/>
      <c r="J75" s="163" t="str">
        <f>IF(AND(A74&lt;&gt;"", A74='Regatta Attributes'!$B$4), "Break", "")</f>
        <v/>
      </c>
    </row>
    <row r="76" spans="1:10" ht="16" customHeight="1" x14ac:dyDescent="0.2">
      <c r="A76" s="180"/>
      <c r="B76" s="183"/>
      <c r="C76" s="2"/>
      <c r="D76" s="67"/>
      <c r="E76" s="16"/>
      <c r="F76" s="22"/>
      <c r="G76" s="24"/>
      <c r="H76" s="24"/>
      <c r="I76" s="99"/>
      <c r="J76" s="163" t="str">
        <f>IF(AND(A74&lt;&gt;"", A74='Regatta Attributes'!$B$4), "Break", "")</f>
        <v/>
      </c>
    </row>
    <row r="77" spans="1:10" ht="16" customHeight="1" x14ac:dyDescent="0.2">
      <c r="A77" s="180" cm="1">
        <f t="array" ref="A77">_xlfn.LET(_xlpm.EVENT, A74+1, IF($J74="Break", 'Regatta Attributes'!$B$4+1, IF(ISERROR(_xlpm.EVENT), "", IF($J75="Break", "", IF(_xlpm.EVENT &lt;= 'Regatta Attributes'!$B$1, _xlpm.EVENT, "")))))</f>
        <v>25</v>
      </c>
      <c r="B77" s="181" t="str">
        <f>TEXT(IF(A77="", IF($J75="Break", "Break", ""), _xlfn.LET(_xlpm.CENTER, B74 + TIME(0, 'Regatta Attributes'!$B$2, 0), IF(ISERROR(_xlpm.CENTER), VLOOKUP('Regatta Attributes'!$B$4, $A:$B, 2, FALSE) + TIME(0, 'Regatta Attributes'!$B$5, 0), _xlpm.CENTER) )), "hh:mm AM/PM")</f>
        <v>11:00 AM</v>
      </c>
      <c r="C77" s="117"/>
      <c r="D77" s="144"/>
      <c r="E77" s="145"/>
      <c r="F77" s="144"/>
      <c r="G77" s="144"/>
      <c r="H77" s="145"/>
      <c r="I77" s="98"/>
      <c r="J77" s="163" t="str">
        <f>IF(AND(A74&lt;&gt;"", A74='Regatta Attributes'!$B$4), "Break", "")</f>
        <v/>
      </c>
    </row>
    <row r="78" spans="1:10" ht="16" customHeight="1" x14ac:dyDescent="0.2">
      <c r="A78" s="180"/>
      <c r="B78" s="182"/>
      <c r="C78" s="118"/>
      <c r="D78" s="146"/>
      <c r="E78" s="146"/>
      <c r="F78" s="147"/>
      <c r="G78" s="148"/>
      <c r="H78" s="148"/>
      <c r="I78" s="95"/>
      <c r="J78" s="163" t="str">
        <f>IF(AND(A77&lt;&gt;"", A77='Regatta Attributes'!$B$4), "Break", "")</f>
        <v/>
      </c>
    </row>
    <row r="79" spans="1:10" ht="16" customHeight="1" x14ac:dyDescent="0.2">
      <c r="A79" s="180"/>
      <c r="B79" s="183"/>
      <c r="C79" s="119"/>
      <c r="D79" s="149"/>
      <c r="E79" s="149"/>
      <c r="F79" s="150"/>
      <c r="G79" s="151"/>
      <c r="H79" s="151"/>
      <c r="I79" s="99"/>
      <c r="J79" s="163" t="str">
        <f>IF(AND(A77&lt;&gt;"", A77='Regatta Attributes'!$B$4), "Break", "")</f>
        <v/>
      </c>
    </row>
    <row r="80" spans="1:10" ht="16" customHeight="1" x14ac:dyDescent="0.2">
      <c r="A80" s="180" cm="1">
        <f t="array" ref="A80">_xlfn.LET(_xlpm.EVENT, A77+1, IF($J77="Break", 'Regatta Attributes'!$B$4+1, IF(ISERROR(_xlpm.EVENT), "", IF($J78="Break", "", IF(_xlpm.EVENT &lt;= 'Regatta Attributes'!$B$1, _xlpm.EVENT, "")))))</f>
        <v>26</v>
      </c>
      <c r="B80" s="181" t="str">
        <f>TEXT(IF(A80="", IF($J78="Break", "Break", ""), _xlfn.LET(_xlpm.CENTER, B77 + TIME(0, 'Regatta Attributes'!$B$2, 0), IF(ISERROR(_xlpm.CENTER), VLOOKUP('Regatta Attributes'!$B$4, $A:$B, 2, FALSE) + TIME(0, 'Regatta Attributes'!$B$5, 0), _xlpm.CENTER) )), "hh:mm AM/PM")</f>
        <v>11:05 AM</v>
      </c>
      <c r="C80" s="27"/>
      <c r="D80" s="52"/>
      <c r="E80" s="52"/>
      <c r="F80" s="53"/>
      <c r="G80" s="53"/>
      <c r="H80" s="53"/>
      <c r="I80" s="98"/>
      <c r="J80" s="163" t="str">
        <f>IF(AND(A77&lt;&gt;"", A77='Regatta Attributes'!$B$4), "Break", "")</f>
        <v/>
      </c>
    </row>
    <row r="81" spans="1:10" ht="16" customHeight="1" x14ac:dyDescent="0.2">
      <c r="A81" s="180"/>
      <c r="B81" s="182"/>
      <c r="C81" s="12"/>
      <c r="D81" s="54"/>
      <c r="E81" s="54"/>
      <c r="F81" s="56"/>
      <c r="G81" s="56"/>
      <c r="H81" s="56"/>
      <c r="I81" s="95"/>
      <c r="J81" s="163" t="str">
        <f>IF(AND(A80&lt;&gt;"", A80='Regatta Attributes'!$B$4), "Break", "")</f>
        <v/>
      </c>
    </row>
    <row r="82" spans="1:10" ht="16" customHeight="1" x14ac:dyDescent="0.2">
      <c r="A82" s="180"/>
      <c r="B82" s="183"/>
      <c r="C82" s="28"/>
      <c r="D82" s="57"/>
      <c r="E82" s="57"/>
      <c r="F82" s="60"/>
      <c r="G82" s="60"/>
      <c r="H82" s="60"/>
      <c r="I82" s="99"/>
      <c r="J82" s="163" t="str">
        <f>IF(AND(A80&lt;&gt;"", A80='Regatta Attributes'!$B$4), "Break", "")</f>
        <v/>
      </c>
    </row>
    <row r="83" spans="1:10" ht="16" customHeight="1" x14ac:dyDescent="0.2">
      <c r="A83" s="180" cm="1">
        <f t="array" ref="A83">_xlfn.LET(_xlpm.EVENT, A80+1, IF($J80="Break", 'Regatta Attributes'!$B$4+1, IF(ISERROR(_xlpm.EVENT), "", IF($J81="Break", "", IF(_xlpm.EVENT &lt;= 'Regatta Attributes'!$B$1, _xlpm.EVENT, "")))))</f>
        <v>27</v>
      </c>
      <c r="B83" s="181" t="str">
        <f>TEXT(IF(A83="", IF($J81="Break", "Break", ""), _xlfn.LET(_xlpm.CENTER, B80 + TIME(0, 'Regatta Attributes'!$B$2, 0), IF(ISERROR(_xlpm.CENTER), VLOOKUP('Regatta Attributes'!$B$4, $A:$B, 2, FALSE) + TIME(0, 'Regatta Attributes'!$B$5, 0), _xlpm.CENTER) )), "hh:mm AM/PM")</f>
        <v>11:10 AM</v>
      </c>
      <c r="C83" s="19"/>
      <c r="D83" s="68"/>
      <c r="E83" s="42"/>
      <c r="F83" s="34"/>
      <c r="G83" s="34"/>
      <c r="H83" s="34"/>
      <c r="I83" s="98"/>
      <c r="J83" s="163" t="str">
        <f>IF(AND(A80&lt;&gt;"", A80='Regatta Attributes'!$B$4), "Break", "")</f>
        <v/>
      </c>
    </row>
    <row r="84" spans="1:10" ht="16" customHeight="1" x14ac:dyDescent="0.2">
      <c r="A84" s="180"/>
      <c r="B84" s="182"/>
      <c r="C84" s="12"/>
      <c r="D84" s="45"/>
      <c r="E84" s="14"/>
      <c r="F84" s="46"/>
      <c r="G84" s="46"/>
      <c r="H84" s="46"/>
      <c r="I84" s="95"/>
      <c r="J84" s="163" t="str">
        <f>IF(AND(A83&lt;&gt;"", A83='Regatta Attributes'!$B$4), "Break", "")</f>
        <v/>
      </c>
    </row>
    <row r="85" spans="1:10" ht="16" customHeight="1" x14ac:dyDescent="0.2">
      <c r="A85" s="180"/>
      <c r="B85" s="183"/>
      <c r="C85" s="28"/>
      <c r="D85" s="65"/>
      <c r="E85" s="66"/>
      <c r="F85" s="63"/>
      <c r="G85" s="63"/>
      <c r="H85" s="63"/>
      <c r="I85" s="99"/>
      <c r="J85" s="163" t="str">
        <f>IF(AND(A83&lt;&gt;"", A83='Regatta Attributes'!$B$4), "Break", "")</f>
        <v/>
      </c>
    </row>
    <row r="86" spans="1:10" ht="16" customHeight="1" x14ac:dyDescent="0.2">
      <c r="A86" s="180" cm="1">
        <f t="array" ref="A86">_xlfn.LET(_xlpm.EVENT, A83+1, IF($J83="Break", 'Regatta Attributes'!$B$4+1, IF(ISERROR(_xlpm.EVENT), "", IF($J84="Break", "", IF(_xlpm.EVENT &lt;= 'Regatta Attributes'!$B$1, _xlpm.EVENT, "")))))</f>
        <v>28</v>
      </c>
      <c r="B86" s="181" t="str">
        <f>TEXT(IF(A86="", IF($J84="Break", "Break", ""), _xlfn.LET(_xlpm.CENTER, B83 + TIME(0, 'Regatta Attributes'!$B$2, 0), IF(ISERROR(_xlpm.CENTER), VLOOKUP('Regatta Attributes'!$B$4, $A:$B, 2, FALSE) + TIME(0, 'Regatta Attributes'!$B$5, 0), _xlpm.CENTER) )), "hh:mm AM/PM")</f>
        <v>11:15 AM</v>
      </c>
      <c r="C86" s="19"/>
      <c r="D86" s="33"/>
      <c r="E86" s="41"/>
      <c r="F86" s="34"/>
      <c r="G86" s="61"/>
      <c r="H86" s="61"/>
      <c r="I86" s="98"/>
      <c r="J86" s="163" t="str">
        <f>IF(AND(A83&lt;&gt;"", A83='Regatta Attributes'!$B$4), "Break", "")</f>
        <v/>
      </c>
    </row>
    <row r="87" spans="1:10" ht="16" customHeight="1" x14ac:dyDescent="0.2">
      <c r="A87" s="180"/>
      <c r="B87" s="182"/>
      <c r="C87" s="12"/>
      <c r="D87" s="54"/>
      <c r="E87" s="13"/>
      <c r="F87" s="46"/>
      <c r="G87" s="55"/>
      <c r="H87" s="55"/>
      <c r="I87" s="95"/>
      <c r="J87" s="163" t="str">
        <f>IF(AND(A86&lt;&gt;"", A86='Regatta Attributes'!$B$4), "Break", "")</f>
        <v/>
      </c>
    </row>
    <row r="88" spans="1:10" ht="16" customHeight="1" x14ac:dyDescent="0.2">
      <c r="A88" s="180"/>
      <c r="B88" s="183"/>
      <c r="C88" s="28"/>
      <c r="D88" s="57"/>
      <c r="E88" s="58"/>
      <c r="F88" s="63"/>
      <c r="G88" s="59"/>
      <c r="H88" s="59"/>
      <c r="I88" s="99"/>
      <c r="J88" s="163" t="str">
        <f>IF(AND(A86&lt;&gt;"", A86='Regatta Attributes'!$B$4), "Break", "")</f>
        <v/>
      </c>
    </row>
    <row r="89" spans="1:10" ht="16" customHeight="1" x14ac:dyDescent="0.2">
      <c r="A89" s="180" cm="1">
        <f t="array" ref="A89">_xlfn.LET(_xlpm.EVENT, A86+1, IF($J86="Break", 'Regatta Attributes'!$B$4+1, IF(ISERROR(_xlpm.EVENT), "", IF($J87="Break", "", IF(_xlpm.EVENT &lt;= 'Regatta Attributes'!$B$1, _xlpm.EVENT, "")))))</f>
        <v>29</v>
      </c>
      <c r="B89" s="181" t="str">
        <f>TEXT(IF(A89="", IF($J87="Break", "Break", ""), _xlfn.LET(_xlpm.CENTER, B86 + TIME(0, 'Regatta Attributes'!$B$2, 0), IF(ISERROR(_xlpm.CENTER), VLOOKUP('Regatta Attributes'!$B$4, $A:$B, 2, FALSE) + TIME(0, 'Regatta Attributes'!$B$5, 0), _xlpm.CENTER) )), "hh:mm AM/PM")</f>
        <v>11:20 AM</v>
      </c>
      <c r="C89" s="18"/>
      <c r="D89" s="31"/>
      <c r="E89" s="34"/>
      <c r="F89" s="34"/>
      <c r="G89" s="34"/>
      <c r="H89" s="34"/>
      <c r="I89" s="98"/>
      <c r="J89" s="163" t="str">
        <f>IF(AND(A86&lt;&gt;"", A86='Regatta Attributes'!$B$4), "Break", "")</f>
        <v/>
      </c>
    </row>
    <row r="90" spans="1:10" ht="16" customHeight="1" x14ac:dyDescent="0.2">
      <c r="A90" s="180"/>
      <c r="B90" s="182"/>
      <c r="C90" s="10"/>
      <c r="D90" s="11"/>
      <c r="E90" s="11"/>
      <c r="F90" s="11"/>
      <c r="G90" s="46"/>
      <c r="H90" s="94"/>
      <c r="I90" s="95"/>
      <c r="J90" s="163" t="str">
        <f>IF(AND(A89&lt;&gt;"", A89='Regatta Attributes'!$B$4), "Break", "")</f>
        <v/>
      </c>
    </row>
    <row r="91" spans="1:10" ht="16" customHeight="1" x14ac:dyDescent="0.2">
      <c r="A91" s="180"/>
      <c r="B91" s="183"/>
      <c r="C91" s="17"/>
      <c r="D91" s="32"/>
      <c r="E91" s="32"/>
      <c r="F91" s="32"/>
      <c r="G91" s="32"/>
      <c r="H91" s="32"/>
      <c r="I91" s="99"/>
      <c r="J91" s="163" t="str">
        <f>IF(AND(A89&lt;&gt;"", A89='Regatta Attributes'!$B$4), "Break", "")</f>
        <v/>
      </c>
    </row>
    <row r="92" spans="1:10" ht="16" customHeight="1" x14ac:dyDescent="0.2">
      <c r="A92" s="180" cm="1">
        <f t="array" ref="A92">_xlfn.LET(_xlpm.EVENT, A89+1, IF($J89="Break", 'Regatta Attributes'!$B$4+1, IF(ISERROR(_xlpm.EVENT), "", IF($J90="Break", "", IF(_xlpm.EVENT &lt;= 'Regatta Attributes'!$B$1, _xlpm.EVENT, "")))))</f>
        <v>30</v>
      </c>
      <c r="B92" s="177" t="str">
        <f>TEXT(IF(A92="", IF($J90="Break", "Break", ""), _xlfn.LET(_xlpm.CENTER, B89 + TIME(0, 'Regatta Attributes'!$B$2, 0), IF(ISERROR(_xlpm.CENTER), VLOOKUP('Regatta Attributes'!$B$4, $A:$B, 2, FALSE) + TIME(0, 'Regatta Attributes'!$B$5, 0), _xlpm.CENTER) )), "hh:mm AM/PM")</f>
        <v>11:25 AM</v>
      </c>
      <c r="C92" s="20"/>
      <c r="D92" s="43"/>
      <c r="E92" s="50"/>
      <c r="F92" s="44"/>
      <c r="G92" s="44"/>
      <c r="H92" s="50"/>
      <c r="I92" s="98"/>
      <c r="J92" s="163" t="str">
        <f>IF(AND(A89&lt;&gt;"", A89='Regatta Attributes'!$B$4), "Break", "")</f>
        <v/>
      </c>
    </row>
    <row r="93" spans="1:10" s="110" customFormat="1" ht="16.5" customHeight="1" x14ac:dyDescent="0.2">
      <c r="A93" s="180"/>
      <c r="B93" s="178"/>
      <c r="C93" s="10"/>
      <c r="D93" s="45"/>
      <c r="E93" s="14"/>
      <c r="F93" s="46"/>
      <c r="G93" s="45"/>
      <c r="H93" s="46"/>
      <c r="I93" s="95"/>
      <c r="J93" s="162" t="str">
        <f>IF(AND(A92&lt;&gt;"", A92='Regatta Attributes'!$B$4), "Break", "")</f>
        <v/>
      </c>
    </row>
    <row r="94" spans="1:10" ht="16" customHeight="1" x14ac:dyDescent="0.2">
      <c r="A94" s="180"/>
      <c r="B94" s="179"/>
      <c r="C94" s="26"/>
      <c r="D94" s="65"/>
      <c r="E94" s="66"/>
      <c r="F94" s="63"/>
      <c r="G94" s="63"/>
      <c r="H94" s="63"/>
      <c r="I94" s="99"/>
      <c r="J94" s="163" t="str">
        <f>IF(AND(A92&lt;&gt;"", A92='Regatta Attributes'!$B$4), "Break", "")</f>
        <v/>
      </c>
    </row>
    <row r="95" spans="1:10" ht="16" customHeight="1" x14ac:dyDescent="0.2">
      <c r="A95" s="184" cm="1">
        <f t="array" ref="A95">_xlfn.LET(_xlpm.EVENT, A92+1, IF($J92="Break", 'Regatta Attributes'!$B$4+1, IF(ISERROR(_xlpm.EVENT), "", IF($J94="Break", "", IF(_xlpm.EVENT &lt;= 'Regatta Attributes'!$B$1, _xlpm.EVENT, "")))))</f>
        <v>31</v>
      </c>
      <c r="B95" s="182" t="str">
        <f>TEXT(IF(A95="", IF($J94="Break", "Break", ""), _xlfn.LET(_xlpm.CENTER, B92 + TIME(0, 'Regatta Attributes'!$B$2, 0), IF(ISERROR(_xlpm.CENTER), VLOOKUP('Regatta Attributes'!$B$4, $A:$B, 2, FALSE) + TIME(0, 'Regatta Attributes'!$B$5, 0), _xlpm.CENTER) )), "hh:mm AM/PM")</f>
        <v>11:30 AM</v>
      </c>
      <c r="C95" s="35"/>
      <c r="D95" s="71"/>
      <c r="E95" s="71"/>
      <c r="F95" s="71"/>
      <c r="G95" s="71"/>
      <c r="H95" s="71"/>
      <c r="I95" s="98"/>
      <c r="J95" s="163" t="str">
        <f>IF(AND(A92&lt;&gt;"", A92='Regatta Attributes'!$B$4), "Break", "")</f>
        <v/>
      </c>
    </row>
    <row r="96" spans="1:10" ht="16" customHeight="1" x14ac:dyDescent="0.2">
      <c r="A96" s="184"/>
      <c r="B96" s="182"/>
      <c r="C96" s="37"/>
      <c r="D96" s="72"/>
      <c r="E96" s="72"/>
      <c r="F96" s="72"/>
      <c r="G96" s="72"/>
      <c r="H96" s="72"/>
      <c r="I96" s="95"/>
      <c r="J96" s="163" t="str">
        <f>IF(AND(A95&lt;&gt;"", A95='Regatta Attributes'!$B$4), "Break", "")</f>
        <v/>
      </c>
    </row>
    <row r="97" spans="1:10" ht="16" customHeight="1" x14ac:dyDescent="0.2">
      <c r="A97" s="184"/>
      <c r="B97" s="183"/>
      <c r="C97" s="39"/>
      <c r="D97" s="73"/>
      <c r="E97" s="73"/>
      <c r="F97" s="73"/>
      <c r="G97" s="73"/>
      <c r="H97" s="73"/>
      <c r="I97" s="99"/>
      <c r="J97" s="163" t="str">
        <f>IF(AND(A95&lt;&gt;"", A95='Regatta Attributes'!$B$4), "Break", "")</f>
        <v/>
      </c>
    </row>
    <row r="98" spans="1:10" ht="16" customHeight="1" x14ac:dyDescent="0.2">
      <c r="A98" s="180" cm="1">
        <f t="array" ref="A98">_xlfn.LET(_xlpm.EVENT, A95+1, IF($J95="Break", 'Regatta Attributes'!$B$4+1, IF(ISERROR(_xlpm.EVENT), "", IF($J96="Break", "", IF(_xlpm.EVENT &lt;= 'Regatta Attributes'!$B$1, _xlpm.EVENT, "")))))</f>
        <v>32</v>
      </c>
      <c r="B98" s="181" t="str">
        <f>TEXT(IF(A98="", IF($J96="Break", "Break", ""), _xlfn.LET(_xlpm.CENTER, B95 + TIME(0, 'Regatta Attributes'!$B$2, 0), IF(ISERROR(_xlpm.CENTER), VLOOKUP('Regatta Attributes'!$B$4, $A:$B, 2, FALSE) + TIME(0, 'Regatta Attributes'!$B$5, 0), _xlpm.CENTER) )), "hh:mm AM/PM")</f>
        <v>11:35 AM</v>
      </c>
      <c r="C98" s="19"/>
      <c r="D98" s="71"/>
      <c r="E98" s="71"/>
      <c r="F98" s="71"/>
      <c r="G98" s="71"/>
      <c r="H98" s="71"/>
      <c r="I98" s="98"/>
      <c r="J98" s="163" t="str">
        <f>IF(AND(A95&lt;&gt;"", A95='Regatta Attributes'!$B$4), "Break", "")</f>
        <v/>
      </c>
    </row>
    <row r="99" spans="1:10" ht="16" customHeight="1" x14ac:dyDescent="0.2">
      <c r="A99" s="180"/>
      <c r="B99" s="182"/>
      <c r="C99" s="12"/>
      <c r="D99" s="72"/>
      <c r="E99" s="72"/>
      <c r="F99" s="72"/>
      <c r="G99" s="72"/>
      <c r="H99" s="72"/>
      <c r="I99" s="95"/>
      <c r="J99" s="163" t="str">
        <f>IF(AND(A98&lt;&gt;"", A98='Regatta Attributes'!$B$4), "Break", "")</f>
        <v/>
      </c>
    </row>
    <row r="100" spans="1:10" ht="16" customHeight="1" x14ac:dyDescent="0.2">
      <c r="A100" s="180"/>
      <c r="B100" s="183"/>
      <c r="C100" s="28"/>
      <c r="D100" s="73"/>
      <c r="E100" s="73"/>
      <c r="F100" s="73"/>
      <c r="G100" s="73"/>
      <c r="H100" s="73"/>
      <c r="I100" s="99"/>
      <c r="J100" s="163" t="str">
        <f>IF(AND(A98&lt;&gt;"", A98='Regatta Attributes'!$B$4), "Break", "")</f>
        <v/>
      </c>
    </row>
    <row r="101" spans="1:10" ht="16" customHeight="1" x14ac:dyDescent="0.2">
      <c r="A101" s="180" cm="1">
        <f t="array" ref="A101">_xlfn.LET(_xlpm.EVENT, A98+1, IF($J98="Break", 'Regatta Attributes'!$B$4+1, IF(ISERROR(_xlpm.EVENT), "", IF($J99="Break", "", IF(_xlpm.EVENT &lt;= 'Regatta Attributes'!$B$1, _xlpm.EVENT, "")))))</f>
        <v>33</v>
      </c>
      <c r="B101" s="181" t="str">
        <f>TEXT(IF(A101="", IF($J99="Break", "Break", ""), _xlfn.LET(_xlpm.CENTER, B98 + TIME(0, 'Regatta Attributes'!$B$2, 0), IF(ISERROR(_xlpm.CENTER), VLOOKUP('Regatta Attributes'!$B$4, $A:$B, 2, FALSE) + TIME(0, 'Regatta Attributes'!$B$5, 0), _xlpm.CENTER) )), "hh:mm AM/PM")</f>
        <v>11:40 AM</v>
      </c>
      <c r="C101" s="19"/>
      <c r="D101" s="71"/>
      <c r="E101" s="71"/>
      <c r="F101" s="71"/>
      <c r="G101" s="71"/>
      <c r="H101" s="71"/>
      <c r="I101" s="98"/>
      <c r="J101" s="163" t="str">
        <f>IF(AND(A98&lt;&gt;"", A98='Regatta Attributes'!$B$4), "Break", "")</f>
        <v/>
      </c>
    </row>
    <row r="102" spans="1:10" ht="16" customHeight="1" x14ac:dyDescent="0.2">
      <c r="A102" s="180"/>
      <c r="B102" s="182"/>
      <c r="C102" s="12"/>
      <c r="D102" s="72"/>
      <c r="E102" s="72"/>
      <c r="F102" s="72"/>
      <c r="G102" s="72"/>
      <c r="H102" s="72"/>
      <c r="I102" s="95"/>
      <c r="J102" s="163" t="str">
        <f>IF(AND(A101&lt;&gt;"", A101='Regatta Attributes'!$B$4), "Break", "")</f>
        <v/>
      </c>
    </row>
    <row r="103" spans="1:10" ht="16" customHeight="1" x14ac:dyDescent="0.2">
      <c r="A103" s="180"/>
      <c r="B103" s="183"/>
      <c r="C103" s="2"/>
      <c r="D103" s="73"/>
      <c r="E103" s="73"/>
      <c r="F103" s="73"/>
      <c r="G103" s="73"/>
      <c r="H103" s="73"/>
      <c r="I103" s="99"/>
      <c r="J103" s="163" t="str">
        <f>IF(AND(A101&lt;&gt;"", A101='Regatta Attributes'!$B$4), "Break", "")</f>
        <v/>
      </c>
    </row>
    <row r="104" spans="1:10" ht="16" customHeight="1" x14ac:dyDescent="0.2">
      <c r="A104" s="180" cm="1">
        <f t="array" ref="A104">_xlfn.LET(_xlpm.EVENT, A101+1, IF($J101="Break", 'Regatta Attributes'!$B$4+1, IF(ISERROR(_xlpm.EVENT), "", IF($J102="Break", "", IF(_xlpm.EVENT &lt;= 'Regatta Attributes'!$B$1, _xlpm.EVENT, "")))))</f>
        <v>34</v>
      </c>
      <c r="B104" s="181" t="str">
        <f>TEXT(IF(A104="", IF($J102="Break", "Break", ""), _xlfn.LET(_xlpm.CENTER, B101 + TIME(0, 'Regatta Attributes'!$B$2, 0), IF(ISERROR(_xlpm.CENTER), VLOOKUP('Regatta Attributes'!$B$4, $A:$B, 2, FALSE) + TIME(0, 'Regatta Attributes'!$B$5, 0), _xlpm.CENTER) )), "hh:mm AM/PM")</f>
        <v>11:45 AM</v>
      </c>
      <c r="C104" s="27"/>
      <c r="D104" s="71"/>
      <c r="E104" s="71"/>
      <c r="F104" s="71"/>
      <c r="G104" s="71"/>
      <c r="H104" s="71"/>
      <c r="I104" s="98"/>
      <c r="J104" s="163" t="str">
        <f>IF(AND(A101&lt;&gt;"", A101='Regatta Attributes'!$B$4), "Break", "")</f>
        <v/>
      </c>
    </row>
    <row r="105" spans="1:10" ht="16" customHeight="1" x14ac:dyDescent="0.2">
      <c r="A105" s="180"/>
      <c r="B105" s="182"/>
      <c r="C105" s="12"/>
      <c r="D105" s="72"/>
      <c r="E105" s="72"/>
      <c r="F105" s="72"/>
      <c r="G105" s="72"/>
      <c r="H105" s="72"/>
      <c r="I105" s="95"/>
      <c r="J105" s="163" t="str">
        <f>IF(AND(A104&lt;&gt;"", A104='Regatta Attributes'!$B$4), "Break", "")</f>
        <v/>
      </c>
    </row>
    <row r="106" spans="1:10" ht="16" customHeight="1" x14ac:dyDescent="0.2">
      <c r="A106" s="180"/>
      <c r="B106" s="183"/>
      <c r="C106" s="2"/>
      <c r="D106" s="80"/>
      <c r="E106" s="80"/>
      <c r="F106" s="80"/>
      <c r="G106" s="80"/>
      <c r="H106" s="80"/>
      <c r="I106" s="99"/>
      <c r="J106" s="163" t="str">
        <f>IF(AND(A104&lt;&gt;"", A104='Regatta Attributes'!$B$4), "Break", "")</f>
        <v/>
      </c>
    </row>
    <row r="107" spans="1:10" ht="16" customHeight="1" x14ac:dyDescent="0.2">
      <c r="A107" s="180" cm="1">
        <f t="array" ref="A107">_xlfn.LET(_xlpm.EVENT, A104+1, IF($J104="Break", 'Regatta Attributes'!$B$4+1, IF(ISERROR(_xlpm.EVENT), "", IF($J105="Break", "", IF(_xlpm.EVENT &lt;= 'Regatta Attributes'!$B$1, _xlpm.EVENT, "")))))</f>
        <v>35</v>
      </c>
      <c r="B107" s="181" t="str">
        <f>TEXT(IF(A107="", IF($J105="Break", "Break", ""), _xlfn.LET(_xlpm.CENTER, B104 + TIME(0, 'Regatta Attributes'!$B$2, 0), IF(ISERROR(_xlpm.CENTER), VLOOKUP('Regatta Attributes'!$B$4, $A:$B, 2, FALSE) + TIME(0, 'Regatta Attributes'!$B$5, 0), _xlpm.CENTER) )), "hh:mm AM/PM")</f>
        <v>11:50 AM</v>
      </c>
      <c r="C107" s="35"/>
      <c r="D107" s="44"/>
      <c r="E107" s="44"/>
      <c r="F107" s="44"/>
      <c r="G107" s="44"/>
      <c r="H107" s="44"/>
      <c r="I107" s="98"/>
      <c r="J107" s="163" t="str">
        <f>IF(AND(A104&lt;&gt;"", A104='Regatta Attributes'!$B$4), "Break", "")</f>
        <v/>
      </c>
    </row>
    <row r="108" spans="1:10" ht="16" customHeight="1" x14ac:dyDescent="0.2">
      <c r="A108" s="180"/>
      <c r="B108" s="182"/>
      <c r="C108" s="37"/>
      <c r="D108" s="78"/>
      <c r="E108" s="78"/>
      <c r="F108" s="79"/>
      <c r="G108" s="79"/>
      <c r="H108" s="78"/>
      <c r="I108" s="95"/>
      <c r="J108" s="163" t="str">
        <f>IF(AND(A107&lt;&gt;"", A107='Regatta Attributes'!$B$4), "Break", "")</f>
        <v/>
      </c>
    </row>
    <row r="109" spans="1:10" ht="16" customHeight="1" x14ac:dyDescent="0.2">
      <c r="A109" s="180"/>
      <c r="B109" s="183"/>
      <c r="C109" s="39"/>
      <c r="D109" s="81"/>
      <c r="E109" s="81"/>
      <c r="F109" s="82"/>
      <c r="G109" s="82"/>
      <c r="H109" s="81"/>
      <c r="I109" s="99"/>
      <c r="J109" s="163" t="str">
        <f>IF(AND(A107&lt;&gt;"", A107='Regatta Attributes'!$B$4), "Break", "")</f>
        <v/>
      </c>
    </row>
    <row r="110" spans="1:10" ht="16" customHeight="1" x14ac:dyDescent="0.2">
      <c r="A110" s="180" cm="1">
        <f t="array" ref="A110">_xlfn.LET(_xlpm.EVENT, A107+1, IF($J107="Break", 'Regatta Attributes'!$B$4+1, IF(ISERROR(_xlpm.EVENT), "", IF($J108="Break", "", IF(_xlpm.EVENT &lt;= 'Regatta Attributes'!$B$1, _xlpm.EVENT, "")))))</f>
        <v>36</v>
      </c>
      <c r="B110" s="181" t="str">
        <f>TEXT(IF(A110="", IF($J108="Break", "Break", ""), _xlfn.LET(_xlpm.CENTER, B107 + TIME(0, 'Regatta Attributes'!$B$2, 0), IF(ISERROR(_xlpm.CENTER), VLOOKUP('Regatta Attributes'!$B$4, $A:$B, 2, FALSE) + TIME(0, 'Regatta Attributes'!$B$5, 0), _xlpm.CENTER) )), "hh:mm AM/PM")</f>
        <v>11:55 AM</v>
      </c>
      <c r="C110" s="20"/>
      <c r="D110" s="43"/>
      <c r="E110" s="50"/>
      <c r="F110" s="44"/>
      <c r="G110" s="44"/>
      <c r="H110" s="50"/>
      <c r="I110" s="98"/>
      <c r="J110" s="163" t="str">
        <f>IF(AND(A107&lt;&gt;"", A107='Regatta Attributes'!$B$4), "Break", "")</f>
        <v/>
      </c>
    </row>
    <row r="111" spans="1:10" ht="16" customHeight="1" x14ac:dyDescent="0.2">
      <c r="A111" s="180"/>
      <c r="B111" s="182"/>
      <c r="C111" s="10"/>
      <c r="D111" s="45"/>
      <c r="E111" s="14"/>
      <c r="F111" s="46"/>
      <c r="G111" s="45"/>
      <c r="H111" s="46"/>
      <c r="I111" s="95"/>
      <c r="J111" s="163" t="str">
        <f>IF(AND(A110&lt;&gt;"", A110='Regatta Attributes'!$B$4), "Break", "")</f>
        <v/>
      </c>
    </row>
    <row r="112" spans="1:10" ht="16" customHeight="1" x14ac:dyDescent="0.2">
      <c r="A112" s="180"/>
      <c r="B112" s="183"/>
      <c r="C112" s="26"/>
      <c r="D112" s="65"/>
      <c r="E112" s="66"/>
      <c r="F112" s="63"/>
      <c r="G112" s="63"/>
      <c r="H112" s="63"/>
      <c r="I112" s="99"/>
      <c r="J112" s="163" t="str">
        <f>IF(AND(A110&lt;&gt;"", A110='Regatta Attributes'!$B$4), "Break", "")</f>
        <v/>
      </c>
    </row>
    <row r="113" spans="1:10" ht="16" customHeight="1" x14ac:dyDescent="0.2">
      <c r="A113" s="180" cm="1">
        <f t="array" ref="A113">_xlfn.LET(_xlpm.EVENT, A110+1, IF($J110="Break", 'Regatta Attributes'!$B$4+1, IF(ISERROR(_xlpm.EVENT), "", IF($J111="Break", "", IF(_xlpm.EVENT &lt;= 'Regatta Attributes'!$B$1, _xlpm.EVENT, "")))))</f>
        <v>37</v>
      </c>
      <c r="B113" s="181" t="str">
        <f>TEXT(IF(A113="", IF($J111="Break", "Break", ""), _xlfn.LET(_xlpm.CENTER, B110 + TIME(0, 'Regatta Attributes'!$B$2, 0), IF(ISERROR(_xlpm.CENTER), VLOOKUP('Regatta Attributes'!$B$4, $A:$B, 2, FALSE) + TIME(0, 'Regatta Attributes'!$B$5, 0), _xlpm.CENTER) )), "hh:mm AM/PM")</f>
        <v>12:00 PM</v>
      </c>
      <c r="C113" s="27"/>
      <c r="D113" s="74"/>
      <c r="E113" s="83"/>
      <c r="F113" s="74"/>
      <c r="G113" s="74"/>
      <c r="H113" s="91"/>
      <c r="I113" s="98"/>
      <c r="J113" s="163" t="str">
        <f>IF(AND(A110&lt;&gt;"", A110='Regatta Attributes'!$B$4), "Break", "")</f>
        <v/>
      </c>
    </row>
    <row r="114" spans="1:10" ht="16" customHeight="1" x14ac:dyDescent="0.2">
      <c r="A114" s="180"/>
      <c r="B114" s="182"/>
      <c r="C114" s="12"/>
      <c r="D114" s="69"/>
      <c r="E114" s="77"/>
      <c r="F114" s="69"/>
      <c r="G114" s="69"/>
      <c r="H114" s="92"/>
      <c r="I114" s="95"/>
      <c r="J114" s="163" t="str">
        <f>IF(AND(A113&lt;&gt;"", A113='Regatta Attributes'!$B$4), "Break", "")</f>
        <v/>
      </c>
    </row>
    <row r="115" spans="1:10" ht="16" customHeight="1" x14ac:dyDescent="0.2">
      <c r="A115" s="180"/>
      <c r="B115" s="183"/>
      <c r="C115" s="28"/>
      <c r="D115" s="76"/>
      <c r="E115" s="84"/>
      <c r="F115" s="76"/>
      <c r="G115" s="76"/>
      <c r="H115" s="93"/>
      <c r="I115" s="99"/>
      <c r="J115" s="163" t="str">
        <f>IF(AND(A113&lt;&gt;"", A113='Regatta Attributes'!$B$4), "Break", "")</f>
        <v/>
      </c>
    </row>
    <row r="116" spans="1:10" ht="16" customHeight="1" x14ac:dyDescent="0.2">
      <c r="A116" s="180" cm="1">
        <f t="array" ref="A116">_xlfn.LET(_xlpm.EVENT, A113+1, IF($J113="Break", 'Regatta Attributes'!$B$4+1, IF(ISERROR(_xlpm.EVENT), "", IF($J114="Break", "", IF(_xlpm.EVENT &lt;= 'Regatta Attributes'!$B$1, _xlpm.EVENT, "")))))</f>
        <v>38</v>
      </c>
      <c r="B116" s="181" t="str">
        <f>TEXT(IF(A116="", IF($J114="Break", "Break", ""), _xlfn.LET(_xlpm.CENTER, B113 + TIME(0, 'Regatta Attributes'!$B$2, 0), IF(ISERROR(_xlpm.CENTER), VLOOKUP('Regatta Attributes'!$B$4, $A:$B, 2, FALSE) + TIME(0, 'Regatta Attributes'!$B$5, 0), _xlpm.CENTER) )), "hh:mm AM/PM")</f>
        <v>12:05 PM</v>
      </c>
      <c r="C116" s="20"/>
      <c r="D116" s="43"/>
      <c r="E116" s="50"/>
      <c r="F116" s="44"/>
      <c r="G116" s="44"/>
      <c r="H116" s="50"/>
      <c r="I116" s="98"/>
      <c r="J116" s="163" t="str">
        <f>IF(AND(A113&lt;&gt;"", A113='Regatta Attributes'!$B$4), "Break", "")</f>
        <v/>
      </c>
    </row>
    <row r="117" spans="1:10" ht="16" customHeight="1" x14ac:dyDescent="0.2">
      <c r="A117" s="180"/>
      <c r="B117" s="182"/>
      <c r="C117" s="10"/>
      <c r="D117" s="45"/>
      <c r="E117" s="14"/>
      <c r="F117" s="46"/>
      <c r="G117" s="45"/>
      <c r="H117" s="46"/>
      <c r="I117" s="95"/>
      <c r="J117" s="163" t="str">
        <f>IF(AND(A116&lt;&gt;"", A116='Regatta Attributes'!$B$4), "Break", "")</f>
        <v/>
      </c>
    </row>
    <row r="118" spans="1:10" ht="16" customHeight="1" x14ac:dyDescent="0.2">
      <c r="A118" s="180"/>
      <c r="B118" s="183"/>
      <c r="C118" s="26"/>
      <c r="D118" s="65"/>
      <c r="E118" s="66"/>
      <c r="F118" s="63"/>
      <c r="G118" s="63"/>
      <c r="H118" s="63"/>
      <c r="I118" s="99"/>
      <c r="J118" s="163" t="str">
        <f>IF(AND(A116&lt;&gt;"", A116='Regatta Attributes'!$B$4), "Break", "")</f>
        <v/>
      </c>
    </row>
    <row r="119" spans="1:10" ht="16" customHeight="1" x14ac:dyDescent="0.2">
      <c r="A119" s="180" cm="1">
        <f t="array" ref="A119">_xlfn.LET(_xlpm.EVENT, A116+1, IF($J116="Break", 'Regatta Attributes'!$B$4+1, IF(ISERROR(_xlpm.EVENT), "", IF($J117="Break", "", IF(_xlpm.EVENT &lt;= 'Regatta Attributes'!$B$1, _xlpm.EVENT, "")))))</f>
        <v>39</v>
      </c>
      <c r="B119" s="181" t="str">
        <f>TEXT(IF(A119="", IF($J117="Break", "Break", ""), _xlfn.LET(_xlpm.CENTER, B116 + TIME(0, 'Regatta Attributes'!$B$2, 0), IF(ISERROR(_xlpm.CENTER), VLOOKUP('Regatta Attributes'!$B$4, $A:$B, 2, FALSE) + TIME(0, 'Regatta Attributes'!$B$5, 0), _xlpm.CENTER) )), "hh:mm AM/PM")</f>
        <v>12:10 PM</v>
      </c>
      <c r="C119" s="27"/>
      <c r="D119" s="36"/>
      <c r="E119" s="36"/>
      <c r="F119" s="36"/>
      <c r="G119" s="36"/>
      <c r="H119" s="36"/>
      <c r="I119" s="98"/>
      <c r="J119" s="163" t="str">
        <f>IF(AND(A116&lt;&gt;"", A116='Regatta Attributes'!$B$4), "Break", "")</f>
        <v/>
      </c>
    </row>
    <row r="120" spans="1:10" ht="16" customHeight="1" x14ac:dyDescent="0.2">
      <c r="A120" s="180"/>
      <c r="B120" s="182"/>
      <c r="C120" s="12"/>
      <c r="D120" s="38"/>
      <c r="E120" s="38"/>
      <c r="F120" s="38"/>
      <c r="G120" s="38"/>
      <c r="H120" s="38"/>
      <c r="I120" s="95"/>
      <c r="J120" s="163" t="str">
        <f>IF(AND(A119&lt;&gt;"", A119='Regatta Attributes'!$B$4), "Break", "")</f>
        <v/>
      </c>
    </row>
    <row r="121" spans="1:10" ht="16" customHeight="1" x14ac:dyDescent="0.2">
      <c r="A121" s="180"/>
      <c r="B121" s="183"/>
      <c r="C121" s="2"/>
      <c r="D121" s="73"/>
      <c r="E121" s="73"/>
      <c r="F121" s="73"/>
      <c r="G121" s="73"/>
      <c r="H121" s="73"/>
      <c r="I121" s="99"/>
      <c r="J121" s="163" t="str">
        <f>IF(AND(A119&lt;&gt;"", A119='Regatta Attributes'!$B$4), "Break", "")</f>
        <v/>
      </c>
    </row>
    <row r="122" spans="1:10" ht="16" customHeight="1" x14ac:dyDescent="0.2">
      <c r="A122" s="180" cm="1">
        <f t="array" ref="A122">_xlfn.LET(_xlpm.EVENT, A119+1, IF($J119="Break", 'Regatta Attributes'!$B$4+1, IF(ISERROR(_xlpm.EVENT), "", IF($J120="Break", "", IF(_xlpm.EVENT &lt;= 'Regatta Attributes'!$B$1, _xlpm.EVENT, "")))))</f>
        <v>40</v>
      </c>
      <c r="B122" s="177" t="str">
        <f>TEXT(IF(A122="", IF($J120="Break", "Break", ""), _xlfn.LET(_xlpm.CENTER, B119 + TIME(0, 'Regatta Attributes'!$B$2, 0), IF(ISERROR(_xlpm.CENTER), VLOOKUP('Regatta Attributes'!$B$4, $A:$B, 2, FALSE) + TIME(0, 'Regatta Attributes'!$B$5, 0), _xlpm.CENTER) )), "hh:mm AM/PM")</f>
        <v>12:15 PM</v>
      </c>
      <c r="C122" s="20"/>
      <c r="D122" s="43"/>
      <c r="E122" s="50"/>
      <c r="F122" s="44"/>
      <c r="G122" s="44"/>
      <c r="H122" s="50"/>
      <c r="I122" s="98"/>
      <c r="J122" s="163" t="str">
        <f>IF(AND(A119&lt;&gt;"", A119='Regatta Attributes'!$B$4), "Break", "")</f>
        <v/>
      </c>
    </row>
    <row r="123" spans="1:10" s="110" customFormat="1" ht="17.25" customHeight="1" x14ac:dyDescent="0.2">
      <c r="A123" s="180"/>
      <c r="B123" s="178"/>
      <c r="C123" s="10"/>
      <c r="D123" s="45"/>
      <c r="E123" s="14"/>
      <c r="F123" s="46"/>
      <c r="G123" s="45"/>
      <c r="H123" s="46"/>
      <c r="I123" s="99"/>
      <c r="J123" s="162" t="str">
        <f>IF(AND(A122&lt;&gt;"", A122='Regatta Attributes'!$B$4), "Break", "")</f>
        <v>Break</v>
      </c>
    </row>
    <row r="124" spans="1:10" ht="16" customHeight="1" x14ac:dyDescent="0.2">
      <c r="A124" s="180"/>
      <c r="B124" s="179"/>
      <c r="C124" s="26"/>
      <c r="D124" s="65"/>
      <c r="E124" s="66"/>
      <c r="F124" s="63"/>
      <c r="G124" s="63"/>
      <c r="H124" s="63"/>
      <c r="I124" s="133"/>
      <c r="J124" s="163" t="str">
        <f>IF(AND(A122&lt;&gt;"", A122='Regatta Attributes'!$B$4), "Break", "")</f>
        <v>Break</v>
      </c>
    </row>
    <row r="125" spans="1:10" ht="16" customHeight="1" x14ac:dyDescent="0.2">
      <c r="A125" s="184" t="str" cm="1">
        <f t="array" ref="A125">_xlfn.LET(_xlpm.EVENT, A122+1, IF($J122="Break", 'Regatta Attributes'!$B$4+1, IF(ISERROR(_xlpm.EVENT), "", IF($J124="Break", "", IF(_xlpm.EVENT &lt;= 'Regatta Attributes'!$B$1, _xlpm.EVENT, "")))))</f>
        <v/>
      </c>
      <c r="B125" s="182" t="str">
        <f>TEXT(IF(A125="", IF($J124="Break", "Break", ""), _xlfn.LET(_xlpm.CENTER, B122 + TIME(0, 'Regatta Attributes'!$B$2, 0), IF(ISERROR(_xlpm.CENTER), VLOOKUP('Regatta Attributes'!$B$4, $A:$B, 2, FALSE) + TIME(0, 'Regatta Attributes'!$B$5, 0), _xlpm.CENTER) )), "hh:mm AM/PM")</f>
        <v>Break</v>
      </c>
      <c r="C125" s="20"/>
      <c r="D125" s="43"/>
      <c r="E125" s="50"/>
      <c r="F125" s="44"/>
      <c r="G125" s="44"/>
      <c r="H125" s="50"/>
      <c r="I125" s="98"/>
      <c r="J125" s="163" t="str">
        <f>IF(AND(A122&lt;&gt;"", A122='Regatta Attributes'!$B$4), "Break", "")</f>
        <v>Break</v>
      </c>
    </row>
    <row r="126" spans="1:10" ht="16" customHeight="1" x14ac:dyDescent="0.2">
      <c r="A126" s="184"/>
      <c r="B126" s="182"/>
      <c r="C126" s="10"/>
      <c r="D126" s="45"/>
      <c r="E126" s="14"/>
      <c r="F126" s="46"/>
      <c r="G126" s="45"/>
      <c r="H126" s="46"/>
      <c r="I126" s="95"/>
      <c r="J126" s="163" t="str">
        <f>IF(AND(A125&lt;&gt;"", A125='Regatta Attributes'!$B$4), "Break", "")</f>
        <v/>
      </c>
    </row>
    <row r="127" spans="1:10" ht="16" customHeight="1" x14ac:dyDescent="0.2">
      <c r="A127" s="184"/>
      <c r="B127" s="183"/>
      <c r="C127" s="26"/>
      <c r="D127" s="65"/>
      <c r="E127" s="66"/>
      <c r="F127" s="63"/>
      <c r="G127" s="63"/>
      <c r="H127" s="63"/>
      <c r="I127" s="99"/>
      <c r="J127" s="163" t="str">
        <f>IF(AND(A125&lt;&gt;"", A125='Regatta Attributes'!$B$4), "Break", "")</f>
        <v/>
      </c>
    </row>
    <row r="128" spans="1:10" ht="16" customHeight="1" x14ac:dyDescent="0.2">
      <c r="A128" s="180" cm="1">
        <f t="array" ref="A128">_xlfn.LET(_xlpm.EVENT, A125+1, IF($J125="Break", 'Regatta Attributes'!$B$4+1, IF(ISERROR(_xlpm.EVENT), "", IF($J126="Break", "", IF(_xlpm.EVENT &lt;= 'Regatta Attributes'!$B$1, _xlpm.EVENT, "")))))</f>
        <v>41</v>
      </c>
      <c r="B128" s="181" t="str">
        <f>TEXT(IF(A128="", IF($J126="Break", "Break", ""), _xlfn.LET(_xlpm.CENTER, B125 + TIME(0, 'Regatta Attributes'!$B$2, 0), IF(ISERROR(_xlpm.CENTER), VLOOKUP('Regatta Attributes'!$B$4, $A:$B, 2, FALSE) + TIME(0, 'Regatta Attributes'!$B$5, 0), _xlpm.CENTER) )), "hh:mm AM/PM")</f>
        <v>01:22 PM</v>
      </c>
      <c r="C128" s="35"/>
      <c r="D128" s="36"/>
      <c r="E128" s="36"/>
      <c r="F128" s="36"/>
      <c r="G128" s="36"/>
      <c r="H128" s="36"/>
      <c r="I128" s="98"/>
      <c r="J128" s="163" t="str">
        <f>IF(AND(A125&lt;&gt;"", A125='Regatta Attributes'!$B$4), "Break", "")</f>
        <v/>
      </c>
    </row>
    <row r="129" spans="1:10" ht="16" customHeight="1" x14ac:dyDescent="0.2">
      <c r="A129" s="180"/>
      <c r="B129" s="182"/>
      <c r="C129" s="37"/>
      <c r="D129" s="38"/>
      <c r="E129" s="38"/>
      <c r="F129" s="38"/>
      <c r="G129" s="38"/>
      <c r="H129" s="38"/>
      <c r="I129" s="95"/>
      <c r="J129" s="163" t="str">
        <f>IF(AND(A128&lt;&gt;"", A128='Regatta Attributes'!$B$4), "Break", "")</f>
        <v/>
      </c>
    </row>
    <row r="130" spans="1:10" ht="16" customHeight="1" x14ac:dyDescent="0.2">
      <c r="A130" s="180"/>
      <c r="B130" s="183"/>
      <c r="C130" s="39"/>
      <c r="D130" s="40"/>
      <c r="E130" s="40"/>
      <c r="F130" s="40"/>
      <c r="G130" s="40"/>
      <c r="H130" s="40"/>
      <c r="I130" s="99"/>
      <c r="J130" s="163" t="str">
        <f>IF(AND(A128&lt;&gt;"", A128='Regatta Attributes'!$B$4), "Break", "")</f>
        <v/>
      </c>
    </row>
    <row r="131" spans="1:10" ht="16" customHeight="1" x14ac:dyDescent="0.2">
      <c r="A131" s="180" cm="1">
        <f t="array" ref="A131">_xlfn.LET(_xlpm.EVENT, A128+1, IF($J128="Break", 'Regatta Attributes'!$B$4+1, IF(ISERROR(_xlpm.EVENT), "", IF($J129="Break", "", IF(_xlpm.EVENT &lt;= 'Regatta Attributes'!$B$1, _xlpm.EVENT, "")))))</f>
        <v>42</v>
      </c>
      <c r="B131" s="181" t="str">
        <f>TEXT(IF(A131="", IF($J129="Break", "Break", ""), _xlfn.LET(_xlpm.CENTER, B128 + TIME(0, 'Regatta Attributes'!$B$2, 0), IF(ISERROR(_xlpm.CENTER), VLOOKUP('Regatta Attributes'!$B$4, $A:$B, 2, FALSE) + TIME(0, 'Regatta Attributes'!$B$5, 0), _xlpm.CENTER) )), "hh:mm AM/PM")</f>
        <v>01:27 PM</v>
      </c>
      <c r="C131" s="20"/>
      <c r="D131" s="43"/>
      <c r="E131" s="50"/>
      <c r="F131" s="44"/>
      <c r="G131" s="44"/>
      <c r="H131" s="50"/>
      <c r="I131" s="98"/>
      <c r="J131" s="163" t="str">
        <f>IF(AND(A128&lt;&gt;"", A128='Regatta Attributes'!$B$4), "Break", "")</f>
        <v/>
      </c>
    </row>
    <row r="132" spans="1:10" ht="16" customHeight="1" x14ac:dyDescent="0.2">
      <c r="A132" s="180"/>
      <c r="B132" s="182"/>
      <c r="C132" s="10"/>
      <c r="D132" s="45"/>
      <c r="E132" s="14"/>
      <c r="F132" s="46"/>
      <c r="G132" s="45"/>
      <c r="H132" s="46"/>
      <c r="I132" s="95"/>
      <c r="J132" s="163" t="str">
        <f>IF(AND(A131&lt;&gt;"", A131='Regatta Attributes'!$B$4), "Break", "")</f>
        <v/>
      </c>
    </row>
    <row r="133" spans="1:10" ht="16" customHeight="1" x14ac:dyDescent="0.2">
      <c r="A133" s="180"/>
      <c r="B133" s="183"/>
      <c r="C133" s="26"/>
      <c r="D133" s="65"/>
      <c r="E133" s="66"/>
      <c r="F133" s="63"/>
      <c r="G133" s="63"/>
      <c r="H133" s="63"/>
      <c r="I133" s="99"/>
      <c r="J133" s="163" t="str">
        <f>IF(AND(A131&lt;&gt;"", A131='Regatta Attributes'!$B$4), "Break", "")</f>
        <v/>
      </c>
    </row>
    <row r="134" spans="1:10" ht="16" customHeight="1" x14ac:dyDescent="0.2">
      <c r="A134" s="180" cm="1">
        <f t="array" ref="A134">_xlfn.LET(_xlpm.EVENT, A131+1, IF($J131="Break", 'Regatta Attributes'!$B$4+1, IF(ISERROR(_xlpm.EVENT), "", IF($J132="Break", "", IF(_xlpm.EVENT &lt;= 'Regatta Attributes'!$B$1, _xlpm.EVENT, "")))))</f>
        <v>43</v>
      </c>
      <c r="B134" s="181" t="str">
        <f>TEXT(IF(A134="", IF($J132="Break", "Break", ""), _xlfn.LET(_xlpm.CENTER, B131 + TIME(0, 'Regatta Attributes'!$B$2, 0), IF(ISERROR(_xlpm.CENTER), VLOOKUP('Regatta Attributes'!$B$4, $A:$B, 2, FALSE) + TIME(0, 'Regatta Attributes'!$B$5, 0), _xlpm.CENTER) )), "hh:mm AM/PM")</f>
        <v>01:32 PM</v>
      </c>
      <c r="C134" s="19"/>
      <c r="D134" s="44"/>
      <c r="E134" s="44"/>
      <c r="F134" s="44"/>
      <c r="G134" s="44"/>
      <c r="H134" s="44"/>
      <c r="I134" s="98"/>
      <c r="J134" s="163" t="str">
        <f>IF(AND(A131&lt;&gt;"", A131='Regatta Attributes'!$B$4), "Break", "")</f>
        <v/>
      </c>
    </row>
    <row r="135" spans="1:10" ht="16" customHeight="1" x14ac:dyDescent="0.2">
      <c r="A135" s="180"/>
      <c r="B135" s="182"/>
      <c r="C135" s="12"/>
      <c r="D135" s="54"/>
      <c r="E135" s="11"/>
      <c r="F135" s="11"/>
      <c r="G135" s="11"/>
      <c r="H135" s="54"/>
      <c r="I135" s="95"/>
      <c r="J135" s="163" t="str">
        <f>IF(AND(A134&lt;&gt;"", A134='Regatta Attributes'!$B$4), "Break", "")</f>
        <v/>
      </c>
    </row>
    <row r="136" spans="1:10" ht="16" customHeight="1" x14ac:dyDescent="0.2">
      <c r="A136" s="180"/>
      <c r="B136" s="183"/>
      <c r="C136" s="2"/>
      <c r="D136" s="67"/>
      <c r="E136" s="32"/>
      <c r="F136" s="32"/>
      <c r="G136" s="32"/>
      <c r="H136" s="67"/>
      <c r="I136" s="99"/>
      <c r="J136" s="163" t="str">
        <f>IF(AND(A134&lt;&gt;"", A134='Regatta Attributes'!$B$4), "Break", "")</f>
        <v/>
      </c>
    </row>
    <row r="137" spans="1:10" ht="16" customHeight="1" x14ac:dyDescent="0.2">
      <c r="A137" s="180" cm="1">
        <f t="array" ref="A137">_xlfn.LET(_xlpm.EVENT, A134+1, IF($J134="Break", 'Regatta Attributes'!$B$4+1, IF(ISERROR(_xlpm.EVENT), "", IF($J135="Break", "", IF(_xlpm.EVENT &lt;= 'Regatta Attributes'!$B$1, _xlpm.EVENT, "")))))</f>
        <v>44</v>
      </c>
      <c r="B137" s="181" t="str">
        <f>TEXT(IF(A137="", IF($J135="Break", "Break", ""), _xlfn.LET(_xlpm.CENTER, B134 + TIME(0, 'Regatta Attributes'!$B$2, 0), IF(ISERROR(_xlpm.CENTER), VLOOKUP('Regatta Attributes'!$B$4, $A:$B, 2, FALSE) + TIME(0, 'Regatta Attributes'!$B$5, 0), _xlpm.CENTER) )), "hh:mm AM/PM")</f>
        <v>01:37 PM</v>
      </c>
      <c r="C137" s="20"/>
      <c r="D137" s="43"/>
      <c r="E137" s="50"/>
      <c r="F137" s="44"/>
      <c r="G137" s="44"/>
      <c r="H137" s="50"/>
      <c r="I137" s="98"/>
      <c r="J137" s="163" t="str">
        <f>IF(AND(A134&lt;&gt;"", A134='Regatta Attributes'!$B$4), "Break", "")</f>
        <v/>
      </c>
    </row>
    <row r="138" spans="1:10" ht="16" customHeight="1" x14ac:dyDescent="0.2">
      <c r="A138" s="180"/>
      <c r="B138" s="182"/>
      <c r="C138" s="10"/>
      <c r="D138" s="45"/>
      <c r="E138" s="14"/>
      <c r="F138" s="46"/>
      <c r="G138" s="45"/>
      <c r="H138" s="46"/>
      <c r="I138" s="95"/>
      <c r="J138" s="163" t="str">
        <f>IF(AND(A137&lt;&gt;"", A137='Regatta Attributes'!$B$4), "Break", "")</f>
        <v/>
      </c>
    </row>
    <row r="139" spans="1:10" ht="16" customHeight="1" x14ac:dyDescent="0.2">
      <c r="A139" s="180"/>
      <c r="B139" s="183"/>
      <c r="C139" s="26"/>
      <c r="D139" s="65"/>
      <c r="E139" s="66"/>
      <c r="F139" s="63"/>
      <c r="G139" s="63"/>
      <c r="H139" s="63"/>
      <c r="I139" s="99"/>
      <c r="J139" s="163" t="str">
        <f>IF(AND(A137&lt;&gt;"", A137='Regatta Attributes'!$B$4), "Break", "")</f>
        <v/>
      </c>
    </row>
    <row r="140" spans="1:10" ht="16" customHeight="1" x14ac:dyDescent="0.2">
      <c r="A140" s="180" cm="1">
        <f t="array" ref="A140">_xlfn.LET(_xlpm.EVENT, A137+1, IF($J137="Break", 'Regatta Attributes'!$B$4+1, IF(ISERROR(_xlpm.EVENT), "", IF($J138="Break", "", IF(_xlpm.EVENT &lt;= 'Regatta Attributes'!$B$1, _xlpm.EVENT, "")))))</f>
        <v>45</v>
      </c>
      <c r="B140" s="181" t="str">
        <f>TEXT(IF(A140="", IF($J138="Break", "Break", ""), _xlfn.LET(_xlpm.CENTER, B137 + TIME(0, 'Regatta Attributes'!$B$2, 0), IF(ISERROR(_xlpm.CENTER), VLOOKUP('Regatta Attributes'!$B$4, $A:$B, 2, FALSE) + TIME(0, 'Regatta Attributes'!$B$5, 0), _xlpm.CENTER) )), "hh:mm AM/PM")</f>
        <v>01:42 PM</v>
      </c>
      <c r="C140" s="20"/>
      <c r="D140" s="43"/>
      <c r="E140" s="50"/>
      <c r="F140" s="44"/>
      <c r="G140" s="44"/>
      <c r="H140" s="50"/>
      <c r="I140" s="98"/>
      <c r="J140" s="163" t="str">
        <f>IF(AND(A137&lt;&gt;"", A137='Regatta Attributes'!$B$4), "Break", "")</f>
        <v/>
      </c>
    </row>
    <row r="141" spans="1:10" ht="16" customHeight="1" x14ac:dyDescent="0.2">
      <c r="A141" s="180"/>
      <c r="B141" s="182"/>
      <c r="C141" s="10"/>
      <c r="D141" s="45"/>
      <c r="E141" s="14"/>
      <c r="F141" s="46"/>
      <c r="G141" s="45"/>
      <c r="H141" s="46"/>
      <c r="I141" s="95"/>
      <c r="J141" s="163" t="str">
        <f>IF(AND(A140&lt;&gt;"", A140='Regatta Attributes'!$B$4), "Break", "")</f>
        <v/>
      </c>
    </row>
    <row r="142" spans="1:10" ht="16" customHeight="1" x14ac:dyDescent="0.2">
      <c r="A142" s="180"/>
      <c r="B142" s="183"/>
      <c r="C142" s="26"/>
      <c r="D142" s="65"/>
      <c r="E142" s="66"/>
      <c r="F142" s="63"/>
      <c r="G142" s="63"/>
      <c r="H142" s="63"/>
      <c r="I142" s="99"/>
      <c r="J142" s="163" t="str">
        <f>IF(AND(A140&lt;&gt;"", A140='Regatta Attributes'!$B$4), "Break", "")</f>
        <v/>
      </c>
    </row>
    <row r="143" spans="1:10" ht="16" customHeight="1" x14ac:dyDescent="0.2">
      <c r="A143" s="180" cm="1">
        <f t="array" ref="A143">_xlfn.LET(_xlpm.EVENT, A140+1, IF($J140="Break", 'Regatta Attributes'!$B$4+1, IF(ISERROR(_xlpm.EVENT), "", IF($J141="Break", "", IF(_xlpm.EVENT &lt;= 'Regatta Attributes'!$B$1, _xlpm.EVENT, "")))))</f>
        <v>46</v>
      </c>
      <c r="B143" s="181" t="str">
        <f>TEXT(IF(A143="", IF($J141="Break", "Break", ""), _xlfn.LET(_xlpm.CENTER, B140 + TIME(0, 'Regatta Attributes'!$B$2, 0), IF(ISERROR(_xlpm.CENTER), VLOOKUP('Regatta Attributes'!$B$4, $A:$B, 2, FALSE) + TIME(0, 'Regatta Attributes'!$B$5, 0), _xlpm.CENTER) )), "hh:mm AM/PM")</f>
        <v>01:47 PM</v>
      </c>
      <c r="C143" s="20"/>
      <c r="D143" s="43"/>
      <c r="E143" s="50"/>
      <c r="F143" s="44"/>
      <c r="G143" s="44"/>
      <c r="H143" s="50"/>
      <c r="I143" s="98"/>
      <c r="J143" s="163" t="str">
        <f>IF(AND(A140&lt;&gt;"", A140='Regatta Attributes'!$B$4), "Break", "")</f>
        <v/>
      </c>
    </row>
    <row r="144" spans="1:10" ht="16" customHeight="1" x14ac:dyDescent="0.2">
      <c r="A144" s="180"/>
      <c r="B144" s="182"/>
      <c r="C144" s="10"/>
      <c r="D144" s="45"/>
      <c r="E144" s="14"/>
      <c r="F144" s="46"/>
      <c r="G144" s="45"/>
      <c r="H144" s="46"/>
      <c r="I144" s="95"/>
      <c r="J144" s="163" t="str">
        <f>IF(AND(A143&lt;&gt;"", A143='Regatta Attributes'!$B$4), "Break", "")</f>
        <v/>
      </c>
    </row>
    <row r="145" spans="1:10" ht="16" customHeight="1" x14ac:dyDescent="0.2">
      <c r="A145" s="180"/>
      <c r="B145" s="183"/>
      <c r="C145" s="26"/>
      <c r="D145" s="65"/>
      <c r="E145" s="66"/>
      <c r="F145" s="63"/>
      <c r="G145" s="63"/>
      <c r="H145" s="63"/>
      <c r="I145" s="99"/>
      <c r="J145" s="163" t="str">
        <f>IF(AND(A143&lt;&gt;"", A143='Regatta Attributes'!$B$4), "Break", "")</f>
        <v/>
      </c>
    </row>
    <row r="146" spans="1:10" ht="16" customHeight="1" x14ac:dyDescent="0.2">
      <c r="A146" s="180" cm="1">
        <f t="array" ref="A146">_xlfn.LET(_xlpm.EVENT, A143+1, IF($J143="Break", 'Regatta Attributes'!$B$4+1, IF(ISERROR(_xlpm.EVENT), "", IF($J144="Break", "", IF(_xlpm.EVENT &lt;= 'Regatta Attributes'!$B$1, _xlpm.EVENT, "")))))</f>
        <v>47</v>
      </c>
      <c r="B146" s="181" t="str">
        <f>TEXT(IF(A146="", IF($J144="Break", "Break", ""), _xlfn.LET(_xlpm.CENTER, B143 + TIME(0, 'Regatta Attributes'!$B$2, 0), IF(ISERROR(_xlpm.CENTER), VLOOKUP('Regatta Attributes'!$B$4, $A:$B, 2, FALSE) + TIME(0, 'Regatta Attributes'!$B$5, 0), _xlpm.CENTER) )), "hh:mm AM/PM")</f>
        <v>01:52 PM</v>
      </c>
      <c r="C146" s="20"/>
      <c r="D146" s="43"/>
      <c r="E146" s="50"/>
      <c r="F146" s="44"/>
      <c r="G146" s="44"/>
      <c r="H146" s="50"/>
      <c r="I146" s="98"/>
      <c r="J146" s="163" t="str">
        <f>IF(AND(A143&lt;&gt;"", A143='Regatta Attributes'!$B$4), "Break", "")</f>
        <v/>
      </c>
    </row>
    <row r="147" spans="1:10" ht="16" customHeight="1" x14ac:dyDescent="0.2">
      <c r="A147" s="180"/>
      <c r="B147" s="182"/>
      <c r="C147" s="10"/>
      <c r="D147" s="45"/>
      <c r="E147" s="14"/>
      <c r="F147" s="46"/>
      <c r="G147" s="45"/>
      <c r="H147" s="46"/>
      <c r="I147" s="95"/>
      <c r="J147" s="163" t="str">
        <f>IF(AND(A146&lt;&gt;"", A146='Regatta Attributes'!$B$4), "Break", "")</f>
        <v/>
      </c>
    </row>
    <row r="148" spans="1:10" ht="16" customHeight="1" x14ac:dyDescent="0.2">
      <c r="A148" s="180"/>
      <c r="B148" s="183"/>
      <c r="C148" s="26"/>
      <c r="D148" s="65"/>
      <c r="E148" s="66"/>
      <c r="F148" s="63"/>
      <c r="G148" s="63"/>
      <c r="H148" s="63"/>
      <c r="I148" s="99"/>
      <c r="J148" s="163" t="str">
        <f>IF(AND(A146&lt;&gt;"", A146='Regatta Attributes'!$B$4), "Break", "")</f>
        <v/>
      </c>
    </row>
    <row r="149" spans="1:10" ht="16" customHeight="1" x14ac:dyDescent="0.2">
      <c r="A149" s="180" cm="1">
        <f t="array" ref="A149">_xlfn.LET(_xlpm.EVENT, A146+1, IF($J146="Break", 'Regatta Attributes'!$B$4+1, IF(ISERROR(_xlpm.EVENT), "", IF($J147="Break", "", IF(_xlpm.EVENT &lt;= 'Regatta Attributes'!$B$1, _xlpm.EVENT, "")))))</f>
        <v>48</v>
      </c>
      <c r="B149" s="181" t="str">
        <f>TEXT(IF(A149="", IF($J147="Break", "Break", ""), _xlfn.LET(_xlpm.CENTER, B146 + TIME(0, 'Regatta Attributes'!$B$2, 0), IF(ISERROR(_xlpm.CENTER), VLOOKUP('Regatta Attributes'!$B$4, $A:$B, 2, FALSE) + TIME(0, 'Regatta Attributes'!$B$5, 0), _xlpm.CENTER) )), "hh:mm AM/PM")</f>
        <v>01:57 PM</v>
      </c>
      <c r="C149" s="20"/>
      <c r="D149" s="43"/>
      <c r="E149" s="50"/>
      <c r="F149" s="44"/>
      <c r="G149" s="44"/>
      <c r="H149" s="50"/>
      <c r="I149" s="98"/>
      <c r="J149" s="163" t="str">
        <f>IF(AND(A146&lt;&gt;"", A146='Regatta Attributes'!$B$4), "Break", "")</f>
        <v/>
      </c>
    </row>
    <row r="150" spans="1:10" ht="16" customHeight="1" x14ac:dyDescent="0.2">
      <c r="A150" s="180"/>
      <c r="B150" s="182"/>
      <c r="C150" s="10"/>
      <c r="D150" s="45"/>
      <c r="E150" s="14"/>
      <c r="F150" s="46"/>
      <c r="G150" s="45"/>
      <c r="H150" s="46"/>
      <c r="I150" s="95"/>
      <c r="J150" s="163" t="str">
        <f>IF(AND(A149&lt;&gt;"", A149='Regatta Attributes'!$B$4), "Break", "")</f>
        <v/>
      </c>
    </row>
    <row r="151" spans="1:10" ht="16" customHeight="1" x14ac:dyDescent="0.2">
      <c r="A151" s="180"/>
      <c r="B151" s="183"/>
      <c r="C151" s="26"/>
      <c r="D151" s="65"/>
      <c r="E151" s="66"/>
      <c r="F151" s="63"/>
      <c r="G151" s="63"/>
      <c r="H151" s="63"/>
      <c r="I151" s="99"/>
      <c r="J151" s="163" t="str">
        <f>IF(AND(A149&lt;&gt;"", A149='Regatta Attributes'!$B$4), "Break", "")</f>
        <v/>
      </c>
    </row>
    <row r="152" spans="1:10" ht="16" customHeight="1" x14ac:dyDescent="0.2">
      <c r="A152" s="180" cm="1">
        <f t="array" ref="A152">_xlfn.LET(_xlpm.EVENT, A149+1, IF($J149="Break", 'Regatta Attributes'!$B$4+1, IF(ISERROR(_xlpm.EVENT), "", IF($J150="Break", "", IF(_xlpm.EVENT &lt;= 'Regatta Attributes'!$B$1, _xlpm.EVENT, "")))))</f>
        <v>49</v>
      </c>
      <c r="B152" s="177" t="str">
        <f>TEXT(IF(A152="", IF($J150="Break", "Break", ""), _xlfn.LET(_xlpm.CENTER, B149 + TIME(0, 'Regatta Attributes'!$B$2, 0), IF(ISERROR(_xlpm.CENTER), VLOOKUP('Regatta Attributes'!$B$4, $A:$B, 2, FALSE) + TIME(0, 'Regatta Attributes'!$B$5, 0), _xlpm.CENTER) )), "hh:mm AM/PM")</f>
        <v>02:02 PM</v>
      </c>
      <c r="C152" s="20"/>
      <c r="D152" s="43"/>
      <c r="E152" s="50"/>
      <c r="F152" s="44"/>
      <c r="G152" s="44"/>
      <c r="H152" s="50"/>
      <c r="I152" s="98"/>
      <c r="J152" s="163" t="str">
        <f>IF(AND(A149&lt;&gt;"", A149='Regatta Attributes'!$B$4), "Break", "")</f>
        <v/>
      </c>
    </row>
    <row r="153" spans="1:10" s="110" customFormat="1" ht="15.75" customHeight="1" x14ac:dyDescent="0.2">
      <c r="A153" s="180"/>
      <c r="B153" s="178"/>
      <c r="C153" s="10"/>
      <c r="D153" s="45"/>
      <c r="E153" s="14"/>
      <c r="F153" s="46"/>
      <c r="G153" s="45"/>
      <c r="H153" s="46"/>
      <c r="I153" s="99"/>
      <c r="J153" s="162" t="str">
        <f>IF(AND(A152&lt;&gt;"", A152='Regatta Attributes'!$B$4), "Break", "")</f>
        <v/>
      </c>
    </row>
    <row r="154" spans="1:10" ht="16" customHeight="1" x14ac:dyDescent="0.2">
      <c r="A154" s="180"/>
      <c r="B154" s="179"/>
      <c r="C154" s="26"/>
      <c r="D154" s="65"/>
      <c r="E154" s="66"/>
      <c r="F154" s="63"/>
      <c r="G154" s="63"/>
      <c r="H154" s="63"/>
      <c r="I154" s="133"/>
      <c r="J154" s="163" t="str">
        <f>IF(AND(A152&lt;&gt;"", A152='Regatta Attributes'!$B$4), "Break", "")</f>
        <v/>
      </c>
    </row>
    <row r="155" spans="1:10" ht="16" customHeight="1" x14ac:dyDescent="0.2">
      <c r="A155" s="184" cm="1">
        <f t="array" ref="A155">_xlfn.LET(_xlpm.EVENT, A152+1, IF($J152="Break", 'Regatta Attributes'!$B$4+1, IF(ISERROR(_xlpm.EVENT), "", IF($J154="Break", "", IF(_xlpm.EVENT &lt;= 'Regatta Attributes'!$B$1, _xlpm.EVENT, "")))))</f>
        <v>50</v>
      </c>
      <c r="B155" s="182" t="str">
        <f>TEXT(IF(A155="", IF($J154="Break", "Break", ""), _xlfn.LET(_xlpm.CENTER, B152 + TIME(0, 'Regatta Attributes'!$B$2, 0), IF(ISERROR(_xlpm.CENTER), VLOOKUP('Regatta Attributes'!$B$4, $A:$B, 2, FALSE) + TIME(0, 'Regatta Attributes'!$B$5, 0), _xlpm.CENTER) )), "hh:mm AM/PM")</f>
        <v>02:07 PM</v>
      </c>
      <c r="C155" s="20"/>
      <c r="D155" s="43"/>
      <c r="E155" s="50"/>
      <c r="F155" s="44"/>
      <c r="G155" s="44"/>
      <c r="H155" s="50"/>
      <c r="I155" s="98"/>
      <c r="J155" s="163" t="str">
        <f>IF(AND(A152&lt;&gt;"", A152='Regatta Attributes'!$B$4), "Break", "")</f>
        <v/>
      </c>
    </row>
    <row r="156" spans="1:10" ht="16" customHeight="1" x14ac:dyDescent="0.2">
      <c r="A156" s="184"/>
      <c r="B156" s="182"/>
      <c r="C156" s="10"/>
      <c r="D156" s="45"/>
      <c r="E156" s="14"/>
      <c r="F156" s="46"/>
      <c r="G156" s="45"/>
      <c r="H156" s="46"/>
      <c r="I156" s="95"/>
      <c r="J156" s="163" t="str">
        <f>IF(AND(A155&lt;&gt;"", A155='Regatta Attributes'!$B$4), "Break", "")</f>
        <v/>
      </c>
    </row>
    <row r="157" spans="1:10" ht="16" customHeight="1" x14ac:dyDescent="0.2">
      <c r="A157" s="184"/>
      <c r="B157" s="183"/>
      <c r="C157" s="26"/>
      <c r="D157" s="65"/>
      <c r="E157" s="66"/>
      <c r="F157" s="63"/>
      <c r="G157" s="63"/>
      <c r="H157" s="63"/>
      <c r="I157" s="99"/>
      <c r="J157" s="163" t="str">
        <f>IF(AND(A155&lt;&gt;"", A155='Regatta Attributes'!$B$4), "Break", "")</f>
        <v/>
      </c>
    </row>
    <row r="158" spans="1:10" ht="16" customHeight="1" x14ac:dyDescent="0.2">
      <c r="A158" s="180" t="str" cm="1">
        <f t="array" ref="A158">_xlfn.LET(_xlpm.EVENT, A155+1, IF($J155="Break", 'Regatta Attributes'!$B$4+1, IF(ISERROR(_xlpm.EVENT), "", IF($J156="Break", "", IF(_xlpm.EVENT &lt;= 'Regatta Attributes'!$B$1, _xlpm.EVENT, "")))))</f>
        <v/>
      </c>
      <c r="B158" s="181" t="str">
        <f>TEXT(IF(A158="", IF($J156="Break", "Break", ""), _xlfn.LET(_xlpm.CENTER, B155 + TIME(0, 'Regatta Attributes'!$B$2, 0), IF(ISERROR(_xlpm.CENTER), VLOOKUP('Regatta Attributes'!$B$4, $A:$B, 2, FALSE) + TIME(0, 'Regatta Attributes'!$B$5, 0), _xlpm.CENTER) )), "hh:mm AM/PM")</f>
        <v/>
      </c>
      <c r="C158" s="20"/>
      <c r="D158" s="43"/>
      <c r="E158" s="50"/>
      <c r="F158" s="44"/>
      <c r="G158" s="44"/>
      <c r="H158" s="50"/>
      <c r="I158" s="98"/>
      <c r="J158" s="163" t="str">
        <f>IF(AND(A155&lt;&gt;"", A155='Regatta Attributes'!$B$4), "Break", "")</f>
        <v/>
      </c>
    </row>
    <row r="159" spans="1:10" x14ac:dyDescent="0.2">
      <c r="A159" s="180"/>
      <c r="B159" s="182"/>
      <c r="C159" s="10"/>
      <c r="D159" s="45"/>
      <c r="E159" s="14"/>
      <c r="F159" s="46"/>
      <c r="G159" s="45"/>
      <c r="H159" s="46"/>
      <c r="I159" s="95"/>
      <c r="J159" s="163" t="str">
        <f>IF(AND(A158&lt;&gt;"", A158='Regatta Attributes'!$B$4), "Break", "")</f>
        <v/>
      </c>
    </row>
    <row r="160" spans="1:10" x14ac:dyDescent="0.2">
      <c r="A160" s="180"/>
      <c r="B160" s="183"/>
      <c r="C160" s="26"/>
      <c r="D160" s="65"/>
      <c r="E160" s="66"/>
      <c r="F160" s="63"/>
      <c r="G160" s="63"/>
      <c r="H160" s="63"/>
      <c r="I160" s="99"/>
      <c r="J160" s="163" t="str">
        <f>IF(AND(A158&lt;&gt;"", A158='Regatta Attributes'!$B$4), "Break", "")</f>
        <v/>
      </c>
    </row>
    <row r="161" spans="1:10" x14ac:dyDescent="0.2">
      <c r="A161" s="180" t="str" cm="1">
        <f t="array" ref="A161">_xlfn.LET(_xlpm.EVENT, A158+1, IF($J158="Break", 'Regatta Attributes'!$B$4+1, IF(ISERROR(_xlpm.EVENT), "", IF($J159="Break", "", IF(_xlpm.EVENT &lt;= 'Regatta Attributes'!$B$1, _xlpm.EVENT, "")))))</f>
        <v/>
      </c>
      <c r="B161" s="181" t="str">
        <f>TEXT(IF(A161="", IF($J159="Break", "Break", ""), _xlfn.LET(_xlpm.CENTER, B158 + TIME(0, 'Regatta Attributes'!$B$2, 0), IF(ISERROR(_xlpm.CENTER), VLOOKUP('Regatta Attributes'!$B$4, $A:$B, 2, FALSE) + TIME(0, 'Regatta Attributes'!$B$5, 0), _xlpm.CENTER) )), "hh:mm AM/PM")</f>
        <v/>
      </c>
      <c r="C161" s="20"/>
      <c r="D161" s="43"/>
      <c r="E161" s="50"/>
      <c r="F161" s="44"/>
      <c r="G161" s="44"/>
      <c r="H161" s="50"/>
      <c r="I161" s="98"/>
      <c r="J161" s="163" t="str">
        <f>IF(AND(A158&lt;&gt;"", A158='Regatta Attributes'!$B$4), "Break", "")</f>
        <v/>
      </c>
    </row>
    <row r="162" spans="1:10" x14ac:dyDescent="0.2">
      <c r="A162" s="180"/>
      <c r="B162" s="182"/>
      <c r="C162" s="10"/>
      <c r="D162" s="45"/>
      <c r="E162" s="14"/>
      <c r="F162" s="46"/>
      <c r="G162" s="45"/>
      <c r="H162" s="46"/>
      <c r="I162" s="95"/>
      <c r="J162" s="163" t="str">
        <f>IF(AND(A161&lt;&gt;"", A161='Regatta Attributes'!$B$4), "Break", "")</f>
        <v/>
      </c>
    </row>
    <row r="163" spans="1:10" ht="16" customHeight="1" x14ac:dyDescent="0.2">
      <c r="A163" s="180"/>
      <c r="B163" s="183"/>
      <c r="C163" s="26"/>
      <c r="D163" s="65"/>
      <c r="E163" s="66"/>
      <c r="F163" s="63"/>
      <c r="G163" s="63"/>
      <c r="H163" s="63"/>
      <c r="I163" s="99"/>
      <c r="J163" s="163" t="str">
        <f>IF(AND(A161&lt;&gt;"", A161='Regatta Attributes'!$B$4), "Break", "")</f>
        <v/>
      </c>
    </row>
    <row r="164" spans="1:10" ht="16" customHeight="1" x14ac:dyDescent="0.2">
      <c r="A164" s="180" t="str" cm="1">
        <f t="array" ref="A164">_xlfn.LET(_xlpm.EVENT, A161+1, IF($J161="Break", 'Regatta Attributes'!$B$4+1, IF(ISERROR(_xlpm.EVENT), "", IF($J162="Break", "", IF(_xlpm.EVENT &lt;= 'Regatta Attributes'!$B$1, _xlpm.EVENT, "")))))</f>
        <v/>
      </c>
      <c r="B164" s="181" t="str">
        <f>TEXT(IF(A164="", IF($J162="Break", "Break", ""), _xlfn.LET(_xlpm.CENTER, B161 + TIME(0, 'Regatta Attributes'!$B$2, 0), IF(ISERROR(_xlpm.CENTER), VLOOKUP('Regatta Attributes'!$B$4, $A:$B, 2, FALSE) + TIME(0, 'Regatta Attributes'!$B$5, 0), _xlpm.CENTER) )), "hh:mm AM/PM")</f>
        <v/>
      </c>
      <c r="C164" s="20"/>
      <c r="D164" s="43"/>
      <c r="E164" s="50"/>
      <c r="F164" s="44"/>
      <c r="G164" s="44"/>
      <c r="H164" s="50"/>
      <c r="I164" s="98"/>
      <c r="J164" s="163" t="str">
        <f>IF(AND(A161&lt;&gt;"", A161='Regatta Attributes'!$B$4), "Break", "")</f>
        <v/>
      </c>
    </row>
    <row r="165" spans="1:10" ht="16" customHeight="1" x14ac:dyDescent="0.2">
      <c r="A165" s="180"/>
      <c r="B165" s="182"/>
      <c r="C165" s="10"/>
      <c r="D165" s="45"/>
      <c r="E165" s="14"/>
      <c r="F165" s="46"/>
      <c r="G165" s="45"/>
      <c r="H165" s="46"/>
      <c r="I165" s="95"/>
      <c r="J165" s="163" t="str">
        <f>IF(AND(A164&lt;&gt;"", A164='Regatta Attributes'!$B$4), "Break", "")</f>
        <v/>
      </c>
    </row>
    <row r="166" spans="1:10" ht="16" customHeight="1" x14ac:dyDescent="0.2">
      <c r="A166" s="180"/>
      <c r="B166" s="183"/>
      <c r="C166" s="26"/>
      <c r="D166" s="65"/>
      <c r="E166" s="66"/>
      <c r="F166" s="63"/>
      <c r="G166" s="63"/>
      <c r="H166" s="63"/>
      <c r="I166" s="99"/>
      <c r="J166" s="163" t="str">
        <f>IF(AND(A164&lt;&gt;"", A164='Regatta Attributes'!$B$4), "Break", "")</f>
        <v/>
      </c>
    </row>
    <row r="167" spans="1:10" ht="16" customHeight="1" x14ac:dyDescent="0.2">
      <c r="A167" s="180" t="str" cm="1">
        <f t="array" ref="A167">_xlfn.LET(_xlpm.EVENT, A164+1, IF($J164="Break", 'Regatta Attributes'!$B$4+1, IF(ISERROR(_xlpm.EVENT), "", IF($J165="Break", "", IF(_xlpm.EVENT &lt;= 'Regatta Attributes'!$B$1, _xlpm.EVENT, "")))))</f>
        <v/>
      </c>
      <c r="B167" s="181" t="str">
        <f>TEXT(IF(A167="", IF($J165="Break", "Break", ""), _xlfn.LET(_xlpm.CENTER, B164 + TIME(0, 'Regatta Attributes'!$B$2, 0), IF(ISERROR(_xlpm.CENTER), VLOOKUP('Regatta Attributes'!$B$4, $A:$B, 2, FALSE) + TIME(0, 'Regatta Attributes'!$B$5, 0), _xlpm.CENTER) )), "hh:mm AM/PM")</f>
        <v/>
      </c>
      <c r="C167" s="20"/>
      <c r="D167" s="43"/>
      <c r="E167" s="50"/>
      <c r="F167" s="44"/>
      <c r="G167" s="44"/>
      <c r="H167" s="50"/>
      <c r="I167" s="98"/>
      <c r="J167" s="163" t="str">
        <f>IF(AND(A164&lt;&gt;"", A164='Regatta Attributes'!$B$4), "Break", "")</f>
        <v/>
      </c>
    </row>
    <row r="168" spans="1:10" ht="16" customHeight="1" x14ac:dyDescent="0.2">
      <c r="A168" s="180"/>
      <c r="B168" s="182"/>
      <c r="C168" s="10"/>
      <c r="D168" s="45"/>
      <c r="E168" s="14"/>
      <c r="F168" s="46"/>
      <c r="G168" s="45"/>
      <c r="H168" s="46"/>
      <c r="I168" s="95"/>
      <c r="J168" s="163" t="str">
        <f>IF(AND(A167&lt;&gt;"", A167='Regatta Attributes'!$B$4), "Break", "")</f>
        <v/>
      </c>
    </row>
    <row r="169" spans="1:10" ht="16" customHeight="1" x14ac:dyDescent="0.2">
      <c r="A169" s="180"/>
      <c r="B169" s="183"/>
      <c r="C169" s="26"/>
      <c r="D169" s="65"/>
      <c r="E169" s="66"/>
      <c r="F169" s="63"/>
      <c r="G169" s="63"/>
      <c r="H169" s="63"/>
      <c r="I169" s="99"/>
      <c r="J169" s="163" t="str">
        <f>IF(AND(A167&lt;&gt;"", A167='Regatta Attributes'!$B$4), "Break", "")</f>
        <v/>
      </c>
    </row>
    <row r="170" spans="1:10" ht="16" customHeight="1" x14ac:dyDescent="0.2">
      <c r="A170" s="180" t="str" cm="1">
        <f t="array" ref="A170">_xlfn.LET(_xlpm.EVENT, A167+1, IF($J167="Break", 'Regatta Attributes'!$B$4+1, IF(ISERROR(_xlpm.EVENT), "", IF($J168="Break", "", IF(_xlpm.EVENT &lt;= 'Regatta Attributes'!$B$1, _xlpm.EVENT, "")))))</f>
        <v/>
      </c>
      <c r="B170" s="181" t="str">
        <f>TEXT(IF(A170="", IF($J168="Break", "Break", ""), _xlfn.LET(_xlpm.CENTER, B167 + TIME(0, 'Regatta Attributes'!$B$2, 0), IF(ISERROR(_xlpm.CENTER), VLOOKUP('Regatta Attributes'!$B$4, $A:$B, 2, FALSE) + TIME(0, 'Regatta Attributes'!$B$5, 0), _xlpm.CENTER) )), "hh:mm AM/PM")</f>
        <v/>
      </c>
      <c r="C170" s="20"/>
      <c r="D170" s="43"/>
      <c r="E170" s="50"/>
      <c r="F170" s="44"/>
      <c r="G170" s="44"/>
      <c r="H170" s="50"/>
      <c r="I170" s="98"/>
      <c r="J170" s="163" t="str">
        <f>IF(AND(A167&lt;&gt;"", A167='Regatta Attributes'!$B$4), "Break", "")</f>
        <v/>
      </c>
    </row>
    <row r="171" spans="1:10" ht="16" customHeight="1" x14ac:dyDescent="0.2">
      <c r="A171" s="180"/>
      <c r="B171" s="182"/>
      <c r="C171" s="10"/>
      <c r="D171" s="45"/>
      <c r="E171" s="14"/>
      <c r="F171" s="46"/>
      <c r="G171" s="45"/>
      <c r="H171" s="46"/>
      <c r="I171" s="95"/>
      <c r="J171" s="163" t="str">
        <f>IF(AND(A170&lt;&gt;"", A170='Regatta Attributes'!$B$4), "Break", "")</f>
        <v/>
      </c>
    </row>
    <row r="172" spans="1:10" ht="16" customHeight="1" x14ac:dyDescent="0.2">
      <c r="A172" s="180"/>
      <c r="B172" s="183"/>
      <c r="C172" s="26"/>
      <c r="D172" s="65"/>
      <c r="E172" s="66"/>
      <c r="F172" s="63"/>
      <c r="G172" s="63"/>
      <c r="H172" s="63"/>
      <c r="I172" s="99"/>
      <c r="J172" s="163" t="str">
        <f>IF(AND(A170&lt;&gt;"", A170='Regatta Attributes'!$B$4), "Break", "")</f>
        <v/>
      </c>
    </row>
    <row r="173" spans="1:10" ht="16" customHeight="1" x14ac:dyDescent="0.2">
      <c r="A173" s="180" t="str" cm="1">
        <f t="array" ref="A173">_xlfn.LET(_xlpm.EVENT, A170+1, IF($J170="Break", 'Regatta Attributes'!$B$4+1, IF(ISERROR(_xlpm.EVENT), "", IF($J171="Break", "", IF(_xlpm.EVENT &lt;= 'Regatta Attributes'!$B$1, _xlpm.EVENT, "")))))</f>
        <v/>
      </c>
      <c r="B173" s="181" t="str">
        <f>TEXT(IF(A173="", IF($J171="Break", "Break", ""), _xlfn.LET(_xlpm.CENTER, B170 + TIME(0, 'Regatta Attributes'!$B$2, 0), IF(ISERROR(_xlpm.CENTER), VLOOKUP('Regatta Attributes'!$B$4, $A:$B, 2, FALSE) + TIME(0, 'Regatta Attributes'!$B$5, 0), _xlpm.CENTER) )), "hh:mm AM/PM")</f>
        <v/>
      </c>
      <c r="C173" s="20"/>
      <c r="D173" s="43"/>
      <c r="E173" s="50"/>
      <c r="F173" s="44"/>
      <c r="G173" s="44"/>
      <c r="H173" s="50"/>
      <c r="I173" s="98"/>
      <c r="J173" s="163" t="str">
        <f>IF(AND(A170&lt;&gt;"", A170='Regatta Attributes'!$B$4), "Break", "")</f>
        <v/>
      </c>
    </row>
    <row r="174" spans="1:10" ht="16" customHeight="1" x14ac:dyDescent="0.2">
      <c r="A174" s="180"/>
      <c r="B174" s="182"/>
      <c r="C174" s="10"/>
      <c r="D174" s="45"/>
      <c r="E174" s="14"/>
      <c r="F174" s="46"/>
      <c r="G174" s="45"/>
      <c r="H174" s="46"/>
      <c r="I174" s="95"/>
      <c r="J174" s="163" t="str">
        <f>IF(AND(A173&lt;&gt;"", A173='Regatta Attributes'!$B$4), "Break", "")</f>
        <v/>
      </c>
    </row>
    <row r="175" spans="1:10" ht="16" customHeight="1" x14ac:dyDescent="0.2">
      <c r="A175" s="180"/>
      <c r="B175" s="183"/>
      <c r="C175" s="26"/>
      <c r="D175" s="65"/>
      <c r="E175" s="66"/>
      <c r="F175" s="63"/>
      <c r="G175" s="63"/>
      <c r="H175" s="63"/>
      <c r="I175" s="99"/>
      <c r="J175" s="163" t="str">
        <f>IF(AND(A173&lt;&gt;"", A173='Regatta Attributes'!$B$4), "Break", "")</f>
        <v/>
      </c>
    </row>
    <row r="176" spans="1:10" ht="16" customHeight="1" x14ac:dyDescent="0.2">
      <c r="A176" s="180" t="str" cm="1">
        <f t="array" ref="A176">_xlfn.LET(_xlpm.EVENT, A173+1, IF($J173="Break", 'Regatta Attributes'!$B$4+1, IF(ISERROR(_xlpm.EVENT), "", IF($J174="Break", "", IF(_xlpm.EVENT &lt;= 'Regatta Attributes'!$B$1, _xlpm.EVENT, "")))))</f>
        <v/>
      </c>
      <c r="B176" s="181" t="str">
        <f>TEXT(IF(A176="", IF($J174="Break", "Break", ""), _xlfn.LET(_xlpm.CENTER, B173 + TIME(0, 'Regatta Attributes'!$B$2, 0), IF(ISERROR(_xlpm.CENTER), VLOOKUP('Regatta Attributes'!$B$4, $A:$B, 2, FALSE) + TIME(0, 'Regatta Attributes'!$B$5, 0), _xlpm.CENTER) )), "hh:mm AM/PM")</f>
        <v/>
      </c>
      <c r="C176" s="20"/>
      <c r="D176" s="43"/>
      <c r="E176" s="50"/>
      <c r="F176" s="44"/>
      <c r="G176" s="44"/>
      <c r="H176" s="50"/>
      <c r="I176" s="98"/>
      <c r="J176" s="163" t="str">
        <f>IF(AND(A173&lt;&gt;"", A173='Regatta Attributes'!$B$4), "Break", "")</f>
        <v/>
      </c>
    </row>
    <row r="177" spans="1:10" ht="16" customHeight="1" x14ac:dyDescent="0.2">
      <c r="A177" s="180"/>
      <c r="B177" s="182"/>
      <c r="C177" s="10"/>
      <c r="D177" s="45"/>
      <c r="E177" s="14"/>
      <c r="F177" s="46"/>
      <c r="G177" s="45"/>
      <c r="H177" s="46"/>
      <c r="I177" s="95"/>
      <c r="J177" s="163" t="str">
        <f>IF(AND(A176&lt;&gt;"", A176='Regatta Attributes'!$B$4), "Break", "")</f>
        <v/>
      </c>
    </row>
    <row r="178" spans="1:10" ht="16" customHeight="1" x14ac:dyDescent="0.2">
      <c r="A178" s="180"/>
      <c r="B178" s="183"/>
      <c r="C178" s="26"/>
      <c r="D178" s="65"/>
      <c r="E178" s="66"/>
      <c r="F178" s="63"/>
      <c r="G178" s="63"/>
      <c r="H178" s="63"/>
      <c r="I178" s="99"/>
      <c r="J178" s="163" t="str">
        <f>IF(AND(A176&lt;&gt;"", A176='Regatta Attributes'!$B$4), "Break", "")</f>
        <v/>
      </c>
    </row>
    <row r="179" spans="1:10" ht="16" customHeight="1" x14ac:dyDescent="0.2">
      <c r="A179" s="180" t="str" cm="1">
        <f t="array" ref="A179">_xlfn.LET(_xlpm.EVENT, A176+1, IF($J176="Break", 'Regatta Attributes'!$B$4+1, IF(ISERROR(_xlpm.EVENT), "", IF($J177="Break", "", IF(_xlpm.EVENT &lt;= 'Regatta Attributes'!$B$1, _xlpm.EVENT, "")))))</f>
        <v/>
      </c>
      <c r="B179" s="181" t="str">
        <f>TEXT(IF(A179="", IF($J177="Break", "Break", ""), _xlfn.LET(_xlpm.CENTER, B176 + TIME(0, 'Regatta Attributes'!$B$2, 0), IF(ISERROR(_xlpm.CENTER), VLOOKUP('Regatta Attributes'!$B$4, $A:$B, 2, FALSE) + TIME(0, 'Regatta Attributes'!$B$5, 0), _xlpm.CENTER) )), "hh:mm AM/PM")</f>
        <v/>
      </c>
      <c r="C179" s="20"/>
      <c r="D179" s="43"/>
      <c r="E179" s="50"/>
      <c r="F179" s="44"/>
      <c r="G179" s="44"/>
      <c r="H179" s="50"/>
      <c r="I179" s="98"/>
      <c r="J179" s="163" t="str">
        <f>IF(AND(A176&lt;&gt;"", A176='Regatta Attributes'!$B$4), "Break", "")</f>
        <v/>
      </c>
    </row>
    <row r="180" spans="1:10" ht="16" customHeight="1" x14ac:dyDescent="0.2">
      <c r="A180" s="180"/>
      <c r="B180" s="182"/>
      <c r="C180" s="10"/>
      <c r="D180" s="45"/>
      <c r="E180" s="14"/>
      <c r="F180" s="46"/>
      <c r="G180" s="45"/>
      <c r="H180" s="46"/>
      <c r="I180" s="95"/>
      <c r="J180" s="163" t="str">
        <f>IF(AND(A179&lt;&gt;"", A179='Regatta Attributes'!$B$4), "Break", "")</f>
        <v/>
      </c>
    </row>
    <row r="181" spans="1:10" ht="16" customHeight="1" x14ac:dyDescent="0.2">
      <c r="A181" s="180"/>
      <c r="B181" s="183"/>
      <c r="C181" s="26"/>
      <c r="D181" s="65"/>
      <c r="E181" s="66"/>
      <c r="F181" s="63"/>
      <c r="G181" s="63"/>
      <c r="H181" s="63"/>
      <c r="I181" s="99"/>
      <c r="J181" s="163" t="str">
        <f>IF(AND(A179&lt;&gt;"", A179='Regatta Attributes'!$B$4), "Break", "")</f>
        <v/>
      </c>
    </row>
    <row r="182" spans="1:10" ht="16" customHeight="1" x14ac:dyDescent="0.2">
      <c r="A182" s="180" t="str" cm="1">
        <f t="array" ref="A182">_xlfn.LET(_xlpm.EVENT, A179+1, IF($J179="Break", 'Regatta Attributes'!$B$4+1, IF(ISERROR(_xlpm.EVENT), "", IF($J180="Break", "", IF(_xlpm.EVENT &lt;= 'Regatta Attributes'!$B$1, _xlpm.EVENT, "")))))</f>
        <v/>
      </c>
      <c r="B182" s="177" t="str">
        <f>TEXT(IF(A182="", IF($J180="Break", "Break", ""), _xlfn.LET(_xlpm.CENTER, B179 + TIME(0, 'Regatta Attributes'!$B$2, 0), IF(ISERROR(_xlpm.CENTER), VLOOKUP('Regatta Attributes'!$B$4, $A:$B, 2, FALSE) + TIME(0, 'Regatta Attributes'!$B$5, 0), _xlpm.CENTER) )), "hh:mm AM/PM")</f>
        <v/>
      </c>
      <c r="C182" s="20"/>
      <c r="D182" s="43"/>
      <c r="E182" s="50"/>
      <c r="F182" s="44"/>
      <c r="G182" s="44"/>
      <c r="H182" s="50"/>
      <c r="I182" s="98"/>
      <c r="J182" s="163" t="str">
        <f>IF(AND(A179&lt;&gt;"", A179='Regatta Attributes'!$B$4), "Break", "")</f>
        <v/>
      </c>
    </row>
    <row r="183" spans="1:10" s="110" customFormat="1" ht="15.75" customHeight="1" x14ac:dyDescent="0.2">
      <c r="A183" s="180"/>
      <c r="B183" s="178"/>
      <c r="C183" s="10"/>
      <c r="D183" s="45"/>
      <c r="E183" s="14"/>
      <c r="F183" s="46"/>
      <c r="G183" s="45"/>
      <c r="H183" s="46"/>
      <c r="I183" s="99"/>
      <c r="J183" s="162" t="str">
        <f>IF(AND(A182&lt;&gt;"", A182='Regatta Attributes'!$B$4), "Break", "")</f>
        <v/>
      </c>
    </row>
    <row r="184" spans="1:10" ht="16" customHeight="1" x14ac:dyDescent="0.2">
      <c r="A184" s="180"/>
      <c r="B184" s="179"/>
      <c r="C184" s="26"/>
      <c r="D184" s="65"/>
      <c r="E184" s="66"/>
      <c r="F184" s="63"/>
      <c r="G184" s="63"/>
      <c r="H184" s="63"/>
      <c r="I184" s="133"/>
      <c r="J184" s="163" t="str">
        <f>IF(AND(A182&lt;&gt;"", A182='Regatta Attributes'!$B$4), "Break", "")</f>
        <v/>
      </c>
    </row>
    <row r="185" spans="1:10" ht="16" customHeight="1" x14ac:dyDescent="0.2">
      <c r="A185" s="184" t="str" cm="1">
        <f t="array" ref="A185">_xlfn.LET(_xlpm.EVENT, A182+1, IF($J182="Break", 'Regatta Attributes'!$B$4+1, IF(ISERROR(_xlpm.EVENT), "", IF($J184="Break", "", IF(_xlpm.EVENT &lt;= 'Regatta Attributes'!$B$1, _xlpm.EVENT, "")))))</f>
        <v/>
      </c>
      <c r="B185" s="182" t="str">
        <f>TEXT(IF(A185="", IF($J184="Break", "Break", ""), _xlfn.LET(_xlpm.CENTER, B182 + TIME(0, 'Regatta Attributes'!$B$2, 0), IF(ISERROR(_xlpm.CENTER), VLOOKUP('Regatta Attributes'!$B$4, $A:$B, 2, FALSE) + TIME(0, 'Regatta Attributes'!$B$5, 0), _xlpm.CENTER) )), "hh:mm AM/PM")</f>
        <v/>
      </c>
      <c r="C185" s="20"/>
      <c r="D185" s="43"/>
      <c r="E185" s="50"/>
      <c r="F185" s="44"/>
      <c r="G185" s="44"/>
      <c r="H185" s="50"/>
      <c r="I185" s="98"/>
      <c r="J185" s="163" t="str">
        <f>IF(AND(A182&lt;&gt;"", A182='Regatta Attributes'!$B$4), "Break", "")</f>
        <v/>
      </c>
    </row>
    <row r="186" spans="1:10" ht="16" customHeight="1" x14ac:dyDescent="0.2">
      <c r="A186" s="184"/>
      <c r="B186" s="182"/>
      <c r="C186" s="10"/>
      <c r="D186" s="45"/>
      <c r="E186" s="14"/>
      <c r="F186" s="46"/>
      <c r="G186" s="45"/>
      <c r="H186" s="46"/>
      <c r="I186" s="95"/>
      <c r="J186" s="163" t="str">
        <f>IF(AND(A185&lt;&gt;"", A185='Regatta Attributes'!$B$4), "Break", "")</f>
        <v/>
      </c>
    </row>
    <row r="187" spans="1:10" ht="16" customHeight="1" x14ac:dyDescent="0.2">
      <c r="A187" s="184"/>
      <c r="B187" s="183"/>
      <c r="C187" s="26"/>
      <c r="D187" s="65"/>
      <c r="E187" s="66"/>
      <c r="F187" s="63"/>
      <c r="G187" s="63"/>
      <c r="H187" s="63"/>
      <c r="I187" s="99"/>
      <c r="J187" s="163" t="str">
        <f>IF(AND(A185&lt;&gt;"", A185='Regatta Attributes'!$B$4), "Break", "")</f>
        <v/>
      </c>
    </row>
    <row r="188" spans="1:10" ht="16" customHeight="1" x14ac:dyDescent="0.2">
      <c r="A188" s="180" t="str" cm="1">
        <f t="array" ref="A188">_xlfn.LET(_xlpm.EVENT, A185+1, IF($J185="Break", 'Regatta Attributes'!$B$4+1, IF(ISERROR(_xlpm.EVENT), "", IF($J186="Break", "", IF(_xlpm.EVENT &lt;= 'Regatta Attributes'!$B$1, _xlpm.EVENT, "")))))</f>
        <v/>
      </c>
      <c r="B188" s="181" t="str">
        <f>TEXT(IF(A188="", IF($J186="Break", "Break", ""), _xlfn.LET(_xlpm.CENTER, B185 + TIME(0, 'Regatta Attributes'!$B$2, 0), IF(ISERROR(_xlpm.CENTER), VLOOKUP('Regatta Attributes'!$B$4, $A:$B, 2, FALSE) + TIME(0, 'Regatta Attributes'!$B$5, 0), _xlpm.CENTER) )), "hh:mm AM/PM")</f>
        <v/>
      </c>
      <c r="C188" s="20"/>
      <c r="D188" s="43"/>
      <c r="E188" s="50"/>
      <c r="F188" s="44"/>
      <c r="G188" s="44"/>
      <c r="H188" s="50"/>
      <c r="I188" s="98"/>
      <c r="J188" s="163" t="str">
        <f>IF(AND(A185&lt;&gt;"", A185='Regatta Attributes'!$B$4), "Break", "")</f>
        <v/>
      </c>
    </row>
    <row r="189" spans="1:10" ht="16" customHeight="1" x14ac:dyDescent="0.2">
      <c r="A189" s="180"/>
      <c r="B189" s="182"/>
      <c r="C189" s="10"/>
      <c r="D189" s="45"/>
      <c r="E189" s="14"/>
      <c r="F189" s="46"/>
      <c r="G189" s="45"/>
      <c r="H189" s="46"/>
      <c r="I189" s="95"/>
      <c r="J189" s="163" t="str">
        <f>IF(AND(A188&lt;&gt;"", A188='Regatta Attributes'!$B$4), "Break", "")</f>
        <v/>
      </c>
    </row>
    <row r="190" spans="1:10" ht="16" customHeight="1" x14ac:dyDescent="0.2">
      <c r="A190" s="180"/>
      <c r="B190" s="183"/>
      <c r="C190" s="26"/>
      <c r="D190" s="65"/>
      <c r="E190" s="66"/>
      <c r="F190" s="63"/>
      <c r="G190" s="63"/>
      <c r="H190" s="63"/>
      <c r="I190" s="99"/>
      <c r="J190" s="163" t="str">
        <f>IF(AND(A188&lt;&gt;"", A188='Regatta Attributes'!$B$4), "Break", "")</f>
        <v/>
      </c>
    </row>
    <row r="191" spans="1:10" ht="16" customHeight="1" x14ac:dyDescent="0.2">
      <c r="A191" s="180" t="str" cm="1">
        <f t="array" ref="A191">_xlfn.LET(_xlpm.EVENT, A188+1, IF($J188="Break", 'Regatta Attributes'!$B$4+1, IF(ISERROR(_xlpm.EVENT), "", IF($J189="Break", "", IF(_xlpm.EVENT &lt;= 'Regatta Attributes'!$B$1, _xlpm.EVENT, "")))))</f>
        <v/>
      </c>
      <c r="B191" s="181" t="str">
        <f>TEXT(IF(A191="", IF($J189="Break", "Break", ""), _xlfn.LET(_xlpm.CENTER, B188 + TIME(0, 'Regatta Attributes'!$B$2, 0), IF(ISERROR(_xlpm.CENTER), VLOOKUP('Regatta Attributes'!$B$4, $A:$B, 2, FALSE) + TIME(0, 'Regatta Attributes'!$B$5, 0), _xlpm.CENTER) )), "hh:mm AM/PM")</f>
        <v/>
      </c>
      <c r="C191" s="20"/>
      <c r="D191" s="43"/>
      <c r="E191" s="50"/>
      <c r="F191" s="44"/>
      <c r="G191" s="44"/>
      <c r="H191" s="50"/>
      <c r="I191" s="98"/>
      <c r="J191" s="163" t="str">
        <f>IF(AND(A188&lt;&gt;"", A188='Regatta Attributes'!$B$4), "Break", "")</f>
        <v/>
      </c>
    </row>
    <row r="192" spans="1:10" ht="16" customHeight="1" x14ac:dyDescent="0.2">
      <c r="A192" s="180"/>
      <c r="B192" s="182"/>
      <c r="C192" s="10"/>
      <c r="D192" s="45"/>
      <c r="E192" s="14"/>
      <c r="F192" s="46"/>
      <c r="G192" s="45"/>
      <c r="H192" s="46"/>
      <c r="I192" s="95"/>
      <c r="J192" s="163" t="str">
        <f>IF(AND(A191&lt;&gt;"", A191='Regatta Attributes'!$B$4), "Break", "")</f>
        <v/>
      </c>
    </row>
    <row r="193" spans="1:10" ht="16" customHeight="1" x14ac:dyDescent="0.2">
      <c r="A193" s="180"/>
      <c r="B193" s="183"/>
      <c r="C193" s="26"/>
      <c r="D193" s="65"/>
      <c r="E193" s="66"/>
      <c r="F193" s="63"/>
      <c r="G193" s="63"/>
      <c r="H193" s="63"/>
      <c r="I193" s="99"/>
      <c r="J193" s="163" t="str">
        <f>IF(AND(A191&lt;&gt;"", A191='Regatta Attributes'!$B$4), "Break", "")</f>
        <v/>
      </c>
    </row>
    <row r="194" spans="1:10" ht="16" customHeight="1" x14ac:dyDescent="0.2">
      <c r="A194" s="180" t="str" cm="1">
        <f t="array" ref="A194">_xlfn.LET(_xlpm.EVENT, A191+1, IF($J191="Break", 'Regatta Attributes'!$B$4+1, IF(ISERROR(_xlpm.EVENT), "", IF($J192="Break", "", IF(_xlpm.EVENT &lt;= 'Regatta Attributes'!$B$1, _xlpm.EVENT, "")))))</f>
        <v/>
      </c>
      <c r="B194" s="181" t="str">
        <f>TEXT(IF(A194="", IF($J192="Break", "Break", ""), _xlfn.LET(_xlpm.CENTER, B191 + TIME(0, 'Regatta Attributes'!$B$2, 0), IF(ISERROR(_xlpm.CENTER), VLOOKUP('Regatta Attributes'!$B$4, $A:$B, 2, FALSE) + TIME(0, 'Regatta Attributes'!$B$5, 0), _xlpm.CENTER) )), "hh:mm AM/PM")</f>
        <v/>
      </c>
      <c r="C194" s="20"/>
      <c r="D194" s="43"/>
      <c r="E194" s="50"/>
      <c r="F194" s="44"/>
      <c r="G194" s="44"/>
      <c r="H194" s="50"/>
      <c r="I194" s="98"/>
      <c r="J194" s="163" t="str">
        <f>IF(AND(A191&lt;&gt;"", A191='Regatta Attributes'!$B$4), "Break", "")</f>
        <v/>
      </c>
    </row>
    <row r="195" spans="1:10" ht="16" customHeight="1" x14ac:dyDescent="0.2">
      <c r="A195" s="180"/>
      <c r="B195" s="182"/>
      <c r="C195" s="10"/>
      <c r="D195" s="45"/>
      <c r="E195" s="14"/>
      <c r="F195" s="46"/>
      <c r="G195" s="45"/>
      <c r="H195" s="46"/>
      <c r="I195" s="95"/>
      <c r="J195" s="163" t="str">
        <f>IF(AND(A194&lt;&gt;"", A194='Regatta Attributes'!$B$4), "Break", "")</f>
        <v/>
      </c>
    </row>
    <row r="196" spans="1:10" ht="16" customHeight="1" x14ac:dyDescent="0.2">
      <c r="A196" s="180"/>
      <c r="B196" s="183"/>
      <c r="C196" s="26"/>
      <c r="D196" s="65"/>
      <c r="E196" s="66"/>
      <c r="F196" s="63"/>
      <c r="G196" s="63"/>
      <c r="H196" s="63"/>
      <c r="I196" s="99"/>
      <c r="J196" s="163" t="str">
        <f>IF(AND(A194&lt;&gt;"", A194='Regatta Attributes'!$B$4), "Break", "")</f>
        <v/>
      </c>
    </row>
    <row r="197" spans="1:10" ht="16" customHeight="1" x14ac:dyDescent="0.2">
      <c r="A197" s="180" t="str" cm="1">
        <f t="array" ref="A197">_xlfn.LET(_xlpm.EVENT, A194+1, IF($J194="Break", 'Regatta Attributes'!$B$4+1, IF(ISERROR(_xlpm.EVENT), "", IF($J195="Break", "", IF(_xlpm.EVENT &lt;= 'Regatta Attributes'!$B$1, _xlpm.EVENT, "")))))</f>
        <v/>
      </c>
      <c r="B197" s="181" t="str">
        <f>TEXT(IF(A197="", IF($J195="Break", "Break", ""), _xlfn.LET(_xlpm.CENTER, B194 + TIME(0, 'Regatta Attributes'!$B$2, 0), IF(ISERROR(_xlpm.CENTER), VLOOKUP('Regatta Attributes'!$B$4, $A:$B, 2, FALSE) + TIME(0, 'Regatta Attributes'!$B$5, 0), _xlpm.CENTER) )), "hh:mm AM/PM")</f>
        <v/>
      </c>
      <c r="C197" s="20"/>
      <c r="D197" s="43"/>
      <c r="E197" s="50"/>
      <c r="F197" s="44"/>
      <c r="G197" s="44"/>
      <c r="H197" s="50"/>
      <c r="I197" s="98"/>
      <c r="J197" s="163" t="str">
        <f>IF(AND(A194&lt;&gt;"", A194='Regatta Attributes'!$B$4), "Break", "")</f>
        <v/>
      </c>
    </row>
    <row r="198" spans="1:10" ht="16" customHeight="1" x14ac:dyDescent="0.2">
      <c r="A198" s="180"/>
      <c r="B198" s="182"/>
      <c r="C198" s="10"/>
      <c r="D198" s="45"/>
      <c r="E198" s="14"/>
      <c r="F198" s="46"/>
      <c r="G198" s="45"/>
      <c r="H198" s="46"/>
      <c r="I198" s="95"/>
      <c r="J198" s="163" t="str">
        <f>IF(AND(A197&lt;&gt;"", A197='Regatta Attributes'!$B$4), "Break", "")</f>
        <v/>
      </c>
    </row>
    <row r="199" spans="1:10" ht="16" customHeight="1" x14ac:dyDescent="0.2">
      <c r="A199" s="180"/>
      <c r="B199" s="183"/>
      <c r="C199" s="26"/>
      <c r="D199" s="65"/>
      <c r="E199" s="66"/>
      <c r="F199" s="63"/>
      <c r="G199" s="63"/>
      <c r="H199" s="63"/>
      <c r="I199" s="99"/>
      <c r="J199" s="163" t="str">
        <f>IF(AND(A197&lt;&gt;"", A197='Regatta Attributes'!$B$4), "Break", "")</f>
        <v/>
      </c>
    </row>
    <row r="200" spans="1:10" ht="16" customHeight="1" x14ac:dyDescent="0.2">
      <c r="A200" s="180" t="str" cm="1">
        <f t="array" ref="A200">_xlfn.LET(_xlpm.EVENT, A197+1, IF($J197="Break", 'Regatta Attributes'!$B$4+1, IF(ISERROR(_xlpm.EVENT), "", IF($J198="Break", "", IF(_xlpm.EVENT &lt;= 'Regatta Attributes'!$B$1, _xlpm.EVENT, "")))))</f>
        <v/>
      </c>
      <c r="B200" s="181" t="str">
        <f>TEXT(IF(A200="", IF($J198="Break", "Break", ""), _xlfn.LET(_xlpm.CENTER, B197 + TIME(0, 'Regatta Attributes'!$B$2, 0), IF(ISERROR(_xlpm.CENTER), VLOOKUP('Regatta Attributes'!$B$4, $A:$B, 2, FALSE) + TIME(0, 'Regatta Attributes'!$B$5, 0), _xlpm.CENTER) )), "hh:mm AM/PM")</f>
        <v/>
      </c>
      <c r="C200" s="20"/>
      <c r="D200" s="43"/>
      <c r="E200" s="50"/>
      <c r="F200" s="44"/>
      <c r="G200" s="44"/>
      <c r="H200" s="50"/>
      <c r="I200" s="98"/>
      <c r="J200" s="163" t="str">
        <f>IF(AND(A197&lt;&gt;"", A197='Regatta Attributes'!$B$4), "Break", "")</f>
        <v/>
      </c>
    </row>
    <row r="201" spans="1:10" ht="16" customHeight="1" x14ac:dyDescent="0.2">
      <c r="A201" s="180"/>
      <c r="B201" s="182"/>
      <c r="C201" s="10"/>
      <c r="D201" s="45"/>
      <c r="E201" s="14"/>
      <c r="F201" s="46"/>
      <c r="G201" s="45"/>
      <c r="H201" s="46"/>
      <c r="I201" s="95"/>
      <c r="J201" s="163" t="str">
        <f>IF(AND(A200&lt;&gt;"", A200='Regatta Attributes'!$B$4), "Break", "")</f>
        <v/>
      </c>
    </row>
    <row r="202" spans="1:10" ht="16" customHeight="1" x14ac:dyDescent="0.2">
      <c r="A202" s="180"/>
      <c r="B202" s="183"/>
      <c r="C202" s="26"/>
      <c r="D202" s="65"/>
      <c r="E202" s="66"/>
      <c r="F202" s="63"/>
      <c r="G202" s="63"/>
      <c r="H202" s="63"/>
      <c r="I202" s="99"/>
      <c r="J202" s="163" t="str">
        <f>IF(AND(A200&lt;&gt;"", A200='Regatta Attributes'!$B$4), "Break", "")</f>
        <v/>
      </c>
    </row>
    <row r="203" spans="1:10" ht="16" customHeight="1" x14ac:dyDescent="0.2">
      <c r="A203" s="180" t="str" cm="1">
        <f t="array" ref="A203">_xlfn.LET(_xlpm.EVENT, A200+1, IF($J200="Break", 'Regatta Attributes'!$B$4+1, IF(ISERROR(_xlpm.EVENT), "", IF($J201="Break", "", IF(_xlpm.EVENT &lt;= 'Regatta Attributes'!$B$1, _xlpm.EVENT, "")))))</f>
        <v/>
      </c>
      <c r="B203" s="181" t="str">
        <f>TEXT(IF(A203="", IF($J201="Break", "Break", ""), _xlfn.LET(_xlpm.CENTER, B200 + TIME(0, 'Regatta Attributes'!$B$2, 0), IF(ISERROR(_xlpm.CENTER), VLOOKUP('Regatta Attributes'!$B$4, $A:$B, 2, FALSE) + TIME(0, 'Regatta Attributes'!$B$5, 0), _xlpm.CENTER) )), "hh:mm AM/PM")</f>
        <v/>
      </c>
      <c r="C203" s="20"/>
      <c r="D203" s="43"/>
      <c r="E203" s="50"/>
      <c r="F203" s="44"/>
      <c r="G203" s="44"/>
      <c r="H203" s="50"/>
      <c r="I203" s="98"/>
      <c r="J203" s="163" t="str">
        <f>IF(AND(A200&lt;&gt;"", A200='Regatta Attributes'!$B$4), "Break", "")</f>
        <v/>
      </c>
    </row>
    <row r="204" spans="1:10" ht="16" customHeight="1" x14ac:dyDescent="0.2">
      <c r="A204" s="180"/>
      <c r="B204" s="182"/>
      <c r="C204" s="10"/>
      <c r="D204" s="45"/>
      <c r="E204" s="14"/>
      <c r="F204" s="46"/>
      <c r="G204" s="45"/>
      <c r="H204" s="46"/>
      <c r="I204" s="95"/>
      <c r="J204" s="163" t="str">
        <f>IF(AND(A203&lt;&gt;"", A203='Regatta Attributes'!$B$4), "Break", "")</f>
        <v/>
      </c>
    </row>
    <row r="205" spans="1:10" ht="16" customHeight="1" x14ac:dyDescent="0.2">
      <c r="A205" s="180"/>
      <c r="B205" s="183"/>
      <c r="C205" s="26"/>
      <c r="D205" s="65"/>
      <c r="E205" s="66"/>
      <c r="F205" s="63"/>
      <c r="G205" s="63"/>
      <c r="H205" s="63"/>
      <c r="I205" s="99"/>
      <c r="J205" s="163" t="str">
        <f>IF(AND(A203&lt;&gt;"", A203='Regatta Attributes'!$B$4), "Break", "")</f>
        <v/>
      </c>
    </row>
    <row r="206" spans="1:10" ht="16" customHeight="1" x14ac:dyDescent="0.2">
      <c r="A206" s="180" t="str" cm="1">
        <f t="array" ref="A206">_xlfn.LET(_xlpm.EVENT, A203+1, IF($J203="Break", 'Regatta Attributes'!$B$4+1, IF(ISERROR(_xlpm.EVENT), "", IF($J204="Break", "", IF(_xlpm.EVENT &lt;= 'Regatta Attributes'!$B$1, _xlpm.EVENT, "")))))</f>
        <v/>
      </c>
      <c r="B206" s="181" t="str">
        <f>TEXT(IF(A206="", IF($J204="Break", "Break", ""), _xlfn.LET(_xlpm.CENTER, B203 + TIME(0, 'Regatta Attributes'!$B$2, 0), IF(ISERROR(_xlpm.CENTER), VLOOKUP('Regatta Attributes'!$B$4, $A:$B, 2, FALSE) + TIME(0, 'Regatta Attributes'!$B$5, 0), _xlpm.CENTER) )), "hh:mm AM/PM")</f>
        <v/>
      </c>
      <c r="C206" s="20"/>
      <c r="D206" s="43"/>
      <c r="E206" s="50"/>
      <c r="F206" s="44"/>
      <c r="G206" s="44"/>
      <c r="H206" s="50"/>
      <c r="I206" s="98"/>
      <c r="J206" s="163" t="str">
        <f>IF(AND(A203&lt;&gt;"", A203='Regatta Attributes'!$B$4), "Break", "")</f>
        <v/>
      </c>
    </row>
    <row r="207" spans="1:10" ht="16" customHeight="1" x14ac:dyDescent="0.2">
      <c r="A207" s="180"/>
      <c r="B207" s="182"/>
      <c r="C207" s="10"/>
      <c r="D207" s="45"/>
      <c r="E207" s="14"/>
      <c r="F207" s="46"/>
      <c r="G207" s="45"/>
      <c r="H207" s="46"/>
      <c r="I207" s="95"/>
      <c r="J207" s="163" t="str">
        <f>IF(AND(A206&lt;&gt;"", A206='Regatta Attributes'!$B$4), "Break", "")</f>
        <v/>
      </c>
    </row>
    <row r="208" spans="1:10" ht="16" customHeight="1" x14ac:dyDescent="0.2">
      <c r="A208" s="180"/>
      <c r="B208" s="183"/>
      <c r="C208" s="26"/>
      <c r="D208" s="65"/>
      <c r="E208" s="66"/>
      <c r="F208" s="63"/>
      <c r="G208" s="63"/>
      <c r="H208" s="63"/>
      <c r="I208" s="99"/>
      <c r="J208" s="163" t="str">
        <f>IF(AND(A206&lt;&gt;"", A206='Regatta Attributes'!$B$4), "Break", "")</f>
        <v/>
      </c>
    </row>
    <row r="209" spans="1:10" ht="16" customHeight="1" x14ac:dyDescent="0.2">
      <c r="A209" s="180" t="str" cm="1">
        <f t="array" ref="A209">_xlfn.LET(_xlpm.EVENT, A206+1, IF($J206="Break", 'Regatta Attributes'!$B$4+1, IF(ISERROR(_xlpm.EVENT), "", IF($J207="Break", "", IF(_xlpm.EVENT &lt;= 'Regatta Attributes'!$B$1, _xlpm.EVENT, "")))))</f>
        <v/>
      </c>
      <c r="B209" s="181" t="str">
        <f>TEXT(IF(A209="", IF($J207="Break", "Break", ""), _xlfn.LET(_xlpm.CENTER, B206 + TIME(0, 'Regatta Attributes'!$B$2, 0), IF(ISERROR(_xlpm.CENTER), VLOOKUP('Regatta Attributes'!$B$4, $A:$B, 2, FALSE) + TIME(0, 'Regatta Attributes'!$B$5, 0), _xlpm.CENTER) )), "hh:mm AM/PM")</f>
        <v/>
      </c>
      <c r="C209" s="20"/>
      <c r="D209" s="43"/>
      <c r="E209" s="50"/>
      <c r="F209" s="44"/>
      <c r="G209" s="44"/>
      <c r="H209" s="50"/>
      <c r="I209" s="98"/>
      <c r="J209" s="163" t="str">
        <f>IF(AND(A206&lt;&gt;"", A206='Regatta Attributes'!$B$4), "Break", "")</f>
        <v/>
      </c>
    </row>
    <row r="210" spans="1:10" ht="16" customHeight="1" x14ac:dyDescent="0.2">
      <c r="A210" s="180"/>
      <c r="B210" s="182"/>
      <c r="C210" s="10"/>
      <c r="D210" s="45"/>
      <c r="E210" s="14"/>
      <c r="F210" s="46"/>
      <c r="G210" s="45"/>
      <c r="H210" s="46"/>
      <c r="I210" s="95"/>
      <c r="J210" s="163" t="str">
        <f>IF(AND(A209&lt;&gt;"", A209='Regatta Attributes'!$B$4), "Break", "")</f>
        <v/>
      </c>
    </row>
    <row r="211" spans="1:10" ht="16" customHeight="1" x14ac:dyDescent="0.2">
      <c r="A211" s="180"/>
      <c r="B211" s="183"/>
      <c r="C211" s="26"/>
      <c r="D211" s="65"/>
      <c r="E211" s="66"/>
      <c r="F211" s="63"/>
      <c r="G211" s="63"/>
      <c r="H211" s="63"/>
      <c r="I211" s="99"/>
      <c r="J211" s="163" t="str">
        <f>IF(AND(A209&lt;&gt;"", A209='Regatta Attributes'!$B$4), "Break", "")</f>
        <v/>
      </c>
    </row>
    <row r="212" spans="1:10" ht="16" customHeight="1" x14ac:dyDescent="0.2">
      <c r="A212" s="180" t="str" cm="1">
        <f t="array" ref="A212">_xlfn.LET(_xlpm.EVENT, A209+1, IF($J209="Break", 'Regatta Attributes'!$B$4+1, IF(ISERROR(_xlpm.EVENT), "", IF($J210="Break", "", IF(_xlpm.EVENT &lt;= 'Regatta Attributes'!$B$1, _xlpm.EVENT, "")))))</f>
        <v/>
      </c>
      <c r="B212" s="181" t="str">
        <f>TEXT(IF(A212="", IF($J210="Break", "Break", ""), _xlfn.LET(_xlpm.CENTER, B209 + TIME(0, 'Regatta Attributes'!$B$2, 0), IF(ISERROR(_xlpm.CENTER), VLOOKUP('Regatta Attributes'!$B$4, $A:$B, 2, FALSE) + TIME(0, 'Regatta Attributes'!$B$5, 0), _xlpm.CENTER) )), "hh:mm AM/PM")</f>
        <v/>
      </c>
      <c r="C212" s="20"/>
      <c r="D212" s="43"/>
      <c r="E212" s="50"/>
      <c r="F212" s="44"/>
      <c r="G212" s="44"/>
      <c r="H212" s="50"/>
      <c r="I212" s="98"/>
      <c r="J212" s="163" t="str">
        <f>IF(AND(A209&lt;&gt;"", A209='Regatta Attributes'!$B$4), "Break", "")</f>
        <v/>
      </c>
    </row>
    <row r="213" spans="1:10" ht="15.75" customHeight="1" x14ac:dyDescent="0.2">
      <c r="A213" s="180"/>
      <c r="B213" s="182"/>
      <c r="C213" s="10"/>
      <c r="D213" s="45"/>
      <c r="E213" s="14"/>
      <c r="F213" s="46"/>
      <c r="G213" s="45"/>
      <c r="H213" s="46"/>
      <c r="I213" s="99"/>
      <c r="J213" s="163" t="str">
        <f>IF(AND(A212&lt;&gt;"", A212='Regatta Attributes'!$B$4), "Break", "")</f>
        <v/>
      </c>
    </row>
    <row r="214" spans="1:10" ht="15.75" customHeight="1" x14ac:dyDescent="0.2">
      <c r="A214" s="180"/>
      <c r="B214" s="183"/>
      <c r="C214" s="26"/>
      <c r="D214" s="65"/>
      <c r="E214" s="66"/>
      <c r="F214" s="63"/>
      <c r="G214" s="63"/>
      <c r="H214" s="63"/>
      <c r="I214" s="133"/>
      <c r="J214" s="163" t="str">
        <f>IF(AND(A212&lt;&gt;"", A212='Regatta Attributes'!$B$4), "Break", "")</f>
        <v/>
      </c>
    </row>
    <row r="215" spans="1:10" ht="15.75" customHeight="1" x14ac:dyDescent="0.2">
      <c r="A215" s="174" t="str" cm="1">
        <f t="array" ref="A215">_xlfn.LET(_xlpm.EVENT, A212+1, IF($J212="Break", 'Regatta Attributes'!$B$4+1, IF(ISERROR(_xlpm.EVENT), "", IF($J213="Break", "", IF(_xlpm.EVENT &lt;= 'Regatta Attributes'!$B$1, _xlpm.EVENT, "")))))</f>
        <v/>
      </c>
      <c r="B215" s="177" t="str">
        <f>TEXT(IF(A215="", IF($J213="Break", "Break", ""), _xlfn.LET(_xlpm.CENTER, B212 + TIME(0, 'Regatta Attributes'!$B$2, 0), IF(ISERROR(_xlpm.CENTER), VLOOKUP('Regatta Attributes'!$B$4, $A:$B, 2, FALSE) + TIME(0, 'Regatta Attributes'!$B$5, 0), _xlpm.CENTER) )), "hh:mm AM/PM")</f>
        <v/>
      </c>
      <c r="C215" s="20"/>
      <c r="D215" s="43"/>
      <c r="E215" s="50"/>
      <c r="F215" s="44"/>
      <c r="G215" s="44"/>
      <c r="H215" s="50"/>
      <c r="I215" s="98"/>
      <c r="J215" s="163" t="str">
        <f>IF(AND(A212&lt;&gt;"", A212='Regatta Attributes'!$B$4), "Break", "")</f>
        <v/>
      </c>
    </row>
    <row r="216" spans="1:10" ht="15.75" customHeight="1" x14ac:dyDescent="0.2">
      <c r="A216" s="175"/>
      <c r="B216" s="178"/>
      <c r="C216" s="10"/>
      <c r="D216" s="45"/>
      <c r="E216" s="14"/>
      <c r="F216" s="46"/>
      <c r="G216" s="45"/>
      <c r="H216" s="46"/>
      <c r="I216" s="99"/>
      <c r="J216" s="163" t="str">
        <f>IF(AND(A215&lt;&gt;"", A215='Regatta Attributes'!$B$4), "Break", "")</f>
        <v/>
      </c>
    </row>
    <row r="217" spans="1:10" ht="15.75" customHeight="1" x14ac:dyDescent="0.2">
      <c r="A217" s="176"/>
      <c r="B217" s="179"/>
      <c r="C217" s="26"/>
      <c r="D217" s="65"/>
      <c r="E217" s="66"/>
      <c r="F217" s="63"/>
      <c r="G217" s="63"/>
      <c r="H217" s="63"/>
      <c r="I217" s="133"/>
      <c r="J217" s="163" t="str">
        <f>IF(AND(A215&lt;&gt;"", A215='Regatta Attributes'!$B$4), "Break", "")</f>
        <v/>
      </c>
    </row>
    <row r="218" spans="1:10" ht="15.75" customHeight="1" x14ac:dyDescent="0.2">
      <c r="A218" s="174" t="str" cm="1">
        <f t="array" ref="A218">_xlfn.LET(_xlpm.EVENT, A215+1, IF($J215="Break", 'Regatta Attributes'!$B$4+1, IF(ISERROR(_xlpm.EVENT), "", IF($J216="Break", "", IF(_xlpm.EVENT &lt;= 'Regatta Attributes'!$B$1, _xlpm.EVENT, "")))))</f>
        <v/>
      </c>
      <c r="B218" s="177" t="str">
        <f>TEXT(IF(A218="", IF($J216="Break", "Break", ""), _xlfn.LET(_xlpm.CENTER, B215 + TIME(0, 'Regatta Attributes'!$B$2, 0), IF(ISERROR(_xlpm.CENTER), VLOOKUP('Regatta Attributes'!$B$4, $A:$B, 2, FALSE) + TIME(0, 'Regatta Attributes'!$B$5, 0), _xlpm.CENTER) )), "hh:mm AM/PM")</f>
        <v/>
      </c>
      <c r="C218" s="20"/>
      <c r="D218" s="43"/>
      <c r="E218" s="50"/>
      <c r="F218" s="44"/>
      <c r="G218" s="44"/>
      <c r="H218" s="50"/>
      <c r="I218" s="98"/>
      <c r="J218" s="163" t="str">
        <f>IF(AND(A215&lt;&gt;"", A215='Regatta Attributes'!$B$4), "Break", "")</f>
        <v/>
      </c>
    </row>
    <row r="219" spans="1:10" ht="15.75" customHeight="1" x14ac:dyDescent="0.2">
      <c r="A219" s="175"/>
      <c r="B219" s="178"/>
      <c r="C219" s="10"/>
      <c r="D219" s="45"/>
      <c r="E219" s="14"/>
      <c r="F219" s="46"/>
      <c r="G219" s="45"/>
      <c r="H219" s="46"/>
      <c r="I219" s="99"/>
      <c r="J219" s="163" t="str">
        <f>IF(AND(A218&lt;&gt;"", A218='Regatta Attributes'!$B$4), "Break", "")</f>
        <v/>
      </c>
    </row>
    <row r="220" spans="1:10" ht="15.75" customHeight="1" x14ac:dyDescent="0.2">
      <c r="A220" s="176"/>
      <c r="B220" s="179"/>
      <c r="C220" s="26"/>
      <c r="D220" s="65"/>
      <c r="E220" s="66"/>
      <c r="F220" s="63"/>
      <c r="G220" s="63"/>
      <c r="H220" s="63"/>
      <c r="I220" s="133"/>
      <c r="J220" s="163" t="str">
        <f>IF(AND(A218&lt;&gt;"", A218='Regatta Attributes'!$B$4), "Break", "")</f>
        <v/>
      </c>
    </row>
    <row r="221" spans="1:10" ht="15.75" customHeight="1" x14ac:dyDescent="0.2">
      <c r="A221" s="174" t="str" cm="1">
        <f t="array" ref="A221">_xlfn.LET(_xlpm.EVENT, A218+1, IF($J218="Break", 'Regatta Attributes'!$B$4+1, IF(ISERROR(_xlpm.EVENT), "", IF($J219="Break", "", IF(_xlpm.EVENT &lt;= 'Regatta Attributes'!$B$1, _xlpm.EVENT, "")))))</f>
        <v/>
      </c>
      <c r="B221" s="177" t="str">
        <f>TEXT(IF(A221="", IF($J219="Break", "Break", ""), _xlfn.LET(_xlpm.CENTER, B218 + TIME(0, 'Regatta Attributes'!$B$2, 0), IF(ISERROR(_xlpm.CENTER), VLOOKUP('Regatta Attributes'!$B$4, $A:$B, 2, FALSE) + TIME(0, 'Regatta Attributes'!$B$5, 0), _xlpm.CENTER) )), "hh:mm AM/PM")</f>
        <v/>
      </c>
      <c r="C221" s="20"/>
      <c r="D221" s="43"/>
      <c r="E221" s="50"/>
      <c r="F221" s="44"/>
      <c r="G221" s="44"/>
      <c r="H221" s="50"/>
      <c r="I221" s="98"/>
      <c r="J221" s="163" t="str">
        <f>IF(AND(A218&lt;&gt;"", A218='Regatta Attributes'!$B$4), "Break", "")</f>
        <v/>
      </c>
    </row>
    <row r="222" spans="1:10" ht="15.75" customHeight="1" x14ac:dyDescent="0.2">
      <c r="A222" s="175"/>
      <c r="B222" s="178"/>
      <c r="C222" s="10"/>
      <c r="D222" s="45"/>
      <c r="E222" s="14"/>
      <c r="F222" s="46"/>
      <c r="G222" s="45"/>
      <c r="H222" s="46"/>
      <c r="I222" s="99"/>
      <c r="J222" s="163" t="str">
        <f>IF(AND(A221&lt;&gt;"", A221='Regatta Attributes'!$B$4), "Break", "")</f>
        <v/>
      </c>
    </row>
    <row r="223" spans="1:10" ht="15.75" customHeight="1" x14ac:dyDescent="0.2">
      <c r="A223" s="176"/>
      <c r="B223" s="179"/>
      <c r="C223" s="26"/>
      <c r="D223" s="65"/>
      <c r="E223" s="66"/>
      <c r="F223" s="63"/>
      <c r="G223" s="63"/>
      <c r="H223" s="63"/>
      <c r="I223" s="133"/>
      <c r="J223" s="163" t="str">
        <f>IF(AND(A221&lt;&gt;"", A221='Regatta Attributes'!$B$4), "Break", "")</f>
        <v/>
      </c>
    </row>
    <row r="224" spans="1:10" ht="15.75" customHeight="1" x14ac:dyDescent="0.2">
      <c r="A224" s="174" t="str" cm="1">
        <f t="array" ref="A224">_xlfn.LET(_xlpm.EVENT, A221+1, IF($J221="Break", 'Regatta Attributes'!$B$4+1, IF(ISERROR(_xlpm.EVENT), "", IF($J222="Break", "", IF(_xlpm.EVENT &lt;= 'Regatta Attributes'!$B$1, _xlpm.EVENT, "")))))</f>
        <v/>
      </c>
      <c r="B224" s="177" t="str">
        <f>TEXT(IF(A224="", IF($J222="Break", "Break", ""), _xlfn.LET(_xlpm.CENTER, B221 + TIME(0, 'Regatta Attributes'!$B$2, 0), IF(ISERROR(_xlpm.CENTER), VLOOKUP('Regatta Attributes'!$B$4, $A:$B, 2, FALSE) + TIME(0, 'Regatta Attributes'!$B$5, 0), _xlpm.CENTER) )), "hh:mm AM/PM")</f>
        <v/>
      </c>
      <c r="C224" s="20"/>
      <c r="D224" s="43"/>
      <c r="E224" s="50"/>
      <c r="F224" s="44"/>
      <c r="G224" s="44"/>
      <c r="H224" s="50"/>
      <c r="I224" s="98"/>
      <c r="J224" s="163" t="str">
        <f>IF(AND(A221&lt;&gt;"", A221='Regatta Attributes'!$B$4), "Break", "")</f>
        <v/>
      </c>
    </row>
    <row r="225" spans="1:10" ht="15.75" customHeight="1" x14ac:dyDescent="0.2">
      <c r="A225" s="175"/>
      <c r="B225" s="178"/>
      <c r="C225" s="10"/>
      <c r="D225" s="45"/>
      <c r="E225" s="14"/>
      <c r="F225" s="46"/>
      <c r="G225" s="45"/>
      <c r="H225" s="46"/>
      <c r="I225" s="99"/>
      <c r="J225" s="163" t="str">
        <f>IF(AND(A224&lt;&gt;"", A224='Regatta Attributes'!$B$4), "Break", "")</f>
        <v/>
      </c>
    </row>
    <row r="226" spans="1:10" ht="15.75" customHeight="1" x14ac:dyDescent="0.2">
      <c r="A226" s="176"/>
      <c r="B226" s="179"/>
      <c r="C226" s="26"/>
      <c r="D226" s="65"/>
      <c r="E226" s="66"/>
      <c r="F226" s="63"/>
      <c r="G226" s="63"/>
      <c r="H226" s="63"/>
      <c r="I226" s="133"/>
      <c r="J226" s="163" t="str">
        <f>IF(AND(A224&lt;&gt;"", A224='Regatta Attributes'!$B$4), "Break", "")</f>
        <v/>
      </c>
    </row>
    <row r="227" spans="1:10" ht="15.75" customHeight="1" x14ac:dyDescent="0.2">
      <c r="A227" s="174" t="str" cm="1">
        <f t="array" ref="A227">_xlfn.LET(_xlpm.EVENT, A224+1, IF($J224="Break", 'Regatta Attributes'!$B$4+1, IF(ISERROR(_xlpm.EVENT), "", IF($J225="Break", "", IF(_xlpm.EVENT &lt;= 'Regatta Attributes'!$B$1, _xlpm.EVENT, "")))))</f>
        <v/>
      </c>
      <c r="B227" s="177" t="str">
        <f>TEXT(IF(A227="", IF($J225="Break", "Break", ""), _xlfn.LET(_xlpm.CENTER, B224 + TIME(0, 'Regatta Attributes'!$B$2, 0), IF(ISERROR(_xlpm.CENTER), VLOOKUP('Regatta Attributes'!$B$4, $A:$B, 2, FALSE) + TIME(0, 'Regatta Attributes'!$B$5, 0), _xlpm.CENTER) )), "hh:mm AM/PM")</f>
        <v/>
      </c>
      <c r="C227" s="20"/>
      <c r="D227" s="43"/>
      <c r="E227" s="50"/>
      <c r="F227" s="44"/>
      <c r="G227" s="44"/>
      <c r="H227" s="50"/>
      <c r="I227" s="98"/>
      <c r="J227" s="163" t="str">
        <f>IF(AND(A224&lt;&gt;"", A224='Regatta Attributes'!$B$4), "Break", "")</f>
        <v/>
      </c>
    </row>
    <row r="228" spans="1:10" ht="15.75" customHeight="1" x14ac:dyDescent="0.2">
      <c r="A228" s="175"/>
      <c r="B228" s="178"/>
      <c r="C228" s="10"/>
      <c r="D228" s="45"/>
      <c r="E228" s="14"/>
      <c r="F228" s="46"/>
      <c r="G228" s="45"/>
      <c r="H228" s="46"/>
      <c r="I228" s="99"/>
      <c r="J228" s="163" t="str">
        <f>IF(AND(A227&lt;&gt;"", A227='Regatta Attributes'!$B$4), "Break", "")</f>
        <v/>
      </c>
    </row>
    <row r="229" spans="1:10" ht="15.75" customHeight="1" x14ac:dyDescent="0.2">
      <c r="A229" s="176"/>
      <c r="B229" s="179"/>
      <c r="C229" s="26"/>
      <c r="D229" s="65"/>
      <c r="E229" s="66"/>
      <c r="F229" s="63"/>
      <c r="G229" s="63"/>
      <c r="H229" s="63"/>
      <c r="I229" s="133"/>
      <c r="J229" s="163" t="str">
        <f>IF(AND(A227&lt;&gt;"", A227='Regatta Attributes'!$B$4), "Break", "")</f>
        <v/>
      </c>
    </row>
    <row r="230" spans="1:10" ht="15.75" customHeight="1" x14ac:dyDescent="0.2">
      <c r="A230" s="174" t="str" cm="1">
        <f t="array" ref="A230">_xlfn.LET(_xlpm.EVENT, A227+1, IF($J227="Break", 'Regatta Attributes'!$B$4+1, IF(ISERROR(_xlpm.EVENT), "", IF($J228="Break", "", IF(_xlpm.EVENT &lt;= 'Regatta Attributes'!$B$1, _xlpm.EVENT, "")))))</f>
        <v/>
      </c>
      <c r="B230" s="177" t="str">
        <f>TEXT(IF(A230="", IF($J228="Break", "Break", ""), _xlfn.LET(_xlpm.CENTER, B227 + TIME(0, 'Regatta Attributes'!$B$2, 0), IF(ISERROR(_xlpm.CENTER), VLOOKUP('Regatta Attributes'!$B$4, $A:$B, 2, FALSE) + TIME(0, 'Regatta Attributes'!$B$5, 0), _xlpm.CENTER) )), "hh:mm AM/PM")</f>
        <v/>
      </c>
      <c r="C230" s="20"/>
      <c r="D230" s="43"/>
      <c r="E230" s="50"/>
      <c r="F230" s="44"/>
      <c r="G230" s="44"/>
      <c r="H230" s="50"/>
      <c r="I230" s="98"/>
      <c r="J230" s="163" t="str">
        <f>IF(AND(A227&lt;&gt;"", A227='Regatta Attributes'!$B$4), "Break", "")</f>
        <v/>
      </c>
    </row>
    <row r="231" spans="1:10" ht="15.75" customHeight="1" x14ac:dyDescent="0.2">
      <c r="A231" s="175"/>
      <c r="B231" s="178"/>
      <c r="C231" s="10"/>
      <c r="D231" s="45"/>
      <c r="E231" s="14"/>
      <c r="F231" s="46"/>
      <c r="G231" s="45"/>
      <c r="H231" s="46"/>
      <c r="I231" s="99"/>
      <c r="J231" s="163" t="str">
        <f>IF(AND(A230&lt;&gt;"", A230='Regatta Attributes'!$B$4), "Break", "")</f>
        <v/>
      </c>
    </row>
    <row r="232" spans="1:10" ht="15.75" customHeight="1" x14ac:dyDescent="0.2">
      <c r="A232" s="176"/>
      <c r="B232" s="179"/>
      <c r="C232" s="26"/>
      <c r="D232" s="65"/>
      <c r="E232" s="66"/>
      <c r="F232" s="63"/>
      <c r="G232" s="63"/>
      <c r="H232" s="63"/>
      <c r="I232" s="133"/>
      <c r="J232" s="163" t="str">
        <f>IF(AND(A230&lt;&gt;"", A230='Regatta Attributes'!$B$4), "Break", "")</f>
        <v/>
      </c>
    </row>
    <row r="233" spans="1:10" ht="15.75" customHeight="1" x14ac:dyDescent="0.2">
      <c r="A233" s="174" t="str" cm="1">
        <f t="array" ref="A233">_xlfn.LET(_xlpm.EVENT, A230+1, IF($J230="Break", 'Regatta Attributes'!$B$4+1, IF(ISERROR(_xlpm.EVENT), "", IF($J231="Break", "", IF(_xlpm.EVENT &lt;= 'Regatta Attributes'!$B$1, _xlpm.EVENT, "")))))</f>
        <v/>
      </c>
      <c r="B233" s="177" t="str">
        <f>TEXT(IF(A233="", IF($J231="Break", "Break", ""), _xlfn.LET(_xlpm.CENTER, B230 + TIME(0, 'Regatta Attributes'!$B$2, 0), IF(ISERROR(_xlpm.CENTER), VLOOKUP('Regatta Attributes'!$B$4, $A:$B, 2, FALSE) + TIME(0, 'Regatta Attributes'!$B$5, 0), _xlpm.CENTER) )), "hh:mm AM/PM")</f>
        <v/>
      </c>
      <c r="C233" s="20"/>
      <c r="D233" s="43"/>
      <c r="E233" s="50"/>
      <c r="F233" s="44"/>
      <c r="G233" s="44"/>
      <c r="H233" s="50"/>
      <c r="I233" s="98"/>
      <c r="J233" s="163" t="str">
        <f>IF(AND(A230&lt;&gt;"", A230='Regatta Attributes'!$B$4), "Break", "")</f>
        <v/>
      </c>
    </row>
    <row r="234" spans="1:10" ht="15.75" customHeight="1" x14ac:dyDescent="0.2">
      <c r="A234" s="175"/>
      <c r="B234" s="178"/>
      <c r="C234" s="10"/>
      <c r="D234" s="45"/>
      <c r="E234" s="14"/>
      <c r="F234" s="46"/>
      <c r="G234" s="45"/>
      <c r="H234" s="46"/>
      <c r="I234" s="99"/>
      <c r="J234" s="163" t="str">
        <f>IF(AND(A233&lt;&gt;"", A233='Regatta Attributes'!$B$4), "Break", "")</f>
        <v/>
      </c>
    </row>
    <row r="235" spans="1:10" ht="15.75" customHeight="1" x14ac:dyDescent="0.2">
      <c r="A235" s="176"/>
      <c r="B235" s="179"/>
      <c r="C235" s="26"/>
      <c r="D235" s="65"/>
      <c r="E235" s="66"/>
      <c r="F235" s="63"/>
      <c r="G235" s="63"/>
      <c r="H235" s="63"/>
      <c r="I235" s="133"/>
      <c r="J235" s="163" t="str">
        <f>IF(AND(A233&lt;&gt;"", A233='Regatta Attributes'!$B$4), "Break", "")</f>
        <v/>
      </c>
    </row>
    <row r="236" spans="1:10" ht="15.75" customHeight="1" x14ac:dyDescent="0.2">
      <c r="A236" s="174" t="str" cm="1">
        <f t="array" ref="A236">_xlfn.LET(_xlpm.EVENT, A233+1, IF($J233="Break", 'Regatta Attributes'!$B$4+1, IF(ISERROR(_xlpm.EVENT), "", IF($J234="Break", "", IF(_xlpm.EVENT &lt;= 'Regatta Attributes'!$B$1, _xlpm.EVENT, "")))))</f>
        <v/>
      </c>
      <c r="B236" s="177" t="str">
        <f>TEXT(IF(A236="", IF($J234="Break", "Break", ""), _xlfn.LET(_xlpm.CENTER, B233 + TIME(0, 'Regatta Attributes'!$B$2, 0), IF(ISERROR(_xlpm.CENTER), VLOOKUP('Regatta Attributes'!$B$4, $A:$B, 2, FALSE) + TIME(0, 'Regatta Attributes'!$B$5, 0), _xlpm.CENTER) )), "hh:mm AM/PM")</f>
        <v/>
      </c>
      <c r="C236" s="20"/>
      <c r="D236" s="43"/>
      <c r="E236" s="50"/>
      <c r="F236" s="44"/>
      <c r="G236" s="44"/>
      <c r="H236" s="50"/>
      <c r="I236" s="98"/>
      <c r="J236" s="163" t="str">
        <f>IF(AND(A233&lt;&gt;"", A233='Regatta Attributes'!$B$4), "Break", "")</f>
        <v/>
      </c>
    </row>
    <row r="237" spans="1:10" ht="15.75" customHeight="1" x14ac:dyDescent="0.2">
      <c r="A237" s="175"/>
      <c r="B237" s="178"/>
      <c r="C237" s="10"/>
      <c r="D237" s="45"/>
      <c r="E237" s="14"/>
      <c r="F237" s="46"/>
      <c r="G237" s="45"/>
      <c r="H237" s="46"/>
      <c r="I237" s="99"/>
      <c r="J237" s="163" t="str">
        <f>IF(AND(A236&lt;&gt;"", A236='Regatta Attributes'!$B$4), "Break", "")</f>
        <v/>
      </c>
    </row>
    <row r="238" spans="1:10" ht="15.75" customHeight="1" x14ac:dyDescent="0.2">
      <c r="A238" s="176"/>
      <c r="B238" s="179"/>
      <c r="C238" s="26"/>
      <c r="D238" s="65"/>
      <c r="E238" s="66"/>
      <c r="F238" s="63"/>
      <c r="G238" s="63"/>
      <c r="H238" s="63"/>
      <c r="I238" s="133"/>
      <c r="J238" s="163" t="str">
        <f>IF(AND(A236&lt;&gt;"", A236='Regatta Attributes'!$B$4), "Break", "")</f>
        <v/>
      </c>
    </row>
    <row r="239" spans="1:10" ht="15.75" customHeight="1" x14ac:dyDescent="0.2">
      <c r="A239" s="174" t="str" cm="1">
        <f t="array" ref="A239">_xlfn.LET(_xlpm.EVENT, A236+1, IF($J236="Break", 'Regatta Attributes'!$B$4+1, IF(ISERROR(_xlpm.EVENT), "", IF($J237="Break", "", IF(_xlpm.EVENT &lt;= 'Regatta Attributes'!$B$1, _xlpm.EVENT, "")))))</f>
        <v/>
      </c>
      <c r="B239" s="177" t="str">
        <f>TEXT(IF(A239="", IF($J237="Break", "Break", ""), _xlfn.LET(_xlpm.CENTER, B236 + TIME(0, 'Regatta Attributes'!$B$2, 0), IF(ISERROR(_xlpm.CENTER), VLOOKUP('Regatta Attributes'!$B$4, $A:$B, 2, FALSE) + TIME(0, 'Regatta Attributes'!$B$5, 0), _xlpm.CENTER) )), "hh:mm AM/PM")</f>
        <v/>
      </c>
      <c r="C239" s="20"/>
      <c r="D239" s="43"/>
      <c r="E239" s="50"/>
      <c r="F239" s="44"/>
      <c r="G239" s="44"/>
      <c r="H239" s="50"/>
      <c r="I239" s="98"/>
      <c r="J239" s="163" t="str">
        <f>IF(AND(A236&lt;&gt;"", A236='Regatta Attributes'!$B$4), "Break", "")</f>
        <v/>
      </c>
    </row>
    <row r="240" spans="1:10" ht="15.75" customHeight="1" x14ac:dyDescent="0.2">
      <c r="A240" s="175"/>
      <c r="B240" s="178"/>
      <c r="C240" s="10"/>
      <c r="D240" s="45"/>
      <c r="E240" s="14"/>
      <c r="F240" s="46"/>
      <c r="G240" s="45"/>
      <c r="H240" s="46"/>
      <c r="I240" s="99"/>
      <c r="J240" s="163" t="str">
        <f>IF(AND(A239&lt;&gt;"", A239='Regatta Attributes'!$B$4), "Break", "")</f>
        <v/>
      </c>
    </row>
    <row r="241" spans="1:10" ht="15.75" customHeight="1" x14ac:dyDescent="0.2">
      <c r="A241" s="176"/>
      <c r="B241" s="179"/>
      <c r="C241" s="26"/>
      <c r="D241" s="65"/>
      <c r="E241" s="66"/>
      <c r="F241" s="63"/>
      <c r="G241" s="63"/>
      <c r="H241" s="63"/>
      <c r="I241" s="133"/>
      <c r="J241" s="163" t="str">
        <f>IF(AND(A239&lt;&gt;"", A239='Regatta Attributes'!$B$4), "Break", "")</f>
        <v/>
      </c>
    </row>
    <row r="242" spans="1:10" ht="15.75" customHeight="1" x14ac:dyDescent="0.2">
      <c r="A242" s="174" t="str" cm="1">
        <f t="array" ref="A242">_xlfn.LET(_xlpm.EVENT, A239+1, IF($J239="Break", 'Regatta Attributes'!$B$4+1, IF(ISERROR(_xlpm.EVENT), "", IF($J240="Break", "", IF(_xlpm.EVENT &lt;= 'Regatta Attributes'!$B$1, _xlpm.EVENT, "")))))</f>
        <v/>
      </c>
      <c r="B242" s="177" t="str">
        <f>TEXT(IF(A242="", IF($J240="Break", "Break", ""), _xlfn.LET(_xlpm.CENTER, B239 + TIME(0, 'Regatta Attributes'!$B$2, 0), IF(ISERROR(_xlpm.CENTER), VLOOKUP('Regatta Attributes'!$B$4, $A:$B, 2, FALSE) + TIME(0, 'Regatta Attributes'!$B$5, 0), _xlpm.CENTER) )), "hh:mm AM/PM")</f>
        <v/>
      </c>
      <c r="C242" s="20"/>
      <c r="D242" s="43"/>
      <c r="E242" s="50"/>
      <c r="F242" s="44"/>
      <c r="G242" s="44"/>
      <c r="H242" s="50"/>
      <c r="I242" s="98"/>
      <c r="J242" s="163" t="str">
        <f>IF(AND(A239&lt;&gt;"", A239='Regatta Attributes'!$B$4), "Break", "")</f>
        <v/>
      </c>
    </row>
    <row r="243" spans="1:10" ht="15.75" customHeight="1" x14ac:dyDescent="0.2">
      <c r="A243" s="175"/>
      <c r="B243" s="178"/>
      <c r="C243" s="10"/>
      <c r="D243" s="45"/>
      <c r="E243" s="14"/>
      <c r="F243" s="46"/>
      <c r="G243" s="45"/>
      <c r="H243" s="46"/>
      <c r="I243" s="99"/>
      <c r="J243" s="163" t="str">
        <f>IF(AND(A242&lt;&gt;"", A242='Regatta Attributes'!$B$4), "Break", "")</f>
        <v/>
      </c>
    </row>
    <row r="244" spans="1:10" ht="15.75" customHeight="1" x14ac:dyDescent="0.2">
      <c r="A244" s="176"/>
      <c r="B244" s="179"/>
      <c r="C244" s="26"/>
      <c r="D244" s="65"/>
      <c r="E244" s="66"/>
      <c r="F244" s="63"/>
      <c r="G244" s="63"/>
      <c r="H244" s="63"/>
      <c r="I244" s="133"/>
      <c r="J244" s="163" t="str">
        <f>IF(AND(A242&lt;&gt;"", A242='Regatta Attributes'!$B$4), "Break", "")</f>
        <v/>
      </c>
    </row>
    <row r="245" spans="1:10" ht="15.75" customHeight="1" x14ac:dyDescent="0.2">
      <c r="A245" s="174" t="str" cm="1">
        <f t="array" ref="A245">_xlfn.LET(_xlpm.EVENT, A242+1, IF($J242="Break", 'Regatta Attributes'!$B$4+1, IF(ISERROR(_xlpm.EVENT), "", IF($J243="Break", "", IF(_xlpm.EVENT &lt;= 'Regatta Attributes'!$B$1, _xlpm.EVENT, "")))))</f>
        <v/>
      </c>
      <c r="B245" s="177" t="str">
        <f>TEXT(IF(A245="", IF($J243="Break", "Break", ""), _xlfn.LET(_xlpm.CENTER, B242 + TIME(0, 'Regatta Attributes'!$B$2, 0), IF(ISERROR(_xlpm.CENTER), VLOOKUP('Regatta Attributes'!$B$4, $A:$B, 2, FALSE) + TIME(0, 'Regatta Attributes'!$B$5, 0), _xlpm.CENTER) )), "hh:mm AM/PM")</f>
        <v/>
      </c>
      <c r="C245" s="20"/>
      <c r="D245" s="43"/>
      <c r="E245" s="50"/>
      <c r="F245" s="44"/>
      <c r="G245" s="44"/>
      <c r="H245" s="50"/>
      <c r="I245" s="98"/>
      <c r="J245" s="163" t="str">
        <f>IF(AND(A242&lt;&gt;"", A242='Regatta Attributes'!$B$4), "Break", "")</f>
        <v/>
      </c>
    </row>
    <row r="246" spans="1:10" ht="15.75" customHeight="1" x14ac:dyDescent="0.2">
      <c r="A246" s="175"/>
      <c r="B246" s="178"/>
      <c r="C246" s="10"/>
      <c r="D246" s="45"/>
      <c r="E246" s="14"/>
      <c r="F246" s="46"/>
      <c r="G246" s="45"/>
      <c r="H246" s="46"/>
      <c r="I246" s="99"/>
      <c r="J246" s="163" t="str">
        <f>IF(AND(A245&lt;&gt;"", A245='Regatta Attributes'!$B$4), "Break", "")</f>
        <v/>
      </c>
    </row>
    <row r="247" spans="1:10" ht="15.75" customHeight="1" x14ac:dyDescent="0.2">
      <c r="A247" s="176"/>
      <c r="B247" s="179"/>
      <c r="C247" s="26"/>
      <c r="D247" s="65"/>
      <c r="E247" s="66"/>
      <c r="F247" s="63"/>
      <c r="G247" s="63"/>
      <c r="H247" s="63"/>
      <c r="I247" s="133"/>
      <c r="J247" s="163" t="str">
        <f>IF(AND(A245&lt;&gt;"", A245='Regatta Attributes'!$B$4), "Break", "")</f>
        <v/>
      </c>
    </row>
    <row r="248" spans="1:10" ht="15.75" customHeight="1" x14ac:dyDescent="0.2">
      <c r="A248" s="174" t="str" cm="1">
        <f t="array" ref="A248">_xlfn.LET(_xlpm.EVENT, A245+1, IF($J245="Break", 'Regatta Attributes'!$B$4+1, IF(ISERROR(_xlpm.EVENT), "", IF($J246="Break", "", IF(_xlpm.EVENT &lt;= 'Regatta Attributes'!$B$1, _xlpm.EVENT, "")))))</f>
        <v/>
      </c>
      <c r="B248" s="177" t="str">
        <f>TEXT(IF(A248="", IF($J246="Break", "Break", ""), _xlfn.LET(_xlpm.CENTER, B245 + TIME(0, 'Regatta Attributes'!$B$2, 0), IF(ISERROR(_xlpm.CENTER), VLOOKUP('Regatta Attributes'!$B$4, $A:$B, 2, FALSE) + TIME(0, 'Regatta Attributes'!$B$5, 0), _xlpm.CENTER) )), "hh:mm AM/PM")</f>
        <v/>
      </c>
      <c r="C248" s="20"/>
      <c r="D248" s="43"/>
      <c r="E248" s="50"/>
      <c r="F248" s="44"/>
      <c r="G248" s="44"/>
      <c r="H248" s="50"/>
      <c r="I248" s="98"/>
      <c r="J248" s="163" t="str">
        <f>IF(AND(A245&lt;&gt;"", A245='Regatta Attributes'!$B$4), "Break", "")</f>
        <v/>
      </c>
    </row>
    <row r="249" spans="1:10" ht="15.75" customHeight="1" x14ac:dyDescent="0.2">
      <c r="A249" s="175"/>
      <c r="B249" s="178"/>
      <c r="C249" s="10"/>
      <c r="D249" s="45"/>
      <c r="E249" s="14"/>
      <c r="F249" s="46"/>
      <c r="G249" s="45"/>
      <c r="H249" s="46"/>
      <c r="I249" s="99"/>
      <c r="J249" s="163" t="str">
        <f>IF(AND(A248&lt;&gt;"", A248='Regatta Attributes'!$B$4), "Break", "")</f>
        <v/>
      </c>
    </row>
    <row r="250" spans="1:10" ht="15.75" customHeight="1" x14ac:dyDescent="0.2">
      <c r="A250" s="176"/>
      <c r="B250" s="179"/>
      <c r="C250" s="26"/>
      <c r="D250" s="65"/>
      <c r="E250" s="66"/>
      <c r="F250" s="63"/>
      <c r="G250" s="63"/>
      <c r="H250" s="63"/>
      <c r="I250" s="133"/>
      <c r="J250" s="163" t="str">
        <f>IF(AND(A248&lt;&gt;"", A248='Regatta Attributes'!$B$4), "Break", "")</f>
        <v/>
      </c>
    </row>
    <row r="251" spans="1:10" ht="15.75" customHeight="1" x14ac:dyDescent="0.2">
      <c r="A251" s="174" t="str" cm="1">
        <f t="array" ref="A251">_xlfn.LET(_xlpm.EVENT, A248+1, IF($J248="Break", 'Regatta Attributes'!$B$4+1, IF(ISERROR(_xlpm.EVENT), "", IF($J249="Break", "", IF(_xlpm.EVENT &lt;= 'Regatta Attributes'!$B$1, _xlpm.EVENT, "")))))</f>
        <v/>
      </c>
      <c r="B251" s="177" t="str">
        <f>TEXT(IF(A251="", IF($J249="Break", "Break", ""), _xlfn.LET(_xlpm.CENTER, B248 + TIME(0, 'Regatta Attributes'!$B$2, 0), IF(ISERROR(_xlpm.CENTER), VLOOKUP('Regatta Attributes'!$B$4, $A:$B, 2, FALSE) + TIME(0, 'Regatta Attributes'!$B$5, 0), _xlpm.CENTER) )), "hh:mm AM/PM")</f>
        <v/>
      </c>
      <c r="C251" s="20"/>
      <c r="D251" s="43"/>
      <c r="E251" s="50"/>
      <c r="F251" s="44"/>
      <c r="G251" s="44"/>
      <c r="H251" s="50"/>
      <c r="I251" s="98"/>
      <c r="J251" s="163" t="str">
        <f>IF(AND(A248&lt;&gt;"", A248='Regatta Attributes'!$B$4), "Break", "")</f>
        <v/>
      </c>
    </row>
    <row r="252" spans="1:10" ht="15.75" customHeight="1" x14ac:dyDescent="0.2">
      <c r="A252" s="175"/>
      <c r="B252" s="178"/>
      <c r="C252" s="10"/>
      <c r="D252" s="45"/>
      <c r="E252" s="14"/>
      <c r="F252" s="46"/>
      <c r="G252" s="45"/>
      <c r="H252" s="46"/>
      <c r="I252" s="99"/>
      <c r="J252" s="163" t="str">
        <f>IF(AND(A251&lt;&gt;"", A251='Regatta Attributes'!$B$4), "Break", "")</f>
        <v/>
      </c>
    </row>
    <row r="253" spans="1:10" ht="15.75" customHeight="1" x14ac:dyDescent="0.2">
      <c r="A253" s="176"/>
      <c r="B253" s="179"/>
      <c r="C253" s="26"/>
      <c r="D253" s="65"/>
      <c r="E253" s="66"/>
      <c r="F253" s="63"/>
      <c r="G253" s="63"/>
      <c r="H253" s="63"/>
      <c r="I253" s="133"/>
      <c r="J253" s="163" t="str">
        <f>IF(AND(A251&lt;&gt;"", A251='Regatta Attributes'!$B$4), "Break", "")</f>
        <v/>
      </c>
    </row>
    <row r="254" spans="1:10" ht="15.75" customHeight="1" x14ac:dyDescent="0.2">
      <c r="A254" s="174" t="str" cm="1">
        <f t="array" ref="A254">_xlfn.LET(_xlpm.EVENT, A251+1, IF($J251="Break", 'Regatta Attributes'!$B$4+1, IF(ISERROR(_xlpm.EVENT), "", IF($J252="Break", "", IF(_xlpm.EVENT &lt;= 'Regatta Attributes'!$B$1, _xlpm.EVENT, "")))))</f>
        <v/>
      </c>
      <c r="B254" s="177" t="str">
        <f>TEXT(IF(A254="", IF($J252="Break", "Break", ""), _xlfn.LET(_xlpm.CENTER, B251 + TIME(0, 'Regatta Attributes'!$B$2, 0), IF(ISERROR(_xlpm.CENTER), VLOOKUP('Regatta Attributes'!$B$4, $A:$B, 2, FALSE) + TIME(0, 'Regatta Attributes'!$B$5, 0), _xlpm.CENTER) )), "hh:mm AM/PM")</f>
        <v/>
      </c>
      <c r="C254" s="20"/>
      <c r="D254" s="43"/>
      <c r="E254" s="50"/>
      <c r="F254" s="44"/>
      <c r="G254" s="44"/>
      <c r="H254" s="50"/>
      <c r="I254" s="98"/>
      <c r="J254" s="163" t="str">
        <f>IF(AND(A251&lt;&gt;"", A251='Regatta Attributes'!$B$4), "Break", "")</f>
        <v/>
      </c>
    </row>
    <row r="255" spans="1:10" ht="15.75" customHeight="1" x14ac:dyDescent="0.2">
      <c r="A255" s="175"/>
      <c r="B255" s="178"/>
      <c r="C255" s="10"/>
      <c r="D255" s="45"/>
      <c r="E255" s="14"/>
      <c r="F255" s="46"/>
      <c r="G255" s="45"/>
      <c r="H255" s="46"/>
      <c r="I255" s="99"/>
      <c r="J255" s="163" t="str">
        <f>IF(AND(A254&lt;&gt;"", A254='Regatta Attributes'!$B$4), "Break", "")</f>
        <v/>
      </c>
    </row>
    <row r="256" spans="1:10" ht="15.75" customHeight="1" x14ac:dyDescent="0.2">
      <c r="A256" s="176"/>
      <c r="B256" s="179"/>
      <c r="C256" s="26"/>
      <c r="D256" s="65"/>
      <c r="E256" s="66"/>
      <c r="F256" s="63"/>
      <c r="G256" s="63"/>
      <c r="H256" s="63"/>
      <c r="I256" s="133"/>
      <c r="J256" s="163" t="str">
        <f>IF(AND(A254&lt;&gt;"", A254='Regatta Attributes'!$B$4), "Break", "")</f>
        <v/>
      </c>
    </row>
    <row r="257" spans="1:10" ht="15.75" customHeight="1" x14ac:dyDescent="0.2">
      <c r="A257" s="174" t="str" cm="1">
        <f t="array" ref="A257">_xlfn.LET(_xlpm.EVENT, A254+1, IF($J254="Break", 'Regatta Attributes'!$B$4+1, IF(ISERROR(_xlpm.EVENT), "", IF($J255="Break", "", IF(_xlpm.EVENT &lt;= 'Regatta Attributes'!$B$1, _xlpm.EVENT, "")))))</f>
        <v/>
      </c>
      <c r="B257" s="177" t="str">
        <f>TEXT(IF(A257="", IF($J255="Break", "Break", ""), _xlfn.LET(_xlpm.CENTER, B254 + TIME(0, 'Regatta Attributes'!$B$2, 0), IF(ISERROR(_xlpm.CENTER), VLOOKUP('Regatta Attributes'!$B$4, $A:$B, 2, FALSE) + TIME(0, 'Regatta Attributes'!$B$5, 0), _xlpm.CENTER) )), "hh:mm AM/PM")</f>
        <v/>
      </c>
      <c r="C257" s="20"/>
      <c r="D257" s="43"/>
      <c r="E257" s="50"/>
      <c r="F257" s="44"/>
      <c r="G257" s="44"/>
      <c r="H257" s="50"/>
      <c r="I257" s="98"/>
      <c r="J257" s="163" t="str">
        <f>IF(AND(A254&lt;&gt;"", A254='Regatta Attributes'!$B$4), "Break", "")</f>
        <v/>
      </c>
    </row>
    <row r="258" spans="1:10" ht="15.75" customHeight="1" x14ac:dyDescent="0.2">
      <c r="A258" s="175"/>
      <c r="B258" s="178"/>
      <c r="C258" s="10"/>
      <c r="D258" s="45"/>
      <c r="E258" s="14"/>
      <c r="F258" s="46"/>
      <c r="G258" s="45"/>
      <c r="H258" s="46"/>
      <c r="I258" s="99"/>
      <c r="J258" s="163" t="str">
        <f>IF(AND(A257&lt;&gt;"", A257='Regatta Attributes'!$B$4), "Break", "")</f>
        <v/>
      </c>
    </row>
    <row r="259" spans="1:10" ht="15.75" customHeight="1" x14ac:dyDescent="0.2">
      <c r="A259" s="176"/>
      <c r="B259" s="179"/>
      <c r="C259" s="26"/>
      <c r="D259" s="65"/>
      <c r="E259" s="66"/>
      <c r="F259" s="63"/>
      <c r="G259" s="63"/>
      <c r="H259" s="63"/>
      <c r="I259" s="133"/>
      <c r="J259" s="163" t="str">
        <f>IF(AND(A257&lt;&gt;"", A257='Regatta Attributes'!$B$4), "Break", "")</f>
        <v/>
      </c>
    </row>
    <row r="260" spans="1:10" ht="15.75" customHeight="1" x14ac:dyDescent="0.2">
      <c r="A260" s="174" t="str" cm="1">
        <f t="array" ref="A260">_xlfn.LET(_xlpm.EVENT, A257+1, IF($J257="Break", 'Regatta Attributes'!$B$4+1, IF(ISERROR(_xlpm.EVENT), "", IF($J258="Break", "", IF(_xlpm.EVENT &lt;= 'Regatta Attributes'!$B$1, _xlpm.EVENT, "")))))</f>
        <v/>
      </c>
      <c r="B260" s="177" t="str">
        <f>TEXT(IF(A260="", IF($J258="Break", "Break", ""), _xlfn.LET(_xlpm.CENTER, B257 + TIME(0, 'Regatta Attributes'!$B$2, 0), IF(ISERROR(_xlpm.CENTER), VLOOKUP('Regatta Attributes'!$B$4, $A:$B, 2, FALSE) + TIME(0, 'Regatta Attributes'!$B$5, 0), _xlpm.CENTER) )), "hh:mm AM/PM")</f>
        <v/>
      </c>
      <c r="C260" s="20"/>
      <c r="D260" s="43"/>
      <c r="E260" s="50"/>
      <c r="F260" s="44"/>
      <c r="G260" s="44"/>
      <c r="H260" s="50"/>
      <c r="I260" s="98"/>
      <c r="J260" s="163" t="str">
        <f>IF(AND(A257&lt;&gt;"", A257='Regatta Attributes'!$B$4), "Break", "")</f>
        <v/>
      </c>
    </row>
    <row r="261" spans="1:10" ht="15.75" customHeight="1" x14ac:dyDescent="0.2">
      <c r="A261" s="175"/>
      <c r="B261" s="178"/>
      <c r="C261" s="10"/>
      <c r="D261" s="45"/>
      <c r="E261" s="14"/>
      <c r="F261" s="46"/>
      <c r="G261" s="45"/>
      <c r="H261" s="46"/>
      <c r="I261" s="99"/>
      <c r="J261" s="163" t="str">
        <f>IF(AND(A260&lt;&gt;"", A260='Regatta Attributes'!$B$4), "Break", "")</f>
        <v/>
      </c>
    </row>
    <row r="262" spans="1:10" ht="15.75" customHeight="1" x14ac:dyDescent="0.2">
      <c r="A262" s="176"/>
      <c r="B262" s="179"/>
      <c r="C262" s="26"/>
      <c r="D262" s="65"/>
      <c r="E262" s="66"/>
      <c r="F262" s="63"/>
      <c r="G262" s="63"/>
      <c r="H262" s="63"/>
      <c r="I262" s="133"/>
      <c r="J262" s="163" t="str">
        <f>IF(AND(A260&lt;&gt;"", A260='Regatta Attributes'!$B$4), "Break", "")</f>
        <v/>
      </c>
    </row>
    <row r="263" spans="1:10" ht="15.75" customHeight="1" x14ac:dyDescent="0.2">
      <c r="A263" s="174" t="str" cm="1">
        <f t="array" ref="A263">_xlfn.LET(_xlpm.EVENT, A260+1, IF($J260="Break", 'Regatta Attributes'!$B$4+1, IF(ISERROR(_xlpm.EVENT), "", IF($J261="Break", "", IF(_xlpm.EVENT &lt;= 'Regatta Attributes'!$B$1, _xlpm.EVENT, "")))))</f>
        <v/>
      </c>
      <c r="B263" s="177" t="str">
        <f>TEXT(IF(A263="", IF($J261="Break", "Break", ""), _xlfn.LET(_xlpm.CENTER, B260 + TIME(0, 'Regatta Attributes'!$B$2, 0), IF(ISERROR(_xlpm.CENTER), VLOOKUP('Regatta Attributes'!$B$4, $A:$B, 2, FALSE) + TIME(0, 'Regatta Attributes'!$B$5, 0), _xlpm.CENTER) )), "hh:mm AM/PM")</f>
        <v/>
      </c>
      <c r="C263" s="20"/>
      <c r="D263" s="43"/>
      <c r="E263" s="50"/>
      <c r="F263" s="44"/>
      <c r="G263" s="44"/>
      <c r="H263" s="50"/>
      <c r="I263" s="98"/>
      <c r="J263" s="163" t="str">
        <f>IF(AND(A260&lt;&gt;"", A260='Regatta Attributes'!$B$4), "Break", "")</f>
        <v/>
      </c>
    </row>
    <row r="264" spans="1:10" ht="15.75" customHeight="1" x14ac:dyDescent="0.2">
      <c r="A264" s="175"/>
      <c r="B264" s="178"/>
      <c r="C264" s="10"/>
      <c r="D264" s="45"/>
      <c r="E264" s="14"/>
      <c r="F264" s="46"/>
      <c r="G264" s="45"/>
      <c r="H264" s="46"/>
      <c r="I264" s="99"/>
      <c r="J264" s="163" t="str">
        <f>IF(AND(A263&lt;&gt;"", A263='Regatta Attributes'!$B$4), "Break", "")</f>
        <v/>
      </c>
    </row>
    <row r="265" spans="1:10" ht="15.75" customHeight="1" x14ac:dyDescent="0.2">
      <c r="A265" s="176"/>
      <c r="B265" s="179"/>
      <c r="C265" s="26"/>
      <c r="D265" s="65"/>
      <c r="E265" s="66"/>
      <c r="F265" s="63"/>
      <c r="G265" s="63"/>
      <c r="H265" s="63"/>
      <c r="I265" s="133"/>
      <c r="J265" s="163" t="str">
        <f>IF(AND(A263&lt;&gt;"", A263='Regatta Attributes'!$B$4), "Break", "")</f>
        <v/>
      </c>
    </row>
    <row r="266" spans="1:10" ht="15.75" customHeight="1" x14ac:dyDescent="0.2">
      <c r="A266" s="174" t="str" cm="1">
        <f t="array" ref="A266">_xlfn.LET(_xlpm.EVENT, A263+1, IF($J263="Break", 'Regatta Attributes'!$B$4+1, IF(ISERROR(_xlpm.EVENT), "", IF($J264="Break", "", IF(_xlpm.EVENT &lt;= 'Regatta Attributes'!$B$1, _xlpm.EVENT, "")))))</f>
        <v/>
      </c>
      <c r="B266" s="177" t="str">
        <f>TEXT(IF(A266="", IF($J264="Break", "Break", ""), _xlfn.LET(_xlpm.CENTER, B263 + TIME(0, 'Regatta Attributes'!$B$2, 0), IF(ISERROR(_xlpm.CENTER), VLOOKUP('Regatta Attributes'!$B$4, $A:$B, 2, FALSE) + TIME(0, 'Regatta Attributes'!$B$5, 0), _xlpm.CENTER) )), "hh:mm AM/PM")</f>
        <v/>
      </c>
      <c r="C266" s="20"/>
      <c r="D266" s="43"/>
      <c r="E266" s="50"/>
      <c r="F266" s="44"/>
      <c r="G266" s="44"/>
      <c r="H266" s="50"/>
      <c r="I266" s="98"/>
      <c r="J266" s="163" t="str">
        <f>IF(AND(A263&lt;&gt;"", A263='Regatta Attributes'!$B$4), "Break", "")</f>
        <v/>
      </c>
    </row>
    <row r="267" spans="1:10" ht="15.75" customHeight="1" x14ac:dyDescent="0.2">
      <c r="A267" s="175"/>
      <c r="B267" s="178"/>
      <c r="C267" s="10"/>
      <c r="D267" s="45"/>
      <c r="E267" s="14"/>
      <c r="F267" s="46"/>
      <c r="G267" s="45"/>
      <c r="H267" s="46"/>
      <c r="I267" s="99"/>
      <c r="J267" s="163" t="str">
        <f>IF(AND(A266&lt;&gt;"", A266='Regatta Attributes'!$B$4), "Break", "")</f>
        <v/>
      </c>
    </row>
    <row r="268" spans="1:10" ht="15.75" customHeight="1" x14ac:dyDescent="0.2">
      <c r="A268" s="176"/>
      <c r="B268" s="179"/>
      <c r="C268" s="26"/>
      <c r="D268" s="65"/>
      <c r="E268" s="66"/>
      <c r="F268" s="63"/>
      <c r="G268" s="63"/>
      <c r="H268" s="63"/>
      <c r="I268" s="133"/>
      <c r="J268" s="163" t="str">
        <f>IF(AND(A266&lt;&gt;"", A266='Regatta Attributes'!$B$4), "Break", "")</f>
        <v/>
      </c>
    </row>
    <row r="269" spans="1:10" ht="15.75" customHeight="1" x14ac:dyDescent="0.2">
      <c r="A269" s="174" t="str" cm="1">
        <f t="array" ref="A269">_xlfn.LET(_xlpm.EVENT, A266+1, IF($J266="Break", 'Regatta Attributes'!$B$4+1, IF(ISERROR(_xlpm.EVENT), "", IF($J267="Break", "", IF(_xlpm.EVENT &lt;= 'Regatta Attributes'!$B$1, _xlpm.EVENT, "")))))</f>
        <v/>
      </c>
      <c r="B269" s="177" t="str">
        <f>TEXT(IF(A269="", IF($J267="Break", "Break", ""), _xlfn.LET(_xlpm.CENTER, B266 + TIME(0, 'Regatta Attributes'!$B$2, 0), IF(ISERROR(_xlpm.CENTER), VLOOKUP('Regatta Attributes'!$B$4, $A:$B, 2, FALSE) + TIME(0, 'Regatta Attributes'!$B$5, 0), _xlpm.CENTER) )), "hh:mm AM/PM")</f>
        <v/>
      </c>
      <c r="C269" s="20"/>
      <c r="D269" s="43"/>
      <c r="E269" s="50"/>
      <c r="F269" s="44"/>
      <c r="G269" s="44"/>
      <c r="H269" s="50"/>
      <c r="I269" s="98"/>
      <c r="J269" s="163" t="str">
        <f>IF(AND(A266&lt;&gt;"", A266='Regatta Attributes'!$B$4), "Break", "")</f>
        <v/>
      </c>
    </row>
    <row r="270" spans="1:10" ht="15.75" customHeight="1" x14ac:dyDescent="0.2">
      <c r="A270" s="175"/>
      <c r="B270" s="178"/>
      <c r="C270" s="10"/>
      <c r="D270" s="45"/>
      <c r="E270" s="14"/>
      <c r="F270" s="46"/>
      <c r="G270" s="45"/>
      <c r="H270" s="46"/>
      <c r="I270" s="99"/>
      <c r="J270" s="163" t="str">
        <f>IF(AND(A269&lt;&gt;"", A269='Regatta Attributes'!$B$4), "Break", "")</f>
        <v/>
      </c>
    </row>
    <row r="271" spans="1:10" ht="15.75" customHeight="1" x14ac:dyDescent="0.2">
      <c r="A271" s="176"/>
      <c r="B271" s="179"/>
      <c r="C271" s="26"/>
      <c r="D271" s="65"/>
      <c r="E271" s="66"/>
      <c r="F271" s="63"/>
      <c r="G271" s="63"/>
      <c r="H271" s="63"/>
      <c r="I271" s="133"/>
      <c r="J271" s="163" t="str">
        <f>IF(AND(A269&lt;&gt;"", A269='Regatta Attributes'!$B$4), "Break", "")</f>
        <v/>
      </c>
    </row>
    <row r="272" spans="1:10" ht="15.75" customHeight="1" x14ac:dyDescent="0.2">
      <c r="A272" s="174" t="str" cm="1">
        <f t="array" ref="A272">_xlfn.LET(_xlpm.EVENT, A269+1, IF($J269="Break", 'Regatta Attributes'!$B$4+1, IF(ISERROR(_xlpm.EVENT), "", IF($J270="Break", "", IF(_xlpm.EVENT &lt;= 'Regatta Attributes'!$B$1, _xlpm.EVENT, "")))))</f>
        <v/>
      </c>
      <c r="B272" s="177" t="str">
        <f>TEXT(IF(A272="", IF($J270="Break", "Break", ""), _xlfn.LET(_xlpm.CENTER, B269 + TIME(0, 'Regatta Attributes'!$B$2, 0), IF(ISERROR(_xlpm.CENTER), VLOOKUP('Regatta Attributes'!$B$4, $A:$B, 2, FALSE) + TIME(0, 'Regatta Attributes'!$B$5, 0), _xlpm.CENTER) )), "hh:mm AM/PM")</f>
        <v/>
      </c>
      <c r="C272" s="20"/>
      <c r="D272" s="43"/>
      <c r="E272" s="50"/>
      <c r="F272" s="44"/>
      <c r="G272" s="44"/>
      <c r="H272" s="50"/>
      <c r="I272" s="98"/>
      <c r="J272" s="163" t="str">
        <f>IF(AND(A269&lt;&gt;"", A269='Regatta Attributes'!$B$4), "Break", "")</f>
        <v/>
      </c>
    </row>
    <row r="273" spans="1:10" ht="15.75" customHeight="1" x14ac:dyDescent="0.2">
      <c r="A273" s="175"/>
      <c r="B273" s="178"/>
      <c r="C273" s="10"/>
      <c r="D273" s="45"/>
      <c r="E273" s="14"/>
      <c r="F273" s="46"/>
      <c r="G273" s="45"/>
      <c r="H273" s="46"/>
      <c r="I273" s="99"/>
      <c r="J273" s="163" t="str">
        <f>IF(AND(A272&lt;&gt;"", A272='Regatta Attributes'!$B$4), "Break", "")</f>
        <v/>
      </c>
    </row>
    <row r="274" spans="1:10" ht="15.75" customHeight="1" x14ac:dyDescent="0.2">
      <c r="A274" s="176"/>
      <c r="B274" s="179"/>
      <c r="C274" s="26"/>
      <c r="D274" s="65"/>
      <c r="E274" s="66"/>
      <c r="F274" s="63"/>
      <c r="G274" s="63"/>
      <c r="H274" s="63"/>
      <c r="I274" s="133"/>
      <c r="J274" s="163" t="str">
        <f>IF(AND(A272&lt;&gt;"", A272='Regatta Attributes'!$B$4), "Break", "")</f>
        <v/>
      </c>
    </row>
    <row r="275" spans="1:10" ht="15.75" customHeight="1" x14ac:dyDescent="0.2">
      <c r="A275" s="174" t="str" cm="1">
        <f t="array" ref="A275">_xlfn.LET(_xlpm.EVENT, A272+1, IF($J272="Break", 'Regatta Attributes'!$B$4+1, IF(ISERROR(_xlpm.EVENT), "", IF($J273="Break", "", IF(_xlpm.EVENT &lt;= 'Regatta Attributes'!$B$1, _xlpm.EVENT, "")))))</f>
        <v/>
      </c>
      <c r="B275" s="177" t="str">
        <f>TEXT(IF(A275="", IF($J273="Break", "Break", ""), _xlfn.LET(_xlpm.CENTER, B272 + TIME(0, 'Regatta Attributes'!$B$2, 0), IF(ISERROR(_xlpm.CENTER), VLOOKUP('Regatta Attributes'!$B$4, $A:$B, 2, FALSE) + TIME(0, 'Regatta Attributes'!$B$5, 0), _xlpm.CENTER) )), "hh:mm AM/PM")</f>
        <v/>
      </c>
      <c r="C275" s="20"/>
      <c r="D275" s="43"/>
      <c r="E275" s="50"/>
      <c r="F275" s="44"/>
      <c r="G275" s="44"/>
      <c r="H275" s="50"/>
      <c r="I275" s="98"/>
      <c r="J275" s="163" t="str">
        <f>IF(AND(A272&lt;&gt;"", A272='Regatta Attributes'!$B$4), "Break", "")</f>
        <v/>
      </c>
    </row>
    <row r="276" spans="1:10" ht="15.75" customHeight="1" x14ac:dyDescent="0.2">
      <c r="A276" s="175"/>
      <c r="B276" s="178"/>
      <c r="C276" s="10"/>
      <c r="D276" s="45"/>
      <c r="E276" s="14"/>
      <c r="F276" s="46"/>
      <c r="G276" s="45"/>
      <c r="H276" s="46"/>
      <c r="I276" s="99"/>
      <c r="J276" s="163" t="str">
        <f>IF(AND(A275&lt;&gt;"", A275='Regatta Attributes'!$B$4), "Break", "")</f>
        <v/>
      </c>
    </row>
    <row r="277" spans="1:10" ht="15.75" customHeight="1" x14ac:dyDescent="0.2">
      <c r="A277" s="176"/>
      <c r="B277" s="179"/>
      <c r="C277" s="26"/>
      <c r="D277" s="65"/>
      <c r="E277" s="66"/>
      <c r="F277" s="63"/>
      <c r="G277" s="63"/>
      <c r="H277" s="63"/>
      <c r="I277" s="133"/>
      <c r="J277" s="163" t="str">
        <f>IF(AND(A275&lt;&gt;"", A275='Regatta Attributes'!$B$4), "Break", "")</f>
        <v/>
      </c>
    </row>
    <row r="278" spans="1:10" ht="15.75" customHeight="1" x14ac:dyDescent="0.2">
      <c r="A278" s="174" t="str" cm="1">
        <f t="array" ref="A278">_xlfn.LET(_xlpm.EVENT, A275+1, IF($J275="Break", 'Regatta Attributes'!$B$4+1, IF(ISERROR(_xlpm.EVENT), "", IF($J276="Break", "", IF(_xlpm.EVENT &lt;= 'Regatta Attributes'!$B$1, _xlpm.EVENT, "")))))</f>
        <v/>
      </c>
      <c r="B278" s="177" t="str">
        <f>TEXT(IF(A278="", IF($J276="Break", "Break", ""), _xlfn.LET(_xlpm.CENTER, B275 + TIME(0, 'Regatta Attributes'!$B$2, 0), IF(ISERROR(_xlpm.CENTER), VLOOKUP('Regatta Attributes'!$B$4, $A:$B, 2, FALSE) + TIME(0, 'Regatta Attributes'!$B$5, 0), _xlpm.CENTER) )), "hh:mm AM/PM")</f>
        <v/>
      </c>
      <c r="C278" s="20"/>
      <c r="D278" s="43"/>
      <c r="E278" s="50"/>
      <c r="F278" s="44"/>
      <c r="G278" s="44"/>
      <c r="H278" s="50"/>
      <c r="I278" s="98"/>
      <c r="J278" s="163" t="str">
        <f>IF(AND(A275&lt;&gt;"", A275='Regatta Attributes'!$B$4), "Break", "")</f>
        <v/>
      </c>
    </row>
    <row r="279" spans="1:10" ht="15.75" customHeight="1" x14ac:dyDescent="0.2">
      <c r="A279" s="175"/>
      <c r="B279" s="178"/>
      <c r="C279" s="10"/>
      <c r="D279" s="45"/>
      <c r="E279" s="14"/>
      <c r="F279" s="46"/>
      <c r="G279" s="45"/>
      <c r="H279" s="46"/>
      <c r="I279" s="99"/>
      <c r="J279" s="163" t="str">
        <f>IF(AND(A278&lt;&gt;"", A278='Regatta Attributes'!$B$4), "Break", "")</f>
        <v/>
      </c>
    </row>
    <row r="280" spans="1:10" ht="15.75" customHeight="1" x14ac:dyDescent="0.2">
      <c r="A280" s="176"/>
      <c r="B280" s="179"/>
      <c r="C280" s="26"/>
      <c r="D280" s="65"/>
      <c r="E280" s="66"/>
      <c r="F280" s="63"/>
      <c r="G280" s="63"/>
      <c r="H280" s="63"/>
      <c r="I280" s="133"/>
      <c r="J280" s="163" t="str">
        <f>IF(AND(A278&lt;&gt;"", A278='Regatta Attributes'!$B$4), "Break", "")</f>
        <v/>
      </c>
    </row>
    <row r="281" spans="1:10" ht="15.75" customHeight="1" x14ac:dyDescent="0.2">
      <c r="A281" s="174" t="str" cm="1">
        <f t="array" ref="A281">_xlfn.LET(_xlpm.EVENT, A278+1, IF($J278="Break", 'Regatta Attributes'!$B$4+1, IF(ISERROR(_xlpm.EVENT), "", IF($J279="Break", "", IF(_xlpm.EVENT &lt;= 'Regatta Attributes'!$B$1, _xlpm.EVENT, "")))))</f>
        <v/>
      </c>
      <c r="B281" s="177" t="str">
        <f>TEXT(IF(A281="", IF($J279="Break", "Break", ""), _xlfn.LET(_xlpm.CENTER, B278 + TIME(0, 'Regatta Attributes'!$B$2, 0), IF(ISERROR(_xlpm.CENTER), VLOOKUP('Regatta Attributes'!$B$4, $A:$B, 2, FALSE) + TIME(0, 'Regatta Attributes'!$B$5, 0), _xlpm.CENTER) )), "hh:mm AM/PM")</f>
        <v/>
      </c>
      <c r="C281" s="20"/>
      <c r="D281" s="43"/>
      <c r="E281" s="50"/>
      <c r="F281" s="44"/>
      <c r="G281" s="44"/>
      <c r="H281" s="50"/>
      <c r="I281" s="98"/>
      <c r="J281" s="163" t="str">
        <f>IF(AND(A278&lt;&gt;"", A278='Regatta Attributes'!$B$4), "Break", "")</f>
        <v/>
      </c>
    </row>
    <row r="282" spans="1:10" ht="15.75" customHeight="1" x14ac:dyDescent="0.2">
      <c r="A282" s="175"/>
      <c r="B282" s="178"/>
      <c r="C282" s="10"/>
      <c r="D282" s="45"/>
      <c r="E282" s="14"/>
      <c r="F282" s="46"/>
      <c r="G282" s="45"/>
      <c r="H282" s="46"/>
      <c r="I282" s="99"/>
      <c r="J282" s="163" t="str">
        <f>IF(AND(A281&lt;&gt;"", A281='Regatta Attributes'!$B$4), "Break", "")</f>
        <v/>
      </c>
    </row>
    <row r="283" spans="1:10" ht="15.75" customHeight="1" x14ac:dyDescent="0.2">
      <c r="A283" s="176"/>
      <c r="B283" s="179"/>
      <c r="C283" s="26"/>
      <c r="D283" s="65"/>
      <c r="E283" s="66"/>
      <c r="F283" s="63"/>
      <c r="G283" s="63"/>
      <c r="H283" s="63"/>
      <c r="I283" s="133"/>
      <c r="J283" s="163" t="str">
        <f>IF(AND(A281&lt;&gt;"", A281='Regatta Attributes'!$B$4), "Break", "")</f>
        <v/>
      </c>
    </row>
    <row r="284" spans="1:10" ht="15.75" customHeight="1" x14ac:dyDescent="0.2">
      <c r="A284" s="174" t="str" cm="1">
        <f t="array" ref="A284">_xlfn.LET(_xlpm.EVENT, A281+1, IF($J281="Break", 'Regatta Attributes'!$B$4+1, IF(ISERROR(_xlpm.EVENT), "", IF($J282="Break", "", IF(_xlpm.EVENT &lt;= 'Regatta Attributes'!$B$1, _xlpm.EVENT, "")))))</f>
        <v/>
      </c>
      <c r="B284" s="177" t="str">
        <f>TEXT(IF(A284="", IF($J282="Break", "Break", ""), _xlfn.LET(_xlpm.CENTER, B281 + TIME(0, 'Regatta Attributes'!$B$2, 0), IF(ISERROR(_xlpm.CENTER), VLOOKUP('Regatta Attributes'!$B$4, $A:$B, 2, FALSE) + TIME(0, 'Regatta Attributes'!$B$5, 0), _xlpm.CENTER) )), "hh:mm AM/PM")</f>
        <v/>
      </c>
      <c r="C284" s="20"/>
      <c r="D284" s="43"/>
      <c r="E284" s="50"/>
      <c r="F284" s="44"/>
      <c r="G284" s="44"/>
      <c r="H284" s="50"/>
      <c r="I284" s="98"/>
      <c r="J284" s="163" t="str">
        <f>IF(AND(A281&lt;&gt;"", A281='Regatta Attributes'!$B$4), "Break", "")</f>
        <v/>
      </c>
    </row>
    <row r="285" spans="1:10" ht="15.75" customHeight="1" x14ac:dyDescent="0.2">
      <c r="A285" s="175"/>
      <c r="B285" s="178"/>
      <c r="C285" s="10"/>
      <c r="D285" s="45"/>
      <c r="E285" s="14"/>
      <c r="F285" s="46"/>
      <c r="G285" s="45"/>
      <c r="H285" s="46"/>
      <c r="I285" s="99"/>
      <c r="J285" s="163" t="str">
        <f>IF(AND(A284&lt;&gt;"", A284='Regatta Attributes'!$B$4), "Break", "")</f>
        <v/>
      </c>
    </row>
    <row r="286" spans="1:10" ht="15.75" customHeight="1" x14ac:dyDescent="0.2">
      <c r="A286" s="176"/>
      <c r="B286" s="179"/>
      <c r="C286" s="26"/>
      <c r="D286" s="65"/>
      <c r="E286" s="66"/>
      <c r="F286" s="63"/>
      <c r="G286" s="63"/>
      <c r="H286" s="63"/>
      <c r="I286" s="133"/>
      <c r="J286" s="163" t="str">
        <f>IF(AND(A284&lt;&gt;"", A284='Regatta Attributes'!$B$4), "Break", "")</f>
        <v/>
      </c>
    </row>
    <row r="287" spans="1:10" ht="15.75" customHeight="1" x14ac:dyDescent="0.2">
      <c r="A287" s="174" t="str" cm="1">
        <f t="array" ref="A287">_xlfn.LET(_xlpm.EVENT, A284+1, IF($J284="Break", 'Regatta Attributes'!$B$4+1, IF(ISERROR(_xlpm.EVENT), "", IF($J285="Break", "", IF(_xlpm.EVENT &lt;= 'Regatta Attributes'!$B$1, _xlpm.EVENT, "")))))</f>
        <v/>
      </c>
      <c r="B287" s="177" t="str">
        <f>TEXT(IF(A287="", IF($J285="Break", "Break", ""), _xlfn.LET(_xlpm.CENTER, B284 + TIME(0, 'Regatta Attributes'!$B$2, 0), IF(ISERROR(_xlpm.CENTER), VLOOKUP('Regatta Attributes'!$B$4, $A:$B, 2, FALSE) + TIME(0, 'Regatta Attributes'!$B$5, 0), _xlpm.CENTER) )), "hh:mm AM/PM")</f>
        <v/>
      </c>
      <c r="C287" s="20"/>
      <c r="D287" s="43"/>
      <c r="E287" s="50"/>
      <c r="F287" s="44"/>
      <c r="G287" s="44"/>
      <c r="H287" s="50"/>
      <c r="I287" s="98"/>
      <c r="J287" s="163" t="str">
        <f>IF(AND(A284&lt;&gt;"", A284='Regatta Attributes'!$B$4), "Break", "")</f>
        <v/>
      </c>
    </row>
    <row r="288" spans="1:10" ht="15.75" customHeight="1" x14ac:dyDescent="0.2">
      <c r="A288" s="175"/>
      <c r="B288" s="178"/>
      <c r="C288" s="10"/>
      <c r="D288" s="45"/>
      <c r="E288" s="14"/>
      <c r="F288" s="46"/>
      <c r="G288" s="45"/>
      <c r="H288" s="46"/>
      <c r="I288" s="99"/>
      <c r="J288" s="163" t="str">
        <f>IF(AND(A287&lt;&gt;"", A287='Regatta Attributes'!$B$4), "Break", "")</f>
        <v/>
      </c>
    </row>
    <row r="289" spans="1:10" ht="15.75" customHeight="1" x14ac:dyDescent="0.2">
      <c r="A289" s="176"/>
      <c r="B289" s="179"/>
      <c r="C289" s="26"/>
      <c r="D289" s="65"/>
      <c r="E289" s="66"/>
      <c r="F289" s="63"/>
      <c r="G289" s="63"/>
      <c r="H289" s="63"/>
      <c r="I289" s="133"/>
      <c r="J289" s="163" t="str">
        <f>IF(AND(A287&lt;&gt;"", A287='Regatta Attributes'!$B$4), "Break", "")</f>
        <v/>
      </c>
    </row>
    <row r="290" spans="1:10" ht="15.75" customHeight="1" x14ac:dyDescent="0.2">
      <c r="A290" s="174" t="str" cm="1">
        <f t="array" ref="A290">_xlfn.LET(_xlpm.EVENT, A287+1, IF($J287="Break", 'Regatta Attributes'!$B$4+1, IF(ISERROR(_xlpm.EVENT), "", IF($J288="Break", "", IF(_xlpm.EVENT &lt;= 'Regatta Attributes'!$B$1, _xlpm.EVENT, "")))))</f>
        <v/>
      </c>
      <c r="B290" s="177" t="str">
        <f>TEXT(IF(A290="", IF($J288="Break", "Break", ""), _xlfn.LET(_xlpm.CENTER, B287 + TIME(0, 'Regatta Attributes'!$B$2, 0), IF(ISERROR(_xlpm.CENTER), VLOOKUP('Regatta Attributes'!$B$4, $A:$B, 2, FALSE) + TIME(0, 'Regatta Attributes'!$B$5, 0), _xlpm.CENTER) )), "hh:mm AM/PM")</f>
        <v/>
      </c>
      <c r="C290" s="20"/>
      <c r="D290" s="43"/>
      <c r="E290" s="50"/>
      <c r="F290" s="44"/>
      <c r="G290" s="44"/>
      <c r="H290" s="50"/>
      <c r="I290" s="98"/>
      <c r="J290" s="163" t="str">
        <f>IF(AND(A287&lt;&gt;"", A287='Regatta Attributes'!$B$4), "Break", "")</f>
        <v/>
      </c>
    </row>
    <row r="291" spans="1:10" ht="15.75" customHeight="1" x14ac:dyDescent="0.2">
      <c r="A291" s="175"/>
      <c r="B291" s="178"/>
      <c r="C291" s="10"/>
      <c r="D291" s="45"/>
      <c r="E291" s="14"/>
      <c r="F291" s="46"/>
      <c r="G291" s="45"/>
      <c r="H291" s="46"/>
      <c r="I291" s="99"/>
      <c r="J291" s="163" t="str">
        <f>IF(AND(A290&lt;&gt;"", A290='Regatta Attributes'!$B$4), "Break", "")</f>
        <v/>
      </c>
    </row>
    <row r="292" spans="1:10" ht="15.75" customHeight="1" x14ac:dyDescent="0.2">
      <c r="A292" s="176"/>
      <c r="B292" s="179"/>
      <c r="C292" s="26"/>
      <c r="D292" s="65"/>
      <c r="E292" s="66"/>
      <c r="F292" s="63"/>
      <c r="G292" s="63"/>
      <c r="H292" s="63"/>
      <c r="I292" s="133"/>
      <c r="J292" s="163" t="str">
        <f>IF(AND(A290&lt;&gt;"", A290='Regatta Attributes'!$B$4), "Break", "")</f>
        <v/>
      </c>
    </row>
    <row r="293" spans="1:10" ht="15.75" customHeight="1" x14ac:dyDescent="0.2">
      <c r="A293" s="174" t="str" cm="1">
        <f t="array" ref="A293">_xlfn.LET(_xlpm.EVENT, A290+1, IF($J290="Break", 'Regatta Attributes'!$B$4+1, IF(ISERROR(_xlpm.EVENT), "", IF($J291="Break", "", IF(_xlpm.EVENT &lt;= 'Regatta Attributes'!$B$1, _xlpm.EVENT, "")))))</f>
        <v/>
      </c>
      <c r="B293" s="177" t="str">
        <f>TEXT(IF(A293="", IF($J291="Break", "Break", ""), _xlfn.LET(_xlpm.CENTER, B290 + TIME(0, 'Regatta Attributes'!$B$2, 0), IF(ISERROR(_xlpm.CENTER), VLOOKUP('Regatta Attributes'!$B$4, $A:$B, 2, FALSE) + TIME(0, 'Regatta Attributes'!$B$5, 0), _xlpm.CENTER) )), "hh:mm AM/PM")</f>
        <v/>
      </c>
      <c r="C293" s="20"/>
      <c r="D293" s="43"/>
      <c r="E293" s="50"/>
      <c r="F293" s="44"/>
      <c r="G293" s="44"/>
      <c r="H293" s="50"/>
      <c r="I293" s="98"/>
      <c r="J293" s="163" t="str">
        <f>IF(AND(A290&lt;&gt;"", A290='Regatta Attributes'!$B$4), "Break", "")</f>
        <v/>
      </c>
    </row>
    <row r="294" spans="1:10" ht="15.75" customHeight="1" x14ac:dyDescent="0.2">
      <c r="A294" s="175"/>
      <c r="B294" s="178"/>
      <c r="C294" s="10"/>
      <c r="D294" s="45"/>
      <c r="E294" s="14"/>
      <c r="F294" s="46"/>
      <c r="G294" s="45"/>
      <c r="H294" s="46"/>
      <c r="I294" s="99"/>
      <c r="J294" s="163" t="str">
        <f>IF(AND(A293&lt;&gt;"", A293='Regatta Attributes'!$B$4), "Break", "")</f>
        <v/>
      </c>
    </row>
    <row r="295" spans="1:10" ht="15.75" customHeight="1" x14ac:dyDescent="0.2">
      <c r="A295" s="176"/>
      <c r="B295" s="179"/>
      <c r="C295" s="26"/>
      <c r="D295" s="65"/>
      <c r="E295" s="66"/>
      <c r="F295" s="63"/>
      <c r="G295" s="63"/>
      <c r="H295" s="63"/>
      <c r="I295" s="133"/>
      <c r="J295" s="163" t="str">
        <f>IF(AND(A293&lt;&gt;"", A293='Regatta Attributes'!$B$4), "Break", "")</f>
        <v/>
      </c>
    </row>
    <row r="296" spans="1:10" ht="15.75" customHeight="1" x14ac:dyDescent="0.2">
      <c r="A296" s="174" t="str" cm="1">
        <f t="array" ref="A296">_xlfn.LET(_xlpm.EVENT, A293+1, IF($J293="Break", 'Regatta Attributes'!$B$4+1, IF(ISERROR(_xlpm.EVENT), "", IF($J294="Break", "", IF(_xlpm.EVENT &lt;= 'Regatta Attributes'!$B$1, _xlpm.EVENT, "")))))</f>
        <v/>
      </c>
      <c r="B296" s="177" t="str">
        <f>TEXT(IF(A296="", IF($J294="Break", "Break", ""), _xlfn.LET(_xlpm.CENTER, B293 + TIME(0, 'Regatta Attributes'!$B$2, 0), IF(ISERROR(_xlpm.CENTER), VLOOKUP('Regatta Attributes'!$B$4, $A:$B, 2, FALSE) + TIME(0, 'Regatta Attributes'!$B$5, 0), _xlpm.CENTER) )), "hh:mm AM/PM")</f>
        <v/>
      </c>
      <c r="C296" s="20"/>
      <c r="D296" s="43"/>
      <c r="E296" s="50"/>
      <c r="F296" s="44"/>
      <c r="G296" s="44"/>
      <c r="H296" s="50"/>
      <c r="I296" s="98"/>
      <c r="J296" s="163" t="str">
        <f>IF(AND(A293&lt;&gt;"", A293='Regatta Attributes'!$B$4), "Break", "")</f>
        <v/>
      </c>
    </row>
    <row r="297" spans="1:10" ht="15.75" customHeight="1" x14ac:dyDescent="0.2">
      <c r="A297" s="175"/>
      <c r="B297" s="178"/>
      <c r="C297" s="10"/>
      <c r="D297" s="45"/>
      <c r="E297" s="14"/>
      <c r="F297" s="46"/>
      <c r="G297" s="45"/>
      <c r="H297" s="46"/>
      <c r="I297" s="99"/>
      <c r="J297" s="163" t="str">
        <f>IF(AND(A296&lt;&gt;"", A296='Regatta Attributes'!$B$4), "Break", "")</f>
        <v/>
      </c>
    </row>
    <row r="298" spans="1:10" ht="15.75" customHeight="1" x14ac:dyDescent="0.2">
      <c r="A298" s="176"/>
      <c r="B298" s="179"/>
      <c r="C298" s="26"/>
      <c r="D298" s="65"/>
      <c r="E298" s="66"/>
      <c r="F298" s="63"/>
      <c r="G298" s="63"/>
      <c r="H298" s="63"/>
      <c r="I298" s="133"/>
      <c r="J298" s="163" t="str">
        <f>IF(AND(A296&lt;&gt;"", A296='Regatta Attributes'!$B$4), "Break", "")</f>
        <v/>
      </c>
    </row>
    <row r="299" spans="1:10" ht="15.75" customHeight="1" x14ac:dyDescent="0.2">
      <c r="A299" s="174" t="str" cm="1">
        <f t="array" ref="A299">_xlfn.LET(_xlpm.EVENT, A296+1, IF($J296="Break", 'Regatta Attributes'!$B$4+1, IF(ISERROR(_xlpm.EVENT), "", IF($J297="Break", "", IF(_xlpm.EVENT &lt;= 'Regatta Attributes'!$B$1, _xlpm.EVENT, "")))))</f>
        <v/>
      </c>
      <c r="B299" s="177" t="str">
        <f>TEXT(IF(A299="", IF($J297="Break", "Break", ""), _xlfn.LET(_xlpm.CENTER, B296 + TIME(0, 'Regatta Attributes'!$B$2, 0), IF(ISERROR(_xlpm.CENTER), VLOOKUP('Regatta Attributes'!$B$4, $A:$B, 2, FALSE) + TIME(0, 'Regatta Attributes'!$B$5, 0), _xlpm.CENTER) )), "hh:mm AM/PM")</f>
        <v/>
      </c>
      <c r="C299" s="20"/>
      <c r="D299" s="43"/>
      <c r="E299" s="50"/>
      <c r="F299" s="44"/>
      <c r="G299" s="44"/>
      <c r="H299" s="50"/>
      <c r="I299" s="98"/>
      <c r="J299" s="163" t="str">
        <f>IF(AND(A296&lt;&gt;"", A296='Regatta Attributes'!$B$4), "Break", "")</f>
        <v/>
      </c>
    </row>
    <row r="300" spans="1:10" ht="15.75" customHeight="1" x14ac:dyDescent="0.2">
      <c r="A300" s="175"/>
      <c r="B300" s="178"/>
      <c r="C300" s="10"/>
      <c r="D300" s="45"/>
      <c r="E300" s="14"/>
      <c r="F300" s="46"/>
      <c r="G300" s="45"/>
      <c r="H300" s="46"/>
      <c r="I300" s="99"/>
      <c r="J300" s="163" t="str">
        <f>IF(AND(A299&lt;&gt;"", A299='Regatta Attributes'!$B$4), "Break", "")</f>
        <v/>
      </c>
    </row>
    <row r="301" spans="1:10" ht="15.75" customHeight="1" x14ac:dyDescent="0.2">
      <c r="A301" s="176"/>
      <c r="B301" s="179"/>
      <c r="C301" s="26"/>
      <c r="D301" s="65"/>
      <c r="E301" s="66"/>
      <c r="F301" s="63"/>
      <c r="G301" s="63"/>
      <c r="H301" s="63"/>
      <c r="I301" s="133"/>
      <c r="J301" s="163" t="str">
        <f>IF(AND(A299&lt;&gt;"", A299='Regatta Attributes'!$B$4), "Break", "")</f>
        <v/>
      </c>
    </row>
    <row r="302" spans="1:10" ht="15.75" customHeight="1" x14ac:dyDescent="0.2">
      <c r="A302" s="174" t="str" cm="1">
        <f t="array" ref="A302">_xlfn.LET(_xlpm.EVENT, A299+1, IF($J299="Break", 'Regatta Attributes'!$B$4+1, IF(ISERROR(_xlpm.EVENT), "", IF($J300="Break", "", IF(_xlpm.EVENT &lt;= 'Regatta Attributes'!$B$1, _xlpm.EVENT, "")))))</f>
        <v/>
      </c>
      <c r="B302" s="177" t="str">
        <f>TEXT(IF(A302="", IF($J300="Break", "Break", ""), _xlfn.LET(_xlpm.CENTER, B299 + TIME(0, 'Regatta Attributes'!$B$2, 0), IF(ISERROR(_xlpm.CENTER), VLOOKUP('Regatta Attributes'!$B$4, $A:$B, 2, FALSE) + TIME(0, 'Regatta Attributes'!$B$5, 0), _xlpm.CENTER) )), "hh:mm AM/PM")</f>
        <v/>
      </c>
      <c r="C302" s="20"/>
      <c r="D302" s="43"/>
      <c r="E302" s="50"/>
      <c r="F302" s="44"/>
      <c r="G302" s="44"/>
      <c r="H302" s="50"/>
      <c r="I302" s="98"/>
      <c r="J302" s="163" t="str">
        <f>IF(AND(A299&lt;&gt;"", A299='Regatta Attributes'!$B$4), "Break", "")</f>
        <v/>
      </c>
    </row>
    <row r="303" spans="1:10" ht="15.75" customHeight="1" x14ac:dyDescent="0.2">
      <c r="A303" s="175"/>
      <c r="B303" s="178"/>
      <c r="C303" s="10"/>
      <c r="D303" s="45"/>
      <c r="E303" s="14"/>
      <c r="F303" s="46"/>
      <c r="G303" s="45"/>
      <c r="H303" s="46"/>
      <c r="I303" s="99"/>
      <c r="J303" s="163" t="str">
        <f>IF(AND(A302&lt;&gt;"", A302='Regatta Attributes'!$B$4), "Break", "")</f>
        <v/>
      </c>
    </row>
    <row r="304" spans="1:10" ht="15.75" customHeight="1" x14ac:dyDescent="0.2">
      <c r="A304" s="176"/>
      <c r="B304" s="179"/>
      <c r="C304" s="26"/>
      <c r="D304" s="65"/>
      <c r="E304" s="66"/>
      <c r="F304" s="63"/>
      <c r="G304" s="63"/>
      <c r="H304" s="63"/>
      <c r="I304" s="133"/>
      <c r="J304" s="163" t="str">
        <f>IF(AND(A302&lt;&gt;"", A302='Regatta Attributes'!$B$4), "Break", "")</f>
        <v/>
      </c>
    </row>
    <row r="305" spans="1:10" ht="15.75" customHeight="1" x14ac:dyDescent="0.2">
      <c r="A305" s="174" t="str" cm="1">
        <f t="array" ref="A305">_xlfn.LET(_xlpm.EVENT, A302+1, IF($J302="Break", 'Regatta Attributes'!$B$4+1, IF(ISERROR(_xlpm.EVENT), "", IF($J303="Break", "", IF(_xlpm.EVENT &lt;= 'Regatta Attributes'!$B$1, _xlpm.EVENT, "")))))</f>
        <v/>
      </c>
      <c r="B305" s="177" t="str">
        <f>TEXT(IF(A305="", IF($J303="Break", "Break", ""), _xlfn.LET(_xlpm.CENTER, B302 + TIME(0, 'Regatta Attributes'!$B$2, 0), IF(ISERROR(_xlpm.CENTER), VLOOKUP('Regatta Attributes'!$B$4, $A:$B, 2, FALSE) + TIME(0, 'Regatta Attributes'!$B$5, 0), _xlpm.CENTER) )), "hh:mm AM/PM")</f>
        <v/>
      </c>
      <c r="C305" s="20"/>
      <c r="D305" s="43"/>
      <c r="E305" s="50"/>
      <c r="F305" s="44"/>
      <c r="G305" s="44"/>
      <c r="H305" s="50"/>
      <c r="I305" s="98"/>
      <c r="J305" s="163" t="str">
        <f>IF(AND(A302&lt;&gt;"", A302='Regatta Attributes'!$B$4), "Break", "")</f>
        <v/>
      </c>
    </row>
    <row r="306" spans="1:10" ht="15.75" customHeight="1" x14ac:dyDescent="0.2">
      <c r="A306" s="175"/>
      <c r="B306" s="178"/>
      <c r="C306" s="10"/>
      <c r="D306" s="45"/>
      <c r="E306" s="14"/>
      <c r="F306" s="46"/>
      <c r="G306" s="45"/>
      <c r="H306" s="46"/>
      <c r="I306" s="99"/>
      <c r="J306" s="163" t="str">
        <f>IF(AND(A305&lt;&gt;"", A305='Regatta Attributes'!$B$4), "Break", "")</f>
        <v/>
      </c>
    </row>
    <row r="307" spans="1:10" ht="15.75" customHeight="1" x14ac:dyDescent="0.2">
      <c r="A307" s="176"/>
      <c r="B307" s="179"/>
      <c r="C307" s="26"/>
      <c r="D307" s="65"/>
      <c r="E307" s="66"/>
      <c r="F307" s="63"/>
      <c r="G307" s="63"/>
      <c r="H307" s="63"/>
      <c r="I307" s="133"/>
      <c r="J307" s="163" t="str">
        <f>IF(AND(A305&lt;&gt;"", A305='Regatta Attributes'!$B$4), "Break", "")</f>
        <v/>
      </c>
    </row>
    <row r="308" spans="1:10" ht="15.75" customHeight="1" x14ac:dyDescent="0.2">
      <c r="A308" s="174" t="str" cm="1">
        <f t="array" ref="A308">_xlfn.LET(_xlpm.EVENT, A305+1, IF($J305="Break", 'Regatta Attributes'!$B$4+1, IF(ISERROR(_xlpm.EVENT), "", IF($J306="Break", "", IF(_xlpm.EVENT &lt;= 'Regatta Attributes'!$B$1, _xlpm.EVENT, "")))))</f>
        <v/>
      </c>
      <c r="B308" s="177" t="str">
        <f>TEXT(IF(A308="", IF($J306="Break", "Break", ""), _xlfn.LET(_xlpm.CENTER, B305 + TIME(0, 'Regatta Attributes'!$B$2, 0), IF(ISERROR(_xlpm.CENTER), VLOOKUP('Regatta Attributes'!$B$4, $A:$B, 2, FALSE) + TIME(0, 'Regatta Attributes'!$B$5, 0), _xlpm.CENTER) )), "hh:mm AM/PM")</f>
        <v/>
      </c>
      <c r="C308" s="20"/>
      <c r="D308" s="43"/>
      <c r="E308" s="50"/>
      <c r="F308" s="44"/>
      <c r="G308" s="44"/>
      <c r="H308" s="50"/>
      <c r="I308" s="98"/>
      <c r="J308" s="163" t="str">
        <f>IF(AND(A305&lt;&gt;"", A305='Regatta Attributes'!$B$4), "Break", "")</f>
        <v/>
      </c>
    </row>
    <row r="309" spans="1:10" ht="15.75" customHeight="1" x14ac:dyDescent="0.2">
      <c r="A309" s="175"/>
      <c r="B309" s="178"/>
      <c r="C309" s="10"/>
      <c r="D309" s="45"/>
      <c r="E309" s="14"/>
      <c r="F309" s="46"/>
      <c r="G309" s="45"/>
      <c r="H309" s="46"/>
      <c r="I309" s="99"/>
      <c r="J309" s="163" t="str">
        <f>IF(AND(A308&lt;&gt;"", A308='Regatta Attributes'!$B$4), "Break", "")</f>
        <v/>
      </c>
    </row>
    <row r="310" spans="1:10" ht="15.75" customHeight="1" x14ac:dyDescent="0.2">
      <c r="A310" s="176"/>
      <c r="B310" s="179"/>
      <c r="C310" s="26"/>
      <c r="D310" s="65"/>
      <c r="E310" s="66"/>
      <c r="F310" s="63"/>
      <c r="G310" s="63"/>
      <c r="H310" s="63"/>
      <c r="I310" s="133"/>
      <c r="J310" s="163" t="str">
        <f>IF(AND(A308&lt;&gt;"", A308='Regatta Attributes'!$B$4), "Break", "")</f>
        <v/>
      </c>
    </row>
    <row r="311" spans="1:10" ht="15.75" customHeight="1" x14ac:dyDescent="0.2">
      <c r="A311" s="174" t="str" cm="1">
        <f t="array" ref="A311">_xlfn.LET(_xlpm.EVENT, A308+1, IF($J308="Break", 'Regatta Attributes'!$B$4+1, IF(ISERROR(_xlpm.EVENT), "", IF($J309="Break", "", IF(_xlpm.EVENT &lt;= 'Regatta Attributes'!$B$1, _xlpm.EVENT, "")))))</f>
        <v/>
      </c>
      <c r="B311" s="177" t="str">
        <f>TEXT(IF(A311="", IF($J309="Break", "Break", ""), _xlfn.LET(_xlpm.CENTER, B308 + TIME(0, 'Regatta Attributes'!$B$2, 0), IF(ISERROR(_xlpm.CENTER), VLOOKUP('Regatta Attributes'!$B$4, $A:$B, 2, FALSE) + TIME(0, 'Regatta Attributes'!$B$5, 0), _xlpm.CENTER) )), "hh:mm AM/PM")</f>
        <v/>
      </c>
      <c r="C311" s="20"/>
      <c r="D311" s="43"/>
      <c r="E311" s="50"/>
      <c r="F311" s="44"/>
      <c r="G311" s="44"/>
      <c r="H311" s="50"/>
      <c r="I311" s="98"/>
      <c r="J311" s="163" t="str">
        <f>IF(AND(A308&lt;&gt;"", A308='Regatta Attributes'!$B$4), "Break", "")</f>
        <v/>
      </c>
    </row>
    <row r="312" spans="1:10" ht="15.75" customHeight="1" x14ac:dyDescent="0.2">
      <c r="A312" s="175"/>
      <c r="B312" s="178"/>
      <c r="C312" s="10"/>
      <c r="D312" s="45"/>
      <c r="E312" s="14"/>
      <c r="F312" s="46"/>
      <c r="G312" s="45"/>
      <c r="H312" s="46"/>
      <c r="I312" s="99"/>
      <c r="J312" s="163" t="str">
        <f>IF(AND(A311&lt;&gt;"", A311='Regatta Attributes'!$B$4), "Break", "")</f>
        <v/>
      </c>
    </row>
    <row r="313" spans="1:10" ht="15.75" customHeight="1" x14ac:dyDescent="0.2">
      <c r="A313" s="176"/>
      <c r="B313" s="179"/>
      <c r="C313" s="26"/>
      <c r="D313" s="65"/>
      <c r="E313" s="66"/>
      <c r="F313" s="63"/>
      <c r="G313" s="63"/>
      <c r="H313" s="63"/>
      <c r="I313" s="133"/>
      <c r="J313" s="163" t="str">
        <f>IF(AND(A311&lt;&gt;"", A311='Regatta Attributes'!$B$4), "Break", "")</f>
        <v/>
      </c>
    </row>
    <row r="314" spans="1:10" ht="15.75" customHeight="1" x14ac:dyDescent="0.2">
      <c r="A314" s="174" t="str" cm="1">
        <f t="array" ref="A314">_xlfn.LET(_xlpm.EVENT, A311+1, IF($J311="Break", 'Regatta Attributes'!$B$4+1, IF(ISERROR(_xlpm.EVENT), "", IF($J312="Break", "", IF(_xlpm.EVENT &lt;= 'Regatta Attributes'!$B$1, _xlpm.EVENT, "")))))</f>
        <v/>
      </c>
      <c r="B314" s="177" t="str">
        <f>TEXT(IF(A314="", IF($J312="Break", "Break", ""), _xlfn.LET(_xlpm.CENTER, B311 + TIME(0, 'Regatta Attributes'!$B$2, 0), IF(ISERROR(_xlpm.CENTER), VLOOKUP('Regatta Attributes'!$B$4, $A:$B, 2, FALSE) + TIME(0, 'Regatta Attributes'!$B$5, 0), _xlpm.CENTER) )), "hh:mm AM/PM")</f>
        <v/>
      </c>
      <c r="C314" s="20"/>
      <c r="D314" s="43"/>
      <c r="E314" s="50"/>
      <c r="F314" s="44"/>
      <c r="G314" s="44"/>
      <c r="H314" s="50"/>
      <c r="I314" s="98"/>
      <c r="J314" s="163" t="str">
        <f>IF(AND(A311&lt;&gt;"", A311='Regatta Attributes'!$B$4), "Break", "")</f>
        <v/>
      </c>
    </row>
    <row r="315" spans="1:10" ht="15.75" customHeight="1" x14ac:dyDescent="0.2">
      <c r="A315" s="175"/>
      <c r="B315" s="178"/>
      <c r="C315" s="10"/>
      <c r="D315" s="45"/>
      <c r="E315" s="14"/>
      <c r="F315" s="46"/>
      <c r="G315" s="45"/>
      <c r="H315" s="46"/>
      <c r="I315" s="99"/>
      <c r="J315" s="163" t="str">
        <f>IF(AND(A314&lt;&gt;"", A314='Regatta Attributes'!$B$4), "Break", "")</f>
        <v/>
      </c>
    </row>
    <row r="316" spans="1:10" ht="15.75" customHeight="1" x14ac:dyDescent="0.2">
      <c r="A316" s="176"/>
      <c r="B316" s="179"/>
      <c r="C316" s="26"/>
      <c r="D316" s="65"/>
      <c r="E316" s="66"/>
      <c r="F316" s="63"/>
      <c r="G316" s="63"/>
      <c r="H316" s="63"/>
      <c r="I316" s="133"/>
      <c r="J316" s="163" t="str">
        <f>IF(AND(A314&lt;&gt;"", A314='Regatta Attributes'!$B$4), "Break", "")</f>
        <v/>
      </c>
    </row>
    <row r="317" spans="1:10" ht="15.75" customHeight="1" x14ac:dyDescent="0.2">
      <c r="A317" s="174" t="str" cm="1">
        <f t="array" ref="A317">_xlfn.LET(_xlpm.EVENT, A314+1, IF($J314="Break", 'Regatta Attributes'!$B$4+1, IF(ISERROR(_xlpm.EVENT), "", IF($J315="Break", "", IF(_xlpm.EVENT &lt;= 'Regatta Attributes'!$B$1, _xlpm.EVENT, "")))))</f>
        <v/>
      </c>
      <c r="B317" s="177" t="str">
        <f>TEXT(IF(A317="", IF($J315="Break", "Break", ""), _xlfn.LET(_xlpm.CENTER, B314 + TIME(0, 'Regatta Attributes'!$B$2, 0), IF(ISERROR(_xlpm.CENTER), VLOOKUP('Regatta Attributes'!$B$4, $A:$B, 2, FALSE) + TIME(0, 'Regatta Attributes'!$B$5, 0), _xlpm.CENTER) )), "hh:mm AM/PM")</f>
        <v/>
      </c>
      <c r="C317" s="20"/>
      <c r="D317" s="43"/>
      <c r="E317" s="50"/>
      <c r="F317" s="44"/>
      <c r="G317" s="44"/>
      <c r="H317" s="50"/>
      <c r="I317" s="98"/>
      <c r="J317" s="163" t="str">
        <f>IF(AND(A314&lt;&gt;"", A314='Regatta Attributes'!$B$4), "Break", "")</f>
        <v/>
      </c>
    </row>
    <row r="318" spans="1:10" ht="15.75" customHeight="1" x14ac:dyDescent="0.2">
      <c r="A318" s="175"/>
      <c r="B318" s="178"/>
      <c r="C318" s="10"/>
      <c r="D318" s="45"/>
      <c r="E318" s="14"/>
      <c r="F318" s="46"/>
      <c r="G318" s="45"/>
      <c r="H318" s="46"/>
      <c r="I318" s="99"/>
      <c r="J318" s="163" t="str">
        <f>IF(AND(A317&lt;&gt;"", A317='Regatta Attributes'!$B$4), "Break", "")</f>
        <v/>
      </c>
    </row>
    <row r="319" spans="1:10" ht="15.75" customHeight="1" x14ac:dyDescent="0.2">
      <c r="A319" s="176"/>
      <c r="B319" s="179"/>
      <c r="C319" s="26"/>
      <c r="D319" s="65"/>
      <c r="E319" s="66"/>
      <c r="F319" s="63"/>
      <c r="G319" s="63"/>
      <c r="H319" s="63"/>
      <c r="I319" s="133"/>
      <c r="J319" s="163" t="str">
        <f>IF(AND(A317&lt;&gt;"", A317='Regatta Attributes'!$B$4), "Break", "")</f>
        <v/>
      </c>
    </row>
    <row r="320" spans="1:10" ht="15.75" customHeight="1" x14ac:dyDescent="0.2">
      <c r="A320" s="174" t="str" cm="1">
        <f t="array" ref="A320">_xlfn.LET(_xlpm.EVENT, A317+1, IF($J317="Break", 'Regatta Attributes'!$B$4+1, IF(ISERROR(_xlpm.EVENT), "", IF($J318="Break", "", IF(_xlpm.EVENT &lt;= 'Regatta Attributes'!$B$1, _xlpm.EVENT, "")))))</f>
        <v/>
      </c>
      <c r="B320" s="177" t="str">
        <f>TEXT(IF(A320="", IF($J318="Break", "Break", ""), _xlfn.LET(_xlpm.CENTER, B317 + TIME(0, 'Regatta Attributes'!$B$2, 0), IF(ISERROR(_xlpm.CENTER), VLOOKUP('Regatta Attributes'!$B$4, $A:$B, 2, FALSE) + TIME(0, 'Regatta Attributes'!$B$5, 0), _xlpm.CENTER) )), "hh:mm AM/PM")</f>
        <v/>
      </c>
      <c r="C320" s="20"/>
      <c r="D320" s="43"/>
      <c r="E320" s="50"/>
      <c r="F320" s="44"/>
      <c r="G320" s="44"/>
      <c r="H320" s="50"/>
      <c r="I320" s="98"/>
      <c r="J320" s="163" t="str">
        <f>IF(AND(A317&lt;&gt;"", A317='Regatta Attributes'!$B$4), "Break", "")</f>
        <v/>
      </c>
    </row>
    <row r="321" spans="1:10" ht="15.75" customHeight="1" x14ac:dyDescent="0.2">
      <c r="A321" s="175"/>
      <c r="B321" s="178"/>
      <c r="C321" s="10"/>
      <c r="D321" s="45"/>
      <c r="E321" s="14"/>
      <c r="F321" s="46"/>
      <c r="G321" s="45"/>
      <c r="H321" s="46"/>
      <c r="I321" s="99"/>
      <c r="J321" s="163" t="str">
        <f>IF(AND(A320&lt;&gt;"", A320='Regatta Attributes'!$B$4), "Break", "")</f>
        <v/>
      </c>
    </row>
    <row r="322" spans="1:10" ht="15.75" customHeight="1" x14ac:dyDescent="0.2">
      <c r="A322" s="176"/>
      <c r="B322" s="179"/>
      <c r="C322" s="26"/>
      <c r="D322" s="65"/>
      <c r="E322" s="66"/>
      <c r="F322" s="63"/>
      <c r="G322" s="63"/>
      <c r="H322" s="63"/>
      <c r="I322" s="133"/>
      <c r="J322" s="163" t="str">
        <f>IF(AND(A320&lt;&gt;"", A320='Regatta Attributes'!$B$4), "Break", "")</f>
        <v/>
      </c>
    </row>
    <row r="323" spans="1:10" ht="15.75" customHeight="1" x14ac:dyDescent="0.2">
      <c r="A323" s="174" t="str" cm="1">
        <f t="array" ref="A323">_xlfn.LET(_xlpm.EVENT, A320+1, IF($J320="Break", 'Regatta Attributes'!$B$4+1, IF(ISERROR(_xlpm.EVENT), "", IF($J321="Break", "", IF(_xlpm.EVENT &lt;= 'Regatta Attributes'!$B$1, _xlpm.EVENT, "")))))</f>
        <v/>
      </c>
      <c r="B323" s="177" t="str">
        <f>TEXT(IF(A323="", IF($J321="Break", "Break", ""), _xlfn.LET(_xlpm.CENTER, B320 + TIME(0, 'Regatta Attributes'!$B$2, 0), IF(ISERROR(_xlpm.CENTER), VLOOKUP('Regatta Attributes'!$B$4, $A:$B, 2, FALSE) + TIME(0, 'Regatta Attributes'!$B$5, 0), _xlpm.CENTER) )), "hh:mm AM/PM")</f>
        <v/>
      </c>
      <c r="C323" s="20"/>
      <c r="D323" s="43"/>
      <c r="E323" s="50"/>
      <c r="F323" s="44"/>
      <c r="G323" s="44"/>
      <c r="H323" s="50"/>
      <c r="I323" s="98"/>
      <c r="J323" s="163" t="str">
        <f>IF(AND(A320&lt;&gt;"", A320='Regatta Attributes'!$B$4), "Break", "")</f>
        <v/>
      </c>
    </row>
    <row r="324" spans="1:10" ht="15.75" customHeight="1" x14ac:dyDescent="0.2">
      <c r="A324" s="175"/>
      <c r="B324" s="178"/>
      <c r="C324" s="10"/>
      <c r="D324" s="45"/>
      <c r="E324" s="14"/>
      <c r="F324" s="46"/>
      <c r="G324" s="45"/>
      <c r="H324" s="46"/>
      <c r="I324" s="99"/>
      <c r="J324" s="163" t="str">
        <f>IF(AND(A323&lt;&gt;"", A323='Regatta Attributes'!$B$4), "Break", "")</f>
        <v/>
      </c>
    </row>
    <row r="325" spans="1:10" ht="15.75" customHeight="1" x14ac:dyDescent="0.2">
      <c r="A325" s="176"/>
      <c r="B325" s="179"/>
      <c r="C325" s="26"/>
      <c r="D325" s="65"/>
      <c r="E325" s="66"/>
      <c r="F325" s="63"/>
      <c r="G325" s="63"/>
      <c r="H325" s="63"/>
      <c r="I325" s="133"/>
      <c r="J325" s="163" t="str">
        <f>IF(AND(A323&lt;&gt;"", A323='Regatta Attributes'!$B$4), "Break", "")</f>
        <v/>
      </c>
    </row>
    <row r="326" spans="1:10" ht="15.75" customHeight="1" x14ac:dyDescent="0.2">
      <c r="A326" s="174" t="str" cm="1">
        <f t="array" ref="A326">_xlfn.LET(_xlpm.EVENT, A323+1, IF($J323="Break", 'Regatta Attributes'!$B$4+1, IF(ISERROR(_xlpm.EVENT), "", IF($J324="Break", "", IF(_xlpm.EVENT &lt;= 'Regatta Attributes'!$B$1, _xlpm.EVENT, "")))))</f>
        <v/>
      </c>
      <c r="B326" s="177" t="str">
        <f>TEXT(IF(A326="", IF($J324="Break", "Break", ""), _xlfn.LET(_xlpm.CENTER, B323 + TIME(0, 'Regatta Attributes'!$B$2, 0), IF(ISERROR(_xlpm.CENTER), VLOOKUP('Regatta Attributes'!$B$4, $A:$B, 2, FALSE) + TIME(0, 'Regatta Attributes'!$B$5, 0), _xlpm.CENTER) )), "hh:mm AM/PM")</f>
        <v/>
      </c>
      <c r="C326" s="20"/>
      <c r="D326" s="43"/>
      <c r="E326" s="50"/>
      <c r="F326" s="44"/>
      <c r="G326" s="44"/>
      <c r="H326" s="50"/>
      <c r="I326" s="98"/>
      <c r="J326" s="163" t="str">
        <f>IF(AND(A323&lt;&gt;"", A323='Regatta Attributes'!$B$4), "Break", "")</f>
        <v/>
      </c>
    </row>
    <row r="327" spans="1:10" ht="15.75" customHeight="1" x14ac:dyDescent="0.2">
      <c r="A327" s="175"/>
      <c r="B327" s="178"/>
      <c r="C327" s="10"/>
      <c r="D327" s="45"/>
      <c r="E327" s="14"/>
      <c r="F327" s="46"/>
      <c r="G327" s="45"/>
      <c r="H327" s="46"/>
      <c r="I327" s="99"/>
      <c r="J327" s="163" t="str">
        <f>IF(AND(A326&lt;&gt;"", A326='Regatta Attributes'!$B$4), "Break", "")</f>
        <v/>
      </c>
    </row>
    <row r="328" spans="1:10" ht="15.75" customHeight="1" x14ac:dyDescent="0.2">
      <c r="A328" s="176"/>
      <c r="B328" s="179"/>
      <c r="C328" s="26"/>
      <c r="D328" s="65"/>
      <c r="E328" s="66"/>
      <c r="F328" s="63"/>
      <c r="G328" s="63"/>
      <c r="H328" s="63"/>
      <c r="I328" s="133"/>
      <c r="J328" s="163" t="str">
        <f>IF(AND(A326&lt;&gt;"", A326='Regatta Attributes'!$B$4), "Break", "")</f>
        <v/>
      </c>
    </row>
    <row r="329" spans="1:10" ht="15.75" customHeight="1" x14ac:dyDescent="0.2">
      <c r="A329" s="174" t="str" cm="1">
        <f t="array" ref="A329">_xlfn.LET(_xlpm.EVENT, A326+1, IF($J326="Break", 'Regatta Attributes'!$B$4+1, IF(ISERROR(_xlpm.EVENT), "", IF($J327="Break", "", IF(_xlpm.EVENT &lt;= 'Regatta Attributes'!$B$1, _xlpm.EVENT, "")))))</f>
        <v/>
      </c>
      <c r="B329" s="177" t="str">
        <f>TEXT(IF(A329="", IF($J327="Break", "Break", ""), _xlfn.LET(_xlpm.CENTER, B326 + TIME(0, 'Regatta Attributes'!$B$2, 0), IF(ISERROR(_xlpm.CENTER), VLOOKUP('Regatta Attributes'!$B$4, $A:$B, 2, FALSE) + TIME(0, 'Regatta Attributes'!$B$5, 0), _xlpm.CENTER) )), "hh:mm AM/PM")</f>
        <v/>
      </c>
      <c r="C329" s="20"/>
      <c r="D329" s="43"/>
      <c r="E329" s="50"/>
      <c r="F329" s="44"/>
      <c r="G329" s="44"/>
      <c r="H329" s="50"/>
      <c r="I329" s="98"/>
      <c r="J329" s="163" t="str">
        <f>IF(AND(A326&lt;&gt;"", A326='Regatta Attributes'!$B$4), "Break", "")</f>
        <v/>
      </c>
    </row>
    <row r="330" spans="1:10" ht="15.75" customHeight="1" x14ac:dyDescent="0.2">
      <c r="A330" s="175"/>
      <c r="B330" s="178"/>
      <c r="C330" s="10"/>
      <c r="D330" s="45"/>
      <c r="E330" s="14"/>
      <c r="F330" s="46"/>
      <c r="G330" s="45"/>
      <c r="H330" s="46"/>
      <c r="I330" s="99"/>
      <c r="J330" s="163" t="str">
        <f>IF(AND(A329&lt;&gt;"", A329='Regatta Attributes'!$B$4), "Break", "")</f>
        <v/>
      </c>
    </row>
    <row r="331" spans="1:10" ht="15.75" customHeight="1" x14ac:dyDescent="0.2">
      <c r="A331" s="176"/>
      <c r="B331" s="179"/>
      <c r="C331" s="26"/>
      <c r="D331" s="65"/>
      <c r="E331" s="66"/>
      <c r="F331" s="63"/>
      <c r="G331" s="63"/>
      <c r="H331" s="63"/>
      <c r="I331" s="133"/>
      <c r="J331" s="163" t="str">
        <f>IF(AND(A329&lt;&gt;"", A329='Regatta Attributes'!$B$4), "Break", "")</f>
        <v/>
      </c>
    </row>
    <row r="332" spans="1:10" ht="15.75" customHeight="1" x14ac:dyDescent="0.2">
      <c r="A332" s="174" t="str" cm="1">
        <f t="array" ref="A332">_xlfn.LET(_xlpm.EVENT, A329+1, IF($J329="Break", 'Regatta Attributes'!$B$4+1, IF(ISERROR(_xlpm.EVENT), "", IF($J330="Break", "", IF(_xlpm.EVENT &lt;= 'Regatta Attributes'!$B$1, _xlpm.EVENT, "")))))</f>
        <v/>
      </c>
      <c r="B332" s="177" t="str">
        <f>TEXT(IF(A332="", IF($J330="Break", "Break", ""), _xlfn.LET(_xlpm.CENTER, B329 + TIME(0, 'Regatta Attributes'!$B$2, 0), IF(ISERROR(_xlpm.CENTER), VLOOKUP('Regatta Attributes'!$B$4, $A:$B, 2, FALSE) + TIME(0, 'Regatta Attributes'!$B$5, 0), _xlpm.CENTER) )), "hh:mm AM/PM")</f>
        <v/>
      </c>
      <c r="C332" s="20"/>
      <c r="D332" s="43"/>
      <c r="E332" s="50"/>
      <c r="F332" s="44"/>
      <c r="G332" s="44"/>
      <c r="H332" s="50"/>
      <c r="I332" s="98"/>
      <c r="J332" s="163" t="str">
        <f>IF(AND(A329&lt;&gt;"", A329='Regatta Attributes'!$B$4), "Break", "")</f>
        <v/>
      </c>
    </row>
    <row r="333" spans="1:10" ht="15.75" customHeight="1" x14ac:dyDescent="0.2">
      <c r="A333" s="175"/>
      <c r="B333" s="178"/>
      <c r="C333" s="10"/>
      <c r="D333" s="45"/>
      <c r="E333" s="14"/>
      <c r="F333" s="46"/>
      <c r="G333" s="45"/>
      <c r="H333" s="46"/>
      <c r="I333" s="99"/>
      <c r="J333" s="163" t="str">
        <f>IF(AND(A332&lt;&gt;"", A332='Regatta Attributes'!$B$4), "Break", "")</f>
        <v/>
      </c>
    </row>
    <row r="334" spans="1:10" ht="15.75" customHeight="1" x14ac:dyDescent="0.2">
      <c r="A334" s="176"/>
      <c r="B334" s="179"/>
      <c r="C334" s="26"/>
      <c r="D334" s="65"/>
      <c r="E334" s="66"/>
      <c r="F334" s="63"/>
      <c r="G334" s="63"/>
      <c r="H334" s="63"/>
      <c r="I334" s="133"/>
      <c r="J334" s="163" t="str">
        <f>IF(AND(A332&lt;&gt;"", A332='Regatta Attributes'!$B$4), "Break", "")</f>
        <v/>
      </c>
    </row>
    <row r="335" spans="1:10" ht="15.75" customHeight="1" x14ac:dyDescent="0.2">
      <c r="A335" s="174" t="str" cm="1">
        <f t="array" ref="A335">_xlfn.LET(_xlpm.EVENT, A332+1, IF($J332="Break", 'Regatta Attributes'!$B$4+1, IF(ISERROR(_xlpm.EVENT), "", IF($J333="Break", "", IF(_xlpm.EVENT &lt;= 'Regatta Attributes'!$B$1, _xlpm.EVENT, "")))))</f>
        <v/>
      </c>
      <c r="B335" s="177" t="str">
        <f>TEXT(IF(A335="", IF($J333="Break", "Break", ""), _xlfn.LET(_xlpm.CENTER, B332 + TIME(0, 'Regatta Attributes'!$B$2, 0), IF(ISERROR(_xlpm.CENTER), VLOOKUP('Regatta Attributes'!$B$4, $A:$B, 2, FALSE) + TIME(0, 'Regatta Attributes'!$B$5, 0), _xlpm.CENTER) )), "hh:mm AM/PM")</f>
        <v/>
      </c>
      <c r="C335" s="20"/>
      <c r="D335" s="43"/>
      <c r="E335" s="50"/>
      <c r="F335" s="44"/>
      <c r="G335" s="44"/>
      <c r="H335" s="50"/>
      <c r="I335" s="98"/>
      <c r="J335" s="163" t="str">
        <f>IF(AND(A332&lt;&gt;"", A332='Regatta Attributes'!$B$4), "Break", "")</f>
        <v/>
      </c>
    </row>
    <row r="336" spans="1:10" ht="15.75" customHeight="1" x14ac:dyDescent="0.2">
      <c r="A336" s="175"/>
      <c r="B336" s="178"/>
      <c r="C336" s="10"/>
      <c r="D336" s="45"/>
      <c r="E336" s="14"/>
      <c r="F336" s="46"/>
      <c r="G336" s="45"/>
      <c r="H336" s="46"/>
      <c r="I336" s="99"/>
      <c r="J336" s="163" t="str">
        <f>IF(AND(A335&lt;&gt;"", A335='Regatta Attributes'!$B$4), "Break", "")</f>
        <v/>
      </c>
    </row>
    <row r="337" spans="1:10" ht="15.75" customHeight="1" x14ac:dyDescent="0.2">
      <c r="A337" s="176"/>
      <c r="B337" s="179"/>
      <c r="C337" s="26"/>
      <c r="D337" s="65"/>
      <c r="E337" s="66"/>
      <c r="F337" s="63"/>
      <c r="G337" s="63"/>
      <c r="H337" s="63"/>
      <c r="I337" s="133"/>
      <c r="J337" s="163" t="str">
        <f>IF(AND(A335&lt;&gt;"", A335='Regatta Attributes'!$B$4), "Break", "")</f>
        <v/>
      </c>
    </row>
    <row r="338" spans="1:10" ht="15.75" customHeight="1" x14ac:dyDescent="0.2">
      <c r="A338" s="174" t="str" cm="1">
        <f t="array" ref="A338">_xlfn.LET(_xlpm.EVENT, A335+1, IF($J335="Break", 'Regatta Attributes'!$B$4+1, IF(ISERROR(_xlpm.EVENT), "", IF($J336="Break", "", IF(_xlpm.EVENT &lt;= 'Regatta Attributes'!$B$1, _xlpm.EVENT, "")))))</f>
        <v/>
      </c>
      <c r="B338" s="177" t="str">
        <f>TEXT(IF(A338="", IF($J336="Break", "Break", ""), _xlfn.LET(_xlpm.CENTER, B335 + TIME(0, 'Regatta Attributes'!$B$2, 0), IF(ISERROR(_xlpm.CENTER), VLOOKUP('Regatta Attributes'!$B$4, $A:$B, 2, FALSE) + TIME(0, 'Regatta Attributes'!$B$5, 0), _xlpm.CENTER) )), "hh:mm AM/PM")</f>
        <v/>
      </c>
      <c r="C338" s="20"/>
      <c r="D338" s="43"/>
      <c r="E338" s="50"/>
      <c r="F338" s="44"/>
      <c r="G338" s="44"/>
      <c r="H338" s="50"/>
      <c r="I338" s="98"/>
      <c r="J338" s="163" t="str">
        <f>IF(AND(A335&lt;&gt;"", A335='Regatta Attributes'!$B$4), "Break", "")</f>
        <v/>
      </c>
    </row>
    <row r="339" spans="1:10" ht="15.75" customHeight="1" x14ac:dyDescent="0.2">
      <c r="A339" s="175"/>
      <c r="B339" s="178"/>
      <c r="C339" s="10"/>
      <c r="D339" s="45"/>
      <c r="E339" s="14"/>
      <c r="F339" s="46"/>
      <c r="G339" s="45"/>
      <c r="H339" s="46"/>
      <c r="I339" s="99"/>
      <c r="J339" s="163" t="str">
        <f>IF(AND(A338&lt;&gt;"", A338='Regatta Attributes'!$B$4), "Break", "")</f>
        <v/>
      </c>
    </row>
    <row r="340" spans="1:10" ht="15.75" customHeight="1" x14ac:dyDescent="0.2">
      <c r="A340" s="176"/>
      <c r="B340" s="179"/>
      <c r="C340" s="26"/>
      <c r="D340" s="65"/>
      <c r="E340" s="66"/>
      <c r="F340" s="63"/>
      <c r="G340" s="63"/>
      <c r="H340" s="63"/>
      <c r="I340" s="133"/>
      <c r="J340" s="163" t="str">
        <f>IF(AND(A338&lt;&gt;"", A338='Regatta Attributes'!$B$4), "Break", "")</f>
        <v/>
      </c>
    </row>
    <row r="341" spans="1:10" ht="15.75" customHeight="1" x14ac:dyDescent="0.2">
      <c r="A341" s="174" t="str" cm="1">
        <f t="array" ref="A341">_xlfn.LET(_xlpm.EVENT, A338+1, IF($J338="Break", 'Regatta Attributes'!$B$4+1, IF(ISERROR(_xlpm.EVENT), "", IF($J339="Break", "", IF(_xlpm.EVENT &lt;= 'Regatta Attributes'!$B$1, _xlpm.EVENT, "")))))</f>
        <v/>
      </c>
      <c r="B341" s="177" t="str">
        <f>TEXT(IF(A341="", IF($J339="Break", "Break", ""), _xlfn.LET(_xlpm.CENTER, B338 + TIME(0, 'Regatta Attributes'!$B$2, 0), IF(ISERROR(_xlpm.CENTER), VLOOKUP('Regatta Attributes'!$B$4, $A:$B, 2, FALSE) + TIME(0, 'Regatta Attributes'!$B$5, 0), _xlpm.CENTER) )), "hh:mm AM/PM")</f>
        <v/>
      </c>
      <c r="C341" s="20"/>
      <c r="D341" s="43"/>
      <c r="E341" s="50"/>
      <c r="F341" s="44"/>
      <c r="G341" s="44"/>
      <c r="H341" s="50"/>
      <c r="I341" s="98"/>
      <c r="J341" s="163" t="str">
        <f>IF(AND(A338&lt;&gt;"", A338='Regatta Attributes'!$B$4), "Break", "")</f>
        <v/>
      </c>
    </row>
    <row r="342" spans="1:10" ht="15.75" customHeight="1" x14ac:dyDescent="0.2">
      <c r="A342" s="175"/>
      <c r="B342" s="178"/>
      <c r="C342" s="10"/>
      <c r="D342" s="45"/>
      <c r="E342" s="14"/>
      <c r="F342" s="46"/>
      <c r="G342" s="45"/>
      <c r="H342" s="46"/>
      <c r="I342" s="99"/>
      <c r="J342" s="163" t="str">
        <f>IF(AND(A341&lt;&gt;"", A341='Regatta Attributes'!$B$4), "Break", "")</f>
        <v/>
      </c>
    </row>
    <row r="343" spans="1:10" ht="15.75" customHeight="1" x14ac:dyDescent="0.2">
      <c r="A343" s="176"/>
      <c r="B343" s="179"/>
      <c r="C343" s="26"/>
      <c r="D343" s="65"/>
      <c r="E343" s="66"/>
      <c r="F343" s="63"/>
      <c r="G343" s="63"/>
      <c r="H343" s="63"/>
      <c r="I343" s="133"/>
      <c r="J343" s="163" t="str">
        <f>IF(AND(A341&lt;&gt;"", A341='Regatta Attributes'!$B$4), "Break", "")</f>
        <v/>
      </c>
    </row>
    <row r="344" spans="1:10" ht="15.75" customHeight="1" x14ac:dyDescent="0.2">
      <c r="A344" s="174" t="str" cm="1">
        <f t="array" ref="A344">_xlfn.LET(_xlpm.EVENT, A341+1, IF($J341="Break", 'Regatta Attributes'!$B$4+1, IF(ISERROR(_xlpm.EVENT), "", IF($J342="Break", "", IF(_xlpm.EVENT &lt;= 'Regatta Attributes'!$B$1, _xlpm.EVENT, "")))))</f>
        <v/>
      </c>
      <c r="B344" s="177" t="str">
        <f>TEXT(IF(A344="", IF($J342="Break", "Break", ""), _xlfn.LET(_xlpm.CENTER, B341 + TIME(0, 'Regatta Attributes'!$B$2, 0), IF(ISERROR(_xlpm.CENTER), VLOOKUP('Regatta Attributes'!$B$4, $A:$B, 2, FALSE) + TIME(0, 'Regatta Attributes'!$B$5, 0), _xlpm.CENTER) )), "hh:mm AM/PM")</f>
        <v/>
      </c>
      <c r="C344" s="20"/>
      <c r="D344" s="43"/>
      <c r="E344" s="50"/>
      <c r="F344" s="44"/>
      <c r="G344" s="44"/>
      <c r="H344" s="50"/>
      <c r="I344" s="98"/>
      <c r="J344" s="163" t="str">
        <f>IF(AND(A341&lt;&gt;"", A341='Regatta Attributes'!$B$4), "Break", "")</f>
        <v/>
      </c>
    </row>
    <row r="345" spans="1:10" ht="15.75" customHeight="1" x14ac:dyDescent="0.2">
      <c r="A345" s="175"/>
      <c r="B345" s="178"/>
      <c r="C345" s="10"/>
      <c r="D345" s="45"/>
      <c r="E345" s="14"/>
      <c r="F345" s="46"/>
      <c r="G345" s="45"/>
      <c r="H345" s="46"/>
      <c r="I345" s="99"/>
      <c r="J345" s="163" t="str">
        <f>IF(AND(A344&lt;&gt;"", A344='Regatta Attributes'!$B$4), "Break", "")</f>
        <v/>
      </c>
    </row>
    <row r="346" spans="1:10" ht="15.75" customHeight="1" x14ac:dyDescent="0.2">
      <c r="A346" s="176"/>
      <c r="B346" s="179"/>
      <c r="C346" s="26"/>
      <c r="D346" s="65"/>
      <c r="E346" s="66"/>
      <c r="F346" s="63"/>
      <c r="G346" s="63"/>
      <c r="H346" s="63"/>
      <c r="I346" s="133"/>
      <c r="J346" s="163" t="str">
        <f>IF(AND(A344&lt;&gt;"", A344='Regatta Attributes'!$B$4), "Break", "")</f>
        <v/>
      </c>
    </row>
    <row r="347" spans="1:10" ht="15.75" customHeight="1" x14ac:dyDescent="0.2">
      <c r="A347" s="174" t="str" cm="1">
        <f t="array" ref="A347">_xlfn.LET(_xlpm.EVENT, A344+1, IF($J344="Break", 'Regatta Attributes'!$B$4+1, IF(ISERROR(_xlpm.EVENT), "", IF($J345="Break", "", IF(_xlpm.EVENT &lt;= 'Regatta Attributes'!$B$1, _xlpm.EVENT, "")))))</f>
        <v/>
      </c>
      <c r="B347" s="177" t="str">
        <f>TEXT(IF(A347="", IF($J345="Break", "Break", ""), _xlfn.LET(_xlpm.CENTER, B344 + TIME(0, 'Regatta Attributes'!$B$2, 0), IF(ISERROR(_xlpm.CENTER), VLOOKUP('Regatta Attributes'!$B$4, $A:$B, 2, FALSE) + TIME(0, 'Regatta Attributes'!$B$5, 0), _xlpm.CENTER) )), "hh:mm AM/PM")</f>
        <v/>
      </c>
      <c r="C347" s="20"/>
      <c r="D347" s="43"/>
      <c r="E347" s="50"/>
      <c r="F347" s="44"/>
      <c r="G347" s="44"/>
      <c r="H347" s="50"/>
      <c r="I347" s="98"/>
      <c r="J347" s="163" t="str">
        <f>IF(AND(A344&lt;&gt;"", A344='Regatta Attributes'!$B$4), "Break", "")</f>
        <v/>
      </c>
    </row>
    <row r="348" spans="1:10" ht="15.75" customHeight="1" x14ac:dyDescent="0.2">
      <c r="A348" s="175"/>
      <c r="B348" s="178"/>
      <c r="C348" s="10"/>
      <c r="D348" s="45"/>
      <c r="E348" s="14"/>
      <c r="F348" s="46"/>
      <c r="G348" s="45"/>
      <c r="H348" s="46"/>
      <c r="I348" s="99"/>
      <c r="J348" s="163" t="str">
        <f>IF(AND(A347&lt;&gt;"", A347='Regatta Attributes'!$B$4), "Break", "")</f>
        <v/>
      </c>
    </row>
    <row r="349" spans="1:10" ht="15.75" customHeight="1" x14ac:dyDescent="0.2">
      <c r="A349" s="176"/>
      <c r="B349" s="179"/>
      <c r="C349" s="26"/>
      <c r="D349" s="65"/>
      <c r="E349" s="66"/>
      <c r="F349" s="63"/>
      <c r="G349" s="63"/>
      <c r="H349" s="63"/>
      <c r="I349" s="133"/>
      <c r="J349" s="163" t="str">
        <f>IF(AND(A347&lt;&gt;"", A347='Regatta Attributes'!$B$4), "Break", "")</f>
        <v/>
      </c>
    </row>
    <row r="350" spans="1:10" ht="15.75" customHeight="1" x14ac:dyDescent="0.2">
      <c r="A350" s="174" t="str" cm="1">
        <f t="array" ref="A350">_xlfn.LET(_xlpm.EVENT, A347+1, IF($J347="Break", 'Regatta Attributes'!$B$4+1, IF(ISERROR(_xlpm.EVENT), "", IF($J348="Break", "", IF(_xlpm.EVENT &lt;= 'Regatta Attributes'!$B$1, _xlpm.EVENT, "")))))</f>
        <v/>
      </c>
      <c r="B350" s="177" t="str">
        <f>TEXT(IF(A350="", IF($J348="Break", "Break", ""), _xlfn.LET(_xlpm.CENTER, B347 + TIME(0, 'Regatta Attributes'!$B$2, 0), IF(ISERROR(_xlpm.CENTER), VLOOKUP('Regatta Attributes'!$B$4, $A:$B, 2, FALSE) + TIME(0, 'Regatta Attributes'!$B$5, 0), _xlpm.CENTER) )), "hh:mm AM/PM")</f>
        <v/>
      </c>
      <c r="C350" s="20"/>
      <c r="D350" s="43"/>
      <c r="E350" s="50"/>
      <c r="F350" s="44"/>
      <c r="G350" s="44"/>
      <c r="H350" s="50"/>
      <c r="I350" s="98"/>
      <c r="J350" s="163" t="str">
        <f>IF(AND(A347&lt;&gt;"", A347='Regatta Attributes'!$B$4), "Break", "")</f>
        <v/>
      </c>
    </row>
    <row r="351" spans="1:10" ht="15.75" customHeight="1" x14ac:dyDescent="0.2">
      <c r="A351" s="175"/>
      <c r="B351" s="178"/>
      <c r="C351" s="10"/>
      <c r="D351" s="45"/>
      <c r="E351" s="14"/>
      <c r="F351" s="46"/>
      <c r="G351" s="45"/>
      <c r="H351" s="46"/>
      <c r="I351" s="99"/>
      <c r="J351" s="163" t="str">
        <f>IF(AND(A350&lt;&gt;"", A350='Regatta Attributes'!$B$4), "Break", "")</f>
        <v/>
      </c>
    </row>
    <row r="352" spans="1:10" ht="15.75" customHeight="1" x14ac:dyDescent="0.2">
      <c r="A352" s="176"/>
      <c r="B352" s="179"/>
      <c r="C352" s="26"/>
      <c r="D352" s="65"/>
      <c r="E352" s="66"/>
      <c r="F352" s="63"/>
      <c r="G352" s="63"/>
      <c r="H352" s="63"/>
      <c r="I352" s="133"/>
      <c r="J352" s="163" t="str">
        <f>IF(AND(A350&lt;&gt;"", A350='Regatta Attributes'!$B$4), "Break", "")</f>
        <v/>
      </c>
    </row>
    <row r="353" spans="1:10" ht="15.75" customHeight="1" x14ac:dyDescent="0.2">
      <c r="A353" s="174" t="str" cm="1">
        <f t="array" ref="A353">_xlfn.LET(_xlpm.EVENT, A350+1, IF($J350="Break", 'Regatta Attributes'!$B$4+1, IF(ISERROR(_xlpm.EVENT), "", IF($J351="Break", "", IF(_xlpm.EVENT &lt;= 'Regatta Attributes'!$B$1, _xlpm.EVENT, "")))))</f>
        <v/>
      </c>
      <c r="B353" s="177" t="str">
        <f>TEXT(IF(A353="", IF($J351="Break", "Break", ""), _xlfn.LET(_xlpm.CENTER, B350 + TIME(0, 'Regatta Attributes'!$B$2, 0), IF(ISERROR(_xlpm.CENTER), VLOOKUP('Regatta Attributes'!$B$4, $A:$B, 2, FALSE) + TIME(0, 'Regatta Attributes'!$B$5, 0), _xlpm.CENTER) )), "hh:mm AM/PM")</f>
        <v/>
      </c>
      <c r="C353" s="20"/>
      <c r="D353" s="43"/>
      <c r="E353" s="50"/>
      <c r="F353" s="44"/>
      <c r="G353" s="44"/>
      <c r="H353" s="50"/>
      <c r="I353" s="98"/>
      <c r="J353" s="163" t="str">
        <f>IF(AND(A350&lt;&gt;"", A350='Regatta Attributes'!$B$4), "Break", "")</f>
        <v/>
      </c>
    </row>
    <row r="354" spans="1:10" ht="15.75" customHeight="1" x14ac:dyDescent="0.2">
      <c r="A354" s="175"/>
      <c r="B354" s="178"/>
      <c r="C354" s="10"/>
      <c r="D354" s="45"/>
      <c r="E354" s="14"/>
      <c r="F354" s="46"/>
      <c r="G354" s="45"/>
      <c r="H354" s="46"/>
      <c r="I354" s="99"/>
      <c r="J354" s="163" t="str">
        <f>IF(AND(A353&lt;&gt;"", A353='Regatta Attributes'!$B$4), "Break", "")</f>
        <v/>
      </c>
    </row>
    <row r="355" spans="1:10" ht="15.75" customHeight="1" x14ac:dyDescent="0.2">
      <c r="A355" s="176"/>
      <c r="B355" s="179"/>
      <c r="C355" s="26"/>
      <c r="D355" s="65"/>
      <c r="E355" s="66"/>
      <c r="F355" s="63"/>
      <c r="G355" s="63"/>
      <c r="H355" s="63"/>
      <c r="I355" s="133"/>
      <c r="J355" s="163" t="str">
        <f>IF(AND(A353&lt;&gt;"", A353='Regatta Attributes'!$B$4), "Break", "")</f>
        <v/>
      </c>
    </row>
    <row r="356" spans="1:10" ht="15.75" customHeight="1" x14ac:dyDescent="0.2">
      <c r="A356" s="174" t="str" cm="1">
        <f t="array" ref="A356">_xlfn.LET(_xlpm.EVENT, A353+1, IF($J353="Break", 'Regatta Attributes'!$B$4+1, IF(ISERROR(_xlpm.EVENT), "", IF($J354="Break", "", IF(_xlpm.EVENT &lt;= 'Regatta Attributes'!$B$1, _xlpm.EVENT, "")))))</f>
        <v/>
      </c>
      <c r="B356" s="177" t="str">
        <f>TEXT(IF(A356="", IF($J354="Break", "Break", ""), _xlfn.LET(_xlpm.CENTER, B353 + TIME(0, 'Regatta Attributes'!$B$2, 0), IF(ISERROR(_xlpm.CENTER), VLOOKUP('Regatta Attributes'!$B$4, $A:$B, 2, FALSE) + TIME(0, 'Regatta Attributes'!$B$5, 0), _xlpm.CENTER) )), "hh:mm AM/PM")</f>
        <v/>
      </c>
      <c r="C356" s="20"/>
      <c r="D356" s="43"/>
      <c r="E356" s="50"/>
      <c r="F356" s="44"/>
      <c r="G356" s="44"/>
      <c r="H356" s="50"/>
      <c r="I356" s="98"/>
      <c r="J356" s="163" t="str">
        <f>IF(AND(A353&lt;&gt;"", A353='Regatta Attributes'!$B$4), "Break", "")</f>
        <v/>
      </c>
    </row>
    <row r="357" spans="1:10" ht="15.75" customHeight="1" x14ac:dyDescent="0.2">
      <c r="A357" s="175"/>
      <c r="B357" s="178"/>
      <c r="C357" s="10"/>
      <c r="D357" s="45"/>
      <c r="E357" s="14"/>
      <c r="F357" s="46"/>
      <c r="G357" s="45"/>
      <c r="H357" s="46"/>
      <c r="I357" s="99"/>
      <c r="J357" s="163" t="str">
        <f>IF(AND(A356&lt;&gt;"", A356='Regatta Attributes'!$B$4), "Break", "")</f>
        <v/>
      </c>
    </row>
    <row r="358" spans="1:10" ht="15.75" customHeight="1" x14ac:dyDescent="0.2">
      <c r="A358" s="176"/>
      <c r="B358" s="179"/>
      <c r="C358" s="26"/>
      <c r="D358" s="65"/>
      <c r="E358" s="66"/>
      <c r="F358" s="63"/>
      <c r="G358" s="63"/>
      <c r="H358" s="63"/>
      <c r="I358" s="133"/>
      <c r="J358" s="163" t="str">
        <f>IF(AND(A356&lt;&gt;"", A356='Regatta Attributes'!$B$4), "Break", "")</f>
        <v/>
      </c>
    </row>
    <row r="359" spans="1:10" ht="15.75" customHeight="1" x14ac:dyDescent="0.2">
      <c r="A359" s="174" t="str" cm="1">
        <f t="array" ref="A359">_xlfn.LET(_xlpm.EVENT, A356+1, IF($J356="Break", 'Regatta Attributes'!$B$4+1, IF(ISERROR(_xlpm.EVENT), "", IF($J357="Break", "", IF(_xlpm.EVENT &lt;= 'Regatta Attributes'!$B$1, _xlpm.EVENT, "")))))</f>
        <v/>
      </c>
      <c r="B359" s="177" t="str">
        <f>TEXT(IF(A359="", IF($J357="Break", "Break", ""), _xlfn.LET(_xlpm.CENTER, B356 + TIME(0, 'Regatta Attributes'!$B$2, 0), IF(ISERROR(_xlpm.CENTER), VLOOKUP('Regatta Attributes'!$B$4, $A:$B, 2, FALSE) + TIME(0, 'Regatta Attributes'!$B$5, 0), _xlpm.CENTER) )), "hh:mm AM/PM")</f>
        <v/>
      </c>
      <c r="C359" s="20"/>
      <c r="D359" s="43"/>
      <c r="E359" s="50"/>
      <c r="F359" s="44"/>
      <c r="G359" s="44"/>
      <c r="H359" s="50"/>
      <c r="I359" s="98"/>
      <c r="J359" s="163" t="str">
        <f>IF(AND(A356&lt;&gt;"", A356='Regatta Attributes'!$B$4), "Break", "")</f>
        <v/>
      </c>
    </row>
    <row r="360" spans="1:10" ht="15.75" customHeight="1" x14ac:dyDescent="0.2">
      <c r="A360" s="175"/>
      <c r="B360" s="178"/>
      <c r="C360" s="10"/>
      <c r="D360" s="45"/>
      <c r="E360" s="14"/>
      <c r="F360" s="46"/>
      <c r="G360" s="45"/>
      <c r="H360" s="46"/>
      <c r="I360" s="99"/>
      <c r="J360" s="163" t="str">
        <f>IF(AND(A359&lt;&gt;"", A359='Regatta Attributes'!$B$4), "Break", "")</f>
        <v/>
      </c>
    </row>
    <row r="361" spans="1:10" ht="15.75" customHeight="1" x14ac:dyDescent="0.2">
      <c r="A361" s="176"/>
      <c r="B361" s="179"/>
      <c r="C361" s="26"/>
      <c r="D361" s="65"/>
      <c r="E361" s="66"/>
      <c r="F361" s="63"/>
      <c r="G361" s="63"/>
      <c r="H361" s="63"/>
      <c r="I361" s="133"/>
      <c r="J361" s="163" t="str">
        <f>IF(AND(A359&lt;&gt;"", A359='Regatta Attributes'!$B$4), "Break", "")</f>
        <v/>
      </c>
    </row>
    <row r="362" spans="1:10" ht="15.75" customHeight="1" x14ac:dyDescent="0.2">
      <c r="A362" s="174" t="str" cm="1">
        <f t="array" ref="A362">_xlfn.LET(_xlpm.EVENT, A359+1, IF($J359="Break", 'Regatta Attributes'!$B$4+1, IF(ISERROR(_xlpm.EVENT), "", IF($J360="Break", "", IF(_xlpm.EVENT &lt;= 'Regatta Attributes'!$B$1, _xlpm.EVENT, "")))))</f>
        <v/>
      </c>
      <c r="B362" s="177" t="str">
        <f>TEXT(IF(A362="", IF($J360="Break", "Break", ""), _xlfn.LET(_xlpm.CENTER, B359 + TIME(0, 'Regatta Attributes'!$B$2, 0), IF(ISERROR(_xlpm.CENTER), VLOOKUP('Regatta Attributes'!$B$4, $A:$B, 2, FALSE) + TIME(0, 'Regatta Attributes'!$B$5, 0), _xlpm.CENTER) )), "hh:mm AM/PM")</f>
        <v/>
      </c>
      <c r="C362" s="20"/>
      <c r="D362" s="43"/>
      <c r="E362" s="50"/>
      <c r="F362" s="44"/>
      <c r="G362" s="44"/>
      <c r="H362" s="50"/>
      <c r="I362" s="98"/>
      <c r="J362" s="163" t="str">
        <f>IF(AND(A359&lt;&gt;"", A359='Regatta Attributes'!$B$4), "Break", "")</f>
        <v/>
      </c>
    </row>
    <row r="363" spans="1:10" ht="15.75" customHeight="1" x14ac:dyDescent="0.2">
      <c r="A363" s="175"/>
      <c r="B363" s="178"/>
      <c r="C363" s="10"/>
      <c r="D363" s="45"/>
      <c r="E363" s="14"/>
      <c r="F363" s="46"/>
      <c r="G363" s="45"/>
      <c r="H363" s="46"/>
      <c r="I363" s="99"/>
      <c r="J363" s="163" t="str">
        <f>IF(AND(A362&lt;&gt;"", A362='Regatta Attributes'!$B$4), "Break", "")</f>
        <v/>
      </c>
    </row>
    <row r="364" spans="1:10" ht="15.75" customHeight="1" x14ac:dyDescent="0.2">
      <c r="A364" s="176"/>
      <c r="B364" s="179"/>
      <c r="C364" s="26"/>
      <c r="D364" s="65"/>
      <c r="E364" s="66"/>
      <c r="F364" s="63"/>
      <c r="G364" s="63"/>
      <c r="H364" s="63"/>
      <c r="I364" s="133"/>
      <c r="J364" s="163" t="str">
        <f>IF(AND(A362&lt;&gt;"", A362='Regatta Attributes'!$B$4), "Break", "")</f>
        <v/>
      </c>
    </row>
    <row r="365" spans="1:10" ht="15.75" customHeight="1" x14ac:dyDescent="0.2">
      <c r="A365" s="9"/>
      <c r="B365" s="9"/>
      <c r="C365" s="3"/>
      <c r="D365" s="3"/>
      <c r="E365" s="3"/>
      <c r="F365" s="3"/>
      <c r="G365" s="3"/>
      <c r="H365" s="3"/>
      <c r="I365" s="3"/>
    </row>
    <row r="366" spans="1:10" ht="15.75" customHeight="1" x14ac:dyDescent="0.2">
      <c r="A366" s="9"/>
      <c r="B366" s="9"/>
      <c r="C366" s="3"/>
      <c r="D366" s="3"/>
      <c r="E366" s="3"/>
      <c r="F366" s="3"/>
      <c r="G366" s="3"/>
      <c r="H366" s="3"/>
      <c r="I366" s="3"/>
    </row>
    <row r="367" spans="1:10" ht="15.75" customHeight="1" x14ac:dyDescent="0.2">
      <c r="A367" s="9"/>
      <c r="B367" s="9"/>
      <c r="C367" s="3"/>
      <c r="D367" s="3"/>
      <c r="E367" s="3"/>
      <c r="F367" s="3"/>
      <c r="G367" s="3"/>
      <c r="H367" s="3"/>
      <c r="I367" s="3"/>
    </row>
    <row r="368" spans="1:10" ht="15.75" customHeight="1" x14ac:dyDescent="0.2">
      <c r="A368" s="9"/>
      <c r="B368" s="9"/>
      <c r="C368" s="3"/>
      <c r="D368" s="3"/>
      <c r="E368" s="3"/>
      <c r="F368" s="3"/>
      <c r="G368" s="3"/>
      <c r="H368" s="3"/>
      <c r="I368" s="3"/>
    </row>
    <row r="369" spans="1:9" ht="15.75" customHeight="1" x14ac:dyDescent="0.2">
      <c r="A369" s="9"/>
      <c r="B369" s="9"/>
      <c r="C369" s="3"/>
      <c r="D369" s="3"/>
      <c r="E369" s="3"/>
      <c r="F369" s="3"/>
      <c r="G369" s="3"/>
      <c r="H369" s="3"/>
      <c r="I369" s="3"/>
    </row>
    <row r="370" spans="1:9" ht="15.75" customHeight="1" x14ac:dyDescent="0.2">
      <c r="A370" s="9"/>
      <c r="B370" s="9"/>
      <c r="C370" s="3"/>
      <c r="D370" s="3"/>
      <c r="E370" s="3"/>
      <c r="F370" s="3"/>
      <c r="G370" s="3"/>
      <c r="H370" s="3"/>
      <c r="I370" s="3"/>
    </row>
    <row r="371" spans="1:9" ht="15.75" customHeight="1" x14ac:dyDescent="0.2">
      <c r="A371" s="9"/>
      <c r="B371" s="9"/>
      <c r="C371" s="3"/>
      <c r="D371" s="3"/>
      <c r="E371" s="3"/>
      <c r="F371" s="3"/>
      <c r="G371" s="3"/>
      <c r="H371" s="3"/>
      <c r="I371" s="3"/>
    </row>
    <row r="372" spans="1:9" ht="15.75" customHeight="1" x14ac:dyDescent="0.2">
      <c r="A372" s="9"/>
      <c r="B372" s="9"/>
      <c r="C372" s="3"/>
      <c r="D372" s="3"/>
      <c r="E372" s="3"/>
      <c r="F372" s="3"/>
      <c r="G372" s="3"/>
      <c r="H372" s="3"/>
      <c r="I372" s="3"/>
    </row>
    <row r="373" spans="1:9" ht="15.75" customHeight="1" x14ac:dyDescent="0.2">
      <c r="A373" s="9"/>
      <c r="B373" s="9"/>
      <c r="C373" s="3"/>
      <c r="D373" s="3"/>
      <c r="E373" s="3"/>
      <c r="F373" s="3"/>
      <c r="G373" s="3"/>
      <c r="H373" s="3"/>
      <c r="I373" s="3"/>
    </row>
    <row r="374" spans="1:9" ht="15.75" customHeight="1" x14ac:dyDescent="0.2">
      <c r="A374" s="9"/>
      <c r="B374" s="9"/>
      <c r="C374" s="3"/>
      <c r="D374" s="3"/>
      <c r="E374" s="3"/>
      <c r="F374" s="3"/>
      <c r="G374" s="3"/>
      <c r="H374" s="3"/>
      <c r="I374" s="3"/>
    </row>
    <row r="375" spans="1:9" ht="15.75" customHeight="1" x14ac:dyDescent="0.2">
      <c r="A375" s="9"/>
      <c r="B375" s="9"/>
      <c r="C375" s="3"/>
      <c r="D375" s="3"/>
      <c r="E375" s="3"/>
      <c r="F375" s="3"/>
      <c r="G375" s="3"/>
      <c r="H375" s="3"/>
      <c r="I375" s="3"/>
    </row>
    <row r="376" spans="1:9" ht="15.75" customHeight="1" x14ac:dyDescent="0.2">
      <c r="A376" s="9"/>
      <c r="B376" s="9"/>
      <c r="C376" s="3"/>
      <c r="D376" s="3"/>
      <c r="E376" s="3"/>
      <c r="F376" s="3"/>
      <c r="G376" s="3"/>
      <c r="H376" s="3"/>
      <c r="I376" s="3"/>
    </row>
    <row r="377" spans="1:9" ht="15.75" customHeight="1" x14ac:dyDescent="0.2">
      <c r="A377" s="9"/>
      <c r="B377" s="9"/>
      <c r="C377" s="3"/>
      <c r="D377" s="3"/>
      <c r="E377" s="3"/>
      <c r="F377" s="3"/>
      <c r="G377" s="3"/>
      <c r="H377" s="3"/>
      <c r="I377" s="3"/>
    </row>
    <row r="378" spans="1:9" ht="15.75" customHeight="1" x14ac:dyDescent="0.2">
      <c r="A378" s="9"/>
      <c r="B378" s="9"/>
      <c r="C378" s="3"/>
      <c r="D378" s="3"/>
      <c r="E378" s="3"/>
      <c r="F378" s="3"/>
      <c r="G378" s="3"/>
      <c r="H378" s="3"/>
      <c r="I378" s="3"/>
    </row>
    <row r="379" spans="1:9" ht="15.75" customHeight="1" x14ac:dyDescent="0.2">
      <c r="A379" s="9"/>
      <c r="B379" s="9"/>
      <c r="C379" s="3"/>
      <c r="D379" s="3"/>
      <c r="E379" s="3"/>
      <c r="F379" s="3"/>
      <c r="G379" s="3"/>
      <c r="H379" s="3"/>
      <c r="I379" s="3"/>
    </row>
    <row r="380" spans="1:9" ht="15.75" customHeight="1" x14ac:dyDescent="0.2">
      <c r="A380" s="9"/>
      <c r="B380" s="9"/>
      <c r="C380" s="3"/>
      <c r="D380" s="3"/>
      <c r="E380" s="3"/>
      <c r="F380" s="3"/>
      <c r="G380" s="3"/>
      <c r="H380" s="3"/>
      <c r="I380" s="3"/>
    </row>
    <row r="381" spans="1:9" ht="15.75" customHeight="1" x14ac:dyDescent="0.2">
      <c r="A381" s="9"/>
      <c r="B381" s="9"/>
      <c r="C381" s="3"/>
      <c r="D381" s="3"/>
      <c r="E381" s="3"/>
      <c r="F381" s="3"/>
      <c r="G381" s="3"/>
      <c r="H381" s="3"/>
      <c r="I381" s="3"/>
    </row>
    <row r="382" spans="1:9" ht="15.75" customHeight="1" x14ac:dyDescent="0.2">
      <c r="A382" s="9"/>
      <c r="B382" s="9"/>
      <c r="C382" s="3"/>
      <c r="D382" s="3"/>
      <c r="E382" s="3"/>
      <c r="F382" s="3"/>
      <c r="G382" s="3"/>
      <c r="H382" s="3"/>
      <c r="I382" s="3"/>
    </row>
    <row r="383" spans="1:9" ht="15.75" customHeight="1" x14ac:dyDescent="0.2">
      <c r="A383" s="9"/>
      <c r="B383" s="9"/>
      <c r="C383" s="3"/>
      <c r="D383" s="3"/>
      <c r="E383" s="3"/>
      <c r="F383" s="3"/>
      <c r="G383" s="3"/>
      <c r="H383" s="3"/>
      <c r="I383" s="3"/>
    </row>
    <row r="384" spans="1:9" ht="15.75" customHeight="1" x14ac:dyDescent="0.2">
      <c r="A384" s="9"/>
      <c r="B384" s="9"/>
      <c r="C384" s="3"/>
      <c r="D384" s="3"/>
      <c r="E384" s="3"/>
      <c r="F384" s="3"/>
      <c r="G384" s="3"/>
      <c r="H384" s="3"/>
      <c r="I384" s="3"/>
    </row>
    <row r="385" spans="1:9" ht="15.75" customHeight="1" x14ac:dyDescent="0.2">
      <c r="A385" s="9"/>
      <c r="B385" s="9"/>
      <c r="C385" s="3"/>
      <c r="D385" s="3"/>
      <c r="E385" s="3"/>
      <c r="F385" s="3"/>
      <c r="G385" s="3"/>
      <c r="H385" s="3"/>
      <c r="I385" s="3"/>
    </row>
    <row r="386" spans="1:9" ht="15.75" customHeight="1" x14ac:dyDescent="0.2">
      <c r="A386" s="9"/>
      <c r="B386" s="9"/>
      <c r="C386" s="3"/>
      <c r="D386" s="3"/>
      <c r="E386" s="3"/>
      <c r="F386" s="3"/>
      <c r="G386" s="3"/>
      <c r="H386" s="3"/>
      <c r="I386" s="3"/>
    </row>
    <row r="387" spans="1:9" ht="15.75" customHeight="1" x14ac:dyDescent="0.2">
      <c r="A387" s="9"/>
      <c r="B387" s="9"/>
      <c r="C387" s="3"/>
      <c r="D387" s="3"/>
      <c r="E387" s="3"/>
      <c r="F387" s="3"/>
      <c r="G387" s="3"/>
      <c r="H387" s="3"/>
      <c r="I387" s="3"/>
    </row>
    <row r="388" spans="1:9" ht="15.75" customHeight="1" x14ac:dyDescent="0.2">
      <c r="A388" s="9"/>
      <c r="B388" s="9"/>
      <c r="C388" s="3"/>
      <c r="D388" s="3"/>
      <c r="E388" s="3"/>
      <c r="F388" s="3"/>
      <c r="G388" s="3"/>
      <c r="H388" s="3"/>
      <c r="I388" s="3"/>
    </row>
    <row r="389" spans="1:9" ht="15.75" customHeight="1" x14ac:dyDescent="0.2">
      <c r="A389" s="9"/>
      <c r="B389" s="9"/>
      <c r="C389" s="3"/>
      <c r="D389" s="3"/>
      <c r="E389" s="3"/>
      <c r="F389" s="3"/>
      <c r="G389" s="3"/>
      <c r="H389" s="3"/>
      <c r="I389" s="3"/>
    </row>
    <row r="390" spans="1:9" ht="15.75" customHeight="1" x14ac:dyDescent="0.2">
      <c r="A390" s="9"/>
      <c r="B390" s="9"/>
      <c r="C390" s="3"/>
      <c r="D390" s="3"/>
      <c r="E390" s="3"/>
      <c r="F390" s="3"/>
      <c r="G390" s="3"/>
      <c r="H390" s="3"/>
      <c r="I390" s="3"/>
    </row>
    <row r="391" spans="1:9" ht="15.75" customHeight="1" x14ac:dyDescent="0.2">
      <c r="A391" s="9"/>
      <c r="B391" s="9"/>
      <c r="C391" s="3"/>
      <c r="D391" s="3"/>
      <c r="E391" s="3"/>
      <c r="F391" s="3"/>
      <c r="G391" s="3"/>
      <c r="H391" s="3"/>
      <c r="I391" s="3"/>
    </row>
    <row r="392" spans="1:9" ht="15.75" customHeight="1" x14ac:dyDescent="0.2">
      <c r="A392" s="9"/>
      <c r="B392" s="9"/>
      <c r="C392" s="3"/>
      <c r="D392" s="3"/>
      <c r="E392" s="3"/>
      <c r="F392" s="3"/>
      <c r="G392" s="3"/>
      <c r="H392" s="3"/>
      <c r="I392" s="3"/>
    </row>
    <row r="393" spans="1:9" ht="15.75" customHeight="1" x14ac:dyDescent="0.2">
      <c r="A393" s="9"/>
      <c r="B393" s="9"/>
      <c r="C393" s="3"/>
      <c r="D393" s="3"/>
      <c r="E393" s="3"/>
      <c r="F393" s="3"/>
      <c r="G393" s="3"/>
      <c r="H393" s="3"/>
      <c r="I393" s="3"/>
    </row>
    <row r="394" spans="1:9" ht="15.75" customHeight="1" x14ac:dyDescent="0.2">
      <c r="A394" s="9"/>
      <c r="B394" s="9"/>
      <c r="C394" s="3"/>
      <c r="D394" s="3"/>
      <c r="E394" s="3"/>
      <c r="F394" s="3"/>
      <c r="G394" s="3"/>
      <c r="H394" s="3"/>
      <c r="I394" s="3"/>
    </row>
    <row r="395" spans="1:9" ht="15.75" customHeight="1" x14ac:dyDescent="0.2">
      <c r="A395" s="9"/>
      <c r="B395" s="9"/>
      <c r="C395" s="3"/>
      <c r="D395" s="3"/>
      <c r="E395" s="3"/>
      <c r="F395" s="3"/>
      <c r="G395" s="3"/>
      <c r="H395" s="3"/>
      <c r="I395" s="3"/>
    </row>
    <row r="396" spans="1:9" ht="15.75" customHeight="1" x14ac:dyDescent="0.2">
      <c r="A396" s="9"/>
      <c r="B396" s="9"/>
      <c r="C396" s="3"/>
      <c r="D396" s="3"/>
      <c r="E396" s="3"/>
      <c r="F396" s="3"/>
      <c r="G396" s="3"/>
      <c r="H396" s="3"/>
      <c r="I396" s="3"/>
    </row>
    <row r="397" spans="1:9" ht="15.75" customHeight="1" x14ac:dyDescent="0.2">
      <c r="A397" s="9"/>
      <c r="B397" s="9"/>
      <c r="C397" s="3"/>
      <c r="D397" s="3"/>
      <c r="E397" s="3"/>
      <c r="F397" s="3"/>
      <c r="G397" s="3"/>
      <c r="H397" s="3"/>
      <c r="I397" s="3"/>
    </row>
    <row r="398" spans="1:9" ht="15.75" customHeight="1" x14ac:dyDescent="0.2">
      <c r="A398" s="9"/>
      <c r="B398" s="9"/>
      <c r="C398" s="3"/>
      <c r="D398" s="3"/>
      <c r="E398" s="3"/>
      <c r="F398" s="3"/>
      <c r="G398" s="3"/>
      <c r="H398" s="3"/>
      <c r="I398" s="3"/>
    </row>
    <row r="399" spans="1:9" ht="15.75" customHeight="1" x14ac:dyDescent="0.2">
      <c r="A399" s="9"/>
      <c r="B399" s="9"/>
      <c r="C399" s="3"/>
      <c r="D399" s="3"/>
      <c r="E399" s="3"/>
      <c r="F399" s="3"/>
      <c r="G399" s="3"/>
      <c r="H399" s="3"/>
      <c r="I399" s="3"/>
    </row>
    <row r="400" spans="1:9" ht="15.75" customHeight="1" x14ac:dyDescent="0.2">
      <c r="A400" s="9"/>
      <c r="B400" s="9"/>
      <c r="C400" s="3"/>
      <c r="D400" s="3"/>
      <c r="E400" s="3"/>
      <c r="F400" s="3"/>
      <c r="G400" s="3"/>
      <c r="H400" s="3"/>
      <c r="I400" s="3"/>
    </row>
    <row r="401" spans="1:9" ht="15.75" customHeight="1" x14ac:dyDescent="0.2">
      <c r="A401" s="9"/>
      <c r="B401" s="9"/>
      <c r="C401" s="3"/>
      <c r="D401" s="3"/>
      <c r="E401" s="3"/>
      <c r="F401" s="3"/>
      <c r="G401" s="3"/>
      <c r="H401" s="3"/>
      <c r="I401" s="3"/>
    </row>
    <row r="402" spans="1:9" ht="15.75" customHeight="1" x14ac:dyDescent="0.2">
      <c r="A402" s="9"/>
      <c r="B402" s="9"/>
      <c r="C402" s="3"/>
      <c r="D402" s="3"/>
      <c r="E402" s="3"/>
      <c r="F402" s="3"/>
      <c r="G402" s="3"/>
      <c r="H402" s="3"/>
      <c r="I402" s="3"/>
    </row>
    <row r="403" spans="1:9" ht="15.75" customHeight="1" x14ac:dyDescent="0.2">
      <c r="A403" s="9"/>
      <c r="B403" s="9"/>
      <c r="C403" s="3"/>
      <c r="D403" s="3"/>
      <c r="E403" s="3"/>
      <c r="F403" s="3"/>
      <c r="G403" s="3"/>
      <c r="H403" s="3"/>
      <c r="I403" s="3"/>
    </row>
    <row r="404" spans="1:9" ht="15.75" customHeight="1" x14ac:dyDescent="0.2">
      <c r="A404" s="9"/>
      <c r="B404" s="9"/>
      <c r="C404" s="3"/>
      <c r="D404" s="3"/>
      <c r="E404" s="3"/>
      <c r="F404" s="3"/>
      <c r="G404" s="3"/>
      <c r="H404" s="3"/>
      <c r="I404" s="3"/>
    </row>
    <row r="405" spans="1:9" ht="15.75" customHeight="1" x14ac:dyDescent="0.2">
      <c r="A405" s="9"/>
      <c r="B405" s="9"/>
      <c r="C405" s="3"/>
      <c r="D405" s="3"/>
      <c r="E405" s="3"/>
      <c r="F405" s="3"/>
      <c r="G405" s="3"/>
      <c r="H405" s="3"/>
      <c r="I405" s="3"/>
    </row>
    <row r="406" spans="1:9" ht="15.75" customHeight="1" x14ac:dyDescent="0.2">
      <c r="A406" s="9"/>
      <c r="B406" s="9"/>
      <c r="C406" s="3"/>
      <c r="D406" s="3"/>
      <c r="E406" s="3"/>
      <c r="F406" s="3"/>
      <c r="G406" s="3"/>
      <c r="H406" s="3"/>
      <c r="I406" s="3"/>
    </row>
    <row r="407" spans="1:9" ht="15.75" customHeight="1" x14ac:dyDescent="0.2">
      <c r="A407" s="9"/>
      <c r="B407" s="9"/>
      <c r="C407" s="3"/>
      <c r="D407" s="3"/>
      <c r="E407" s="3"/>
      <c r="F407" s="3"/>
      <c r="G407" s="3"/>
      <c r="H407" s="3"/>
      <c r="I407" s="3"/>
    </row>
    <row r="408" spans="1:9" ht="15.75" customHeight="1" x14ac:dyDescent="0.2">
      <c r="A408" s="9"/>
      <c r="B408" s="9"/>
      <c r="C408" s="3"/>
      <c r="D408" s="3"/>
      <c r="E408" s="3"/>
      <c r="F408" s="3"/>
      <c r="G408" s="3"/>
      <c r="H408" s="3"/>
      <c r="I408" s="3"/>
    </row>
    <row r="409" spans="1:9" ht="15.75" customHeight="1" x14ac:dyDescent="0.2">
      <c r="A409" s="9"/>
      <c r="B409" s="9"/>
      <c r="C409" s="3"/>
      <c r="D409" s="3"/>
      <c r="E409" s="3"/>
      <c r="F409" s="3"/>
      <c r="G409" s="3"/>
      <c r="H409" s="3"/>
      <c r="I409" s="3"/>
    </row>
    <row r="410" spans="1:9" ht="15.75" customHeight="1" x14ac:dyDescent="0.2">
      <c r="A410" s="9"/>
      <c r="B410" s="9"/>
      <c r="C410" s="3"/>
      <c r="D410" s="3"/>
      <c r="E410" s="3"/>
      <c r="F410" s="3"/>
      <c r="G410" s="3"/>
      <c r="H410" s="3"/>
      <c r="I410" s="3"/>
    </row>
    <row r="411" spans="1:9" ht="15.75" customHeight="1" x14ac:dyDescent="0.2">
      <c r="A411" s="9"/>
      <c r="B411" s="9"/>
      <c r="C411" s="3"/>
      <c r="D411" s="3"/>
      <c r="E411" s="3"/>
      <c r="F411" s="3"/>
      <c r="G411" s="3"/>
      <c r="H411" s="3"/>
      <c r="I411" s="3"/>
    </row>
    <row r="412" spans="1:9" ht="15.75" customHeight="1" x14ac:dyDescent="0.2">
      <c r="A412" s="9"/>
      <c r="B412" s="9"/>
      <c r="C412" s="3"/>
      <c r="D412" s="3"/>
      <c r="E412" s="3"/>
      <c r="F412" s="3"/>
      <c r="G412" s="3"/>
      <c r="H412" s="3"/>
      <c r="I412" s="3"/>
    </row>
    <row r="413" spans="1:9" ht="15.75" customHeight="1" x14ac:dyDescent="0.2">
      <c r="A413" s="9"/>
      <c r="B413" s="9"/>
      <c r="C413" s="3"/>
      <c r="D413" s="3"/>
      <c r="E413" s="3"/>
      <c r="F413" s="3"/>
      <c r="G413" s="3"/>
      <c r="H413" s="3"/>
      <c r="I413" s="3"/>
    </row>
    <row r="414" spans="1:9" ht="15.75" customHeight="1" x14ac:dyDescent="0.2">
      <c r="A414" s="9"/>
      <c r="B414" s="9"/>
      <c r="C414" s="3"/>
      <c r="D414" s="3"/>
      <c r="E414" s="3"/>
      <c r="F414" s="3"/>
      <c r="G414" s="3"/>
      <c r="H414" s="3"/>
      <c r="I414" s="3"/>
    </row>
    <row r="415" spans="1:9" ht="15.75" customHeight="1" x14ac:dyDescent="0.2">
      <c r="A415" s="9"/>
      <c r="B415" s="9"/>
      <c r="C415" s="3"/>
      <c r="D415" s="3"/>
      <c r="E415" s="3"/>
      <c r="F415" s="3"/>
      <c r="G415" s="3"/>
      <c r="H415" s="3"/>
      <c r="I415" s="3"/>
    </row>
    <row r="416" spans="1:9" ht="15.75" customHeight="1" x14ac:dyDescent="0.2">
      <c r="A416" s="9"/>
      <c r="B416" s="9"/>
      <c r="C416" s="3"/>
      <c r="D416" s="3"/>
      <c r="E416" s="3"/>
      <c r="F416" s="3"/>
      <c r="G416" s="3"/>
      <c r="H416" s="3"/>
      <c r="I416" s="3"/>
    </row>
    <row r="417" spans="1:9" ht="15.75" customHeight="1" x14ac:dyDescent="0.2">
      <c r="A417" s="9"/>
      <c r="B417" s="9"/>
      <c r="C417" s="3"/>
      <c r="D417" s="3"/>
      <c r="E417" s="3"/>
      <c r="F417" s="3"/>
      <c r="G417" s="3"/>
      <c r="H417" s="3"/>
      <c r="I417" s="3"/>
    </row>
    <row r="418" spans="1:9" ht="15.75" customHeight="1" x14ac:dyDescent="0.2">
      <c r="A418" s="9"/>
      <c r="B418" s="9"/>
      <c r="C418" s="3"/>
      <c r="D418" s="3"/>
      <c r="E418" s="3"/>
      <c r="F418" s="3"/>
      <c r="G418" s="3"/>
      <c r="H418" s="3"/>
      <c r="I418" s="3"/>
    </row>
    <row r="419" spans="1:9" ht="15.75" customHeight="1" x14ac:dyDescent="0.2">
      <c r="A419" s="9"/>
      <c r="B419" s="9"/>
      <c r="C419" s="3"/>
      <c r="D419" s="3"/>
      <c r="E419" s="3"/>
      <c r="F419" s="3"/>
      <c r="G419" s="3"/>
      <c r="H419" s="3"/>
      <c r="I419" s="3"/>
    </row>
    <row r="420" spans="1:9" ht="15.75" customHeight="1" x14ac:dyDescent="0.2">
      <c r="A420" s="9"/>
      <c r="B420" s="9"/>
      <c r="C420" s="3"/>
      <c r="D420" s="3"/>
      <c r="E420" s="3"/>
      <c r="F420" s="3"/>
      <c r="G420" s="3"/>
      <c r="H420" s="3"/>
      <c r="I420" s="3"/>
    </row>
    <row r="421" spans="1:9" ht="15.75" customHeight="1" x14ac:dyDescent="0.2">
      <c r="A421" s="9"/>
      <c r="B421" s="9"/>
      <c r="C421" s="3"/>
      <c r="D421" s="3"/>
      <c r="E421" s="3"/>
      <c r="F421" s="3"/>
      <c r="G421" s="3"/>
      <c r="H421" s="3"/>
      <c r="I421" s="3"/>
    </row>
    <row r="422" spans="1:9" ht="15.75" customHeight="1" x14ac:dyDescent="0.2">
      <c r="A422" s="9"/>
      <c r="B422" s="9"/>
      <c r="C422" s="3"/>
      <c r="D422" s="3"/>
      <c r="E422" s="3"/>
      <c r="F422" s="3"/>
      <c r="G422" s="3"/>
      <c r="H422" s="3"/>
      <c r="I422" s="3"/>
    </row>
    <row r="423" spans="1:9" ht="15.75" customHeight="1" x14ac:dyDescent="0.2">
      <c r="A423" s="9"/>
      <c r="B423" s="9"/>
      <c r="C423" s="3"/>
      <c r="D423" s="3"/>
      <c r="E423" s="3"/>
      <c r="F423" s="3"/>
      <c r="G423" s="3"/>
      <c r="H423" s="3"/>
      <c r="I423" s="3"/>
    </row>
    <row r="424" spans="1:9" ht="15.75" customHeight="1" x14ac:dyDescent="0.2">
      <c r="A424" s="9"/>
      <c r="B424" s="9"/>
      <c r="C424" s="3"/>
      <c r="D424" s="3"/>
      <c r="E424" s="3"/>
      <c r="F424" s="3"/>
      <c r="G424" s="3"/>
      <c r="H424" s="3"/>
      <c r="I424" s="3"/>
    </row>
    <row r="425" spans="1:9" ht="15.75" customHeight="1" x14ac:dyDescent="0.2">
      <c r="A425" s="9"/>
      <c r="B425" s="9"/>
      <c r="C425" s="3"/>
      <c r="D425" s="3"/>
      <c r="E425" s="3"/>
      <c r="F425" s="3"/>
      <c r="G425" s="3"/>
      <c r="H425" s="3"/>
      <c r="I425" s="3"/>
    </row>
    <row r="426" spans="1:9" ht="15.75" customHeight="1" x14ac:dyDescent="0.2">
      <c r="A426" s="9"/>
      <c r="B426" s="9"/>
      <c r="C426" s="3"/>
      <c r="D426" s="3"/>
      <c r="E426" s="3"/>
      <c r="F426" s="3"/>
      <c r="G426" s="3"/>
      <c r="H426" s="3"/>
      <c r="I426" s="3"/>
    </row>
    <row r="427" spans="1:9" ht="15.75" customHeight="1" x14ac:dyDescent="0.2">
      <c r="A427" s="9"/>
      <c r="B427" s="9"/>
      <c r="C427" s="3"/>
      <c r="D427" s="3"/>
      <c r="E427" s="3"/>
      <c r="F427" s="3"/>
      <c r="G427" s="3"/>
      <c r="H427" s="3"/>
      <c r="I427" s="3"/>
    </row>
    <row r="428" spans="1:9" ht="15.75" customHeight="1" x14ac:dyDescent="0.2">
      <c r="A428" s="9"/>
      <c r="B428" s="9"/>
      <c r="C428" s="3"/>
      <c r="D428" s="3"/>
      <c r="E428" s="3"/>
      <c r="F428" s="3"/>
      <c r="G428" s="3"/>
      <c r="H428" s="3"/>
      <c r="I428" s="3"/>
    </row>
    <row r="429" spans="1:9" ht="15.75" customHeight="1" x14ac:dyDescent="0.2">
      <c r="A429" s="9"/>
      <c r="B429" s="9"/>
      <c r="C429" s="3"/>
      <c r="D429" s="3"/>
      <c r="E429" s="3"/>
      <c r="F429" s="3"/>
      <c r="G429" s="3"/>
      <c r="H429" s="3"/>
      <c r="I429" s="3"/>
    </row>
    <row r="430" spans="1:9" ht="15.75" customHeight="1" x14ac:dyDescent="0.2">
      <c r="A430" s="9"/>
      <c r="B430" s="9"/>
      <c r="C430" s="3"/>
      <c r="D430" s="3"/>
      <c r="E430" s="3"/>
      <c r="F430" s="3"/>
      <c r="G430" s="3"/>
      <c r="H430" s="3"/>
      <c r="I430" s="3"/>
    </row>
    <row r="431" spans="1:9" ht="15.75" customHeight="1" x14ac:dyDescent="0.2">
      <c r="A431" s="9"/>
      <c r="B431" s="9"/>
      <c r="C431" s="3"/>
      <c r="D431" s="3"/>
      <c r="E431" s="3"/>
      <c r="F431" s="3"/>
      <c r="G431" s="3"/>
      <c r="H431" s="3"/>
      <c r="I431" s="3"/>
    </row>
    <row r="432" spans="1:9" ht="15.75" customHeight="1" x14ac:dyDescent="0.2">
      <c r="A432" s="9"/>
      <c r="B432" s="9"/>
      <c r="C432" s="3"/>
      <c r="D432" s="3"/>
      <c r="E432" s="3"/>
      <c r="F432" s="3"/>
      <c r="G432" s="3"/>
      <c r="H432" s="3"/>
      <c r="I432" s="3"/>
    </row>
    <row r="433" spans="1:9" ht="15.75" customHeight="1" x14ac:dyDescent="0.2">
      <c r="A433" s="9"/>
      <c r="B433" s="9"/>
      <c r="C433" s="3"/>
      <c r="D433" s="3"/>
      <c r="E433" s="3"/>
      <c r="F433" s="3"/>
      <c r="G433" s="3"/>
      <c r="H433" s="3"/>
      <c r="I433" s="3"/>
    </row>
    <row r="434" spans="1:9" ht="15.75" customHeight="1" x14ac:dyDescent="0.2">
      <c r="A434" s="9"/>
      <c r="B434" s="9"/>
      <c r="C434" s="3"/>
      <c r="D434" s="3"/>
      <c r="E434" s="3"/>
      <c r="F434" s="3"/>
      <c r="G434" s="3"/>
      <c r="H434" s="3"/>
      <c r="I434" s="3"/>
    </row>
    <row r="435" spans="1:9" ht="15.75" customHeight="1" x14ac:dyDescent="0.2">
      <c r="A435" s="9"/>
      <c r="B435" s="9"/>
      <c r="C435" s="3"/>
      <c r="D435" s="3"/>
      <c r="E435" s="3"/>
      <c r="F435" s="3"/>
      <c r="G435" s="3"/>
      <c r="H435" s="3"/>
      <c r="I435" s="3"/>
    </row>
    <row r="436" spans="1:9" ht="15.75" customHeight="1" x14ac:dyDescent="0.2">
      <c r="A436" s="9"/>
      <c r="B436" s="9"/>
      <c r="C436" s="3"/>
      <c r="D436" s="3"/>
      <c r="E436" s="3"/>
      <c r="F436" s="3"/>
      <c r="G436" s="3"/>
      <c r="H436" s="3"/>
      <c r="I436" s="3"/>
    </row>
    <row r="437" spans="1:9" ht="15.75" customHeight="1" x14ac:dyDescent="0.2">
      <c r="A437" s="9"/>
      <c r="B437" s="9"/>
      <c r="C437" s="3"/>
      <c r="D437" s="3"/>
      <c r="E437" s="3"/>
      <c r="F437" s="3"/>
      <c r="G437" s="3"/>
      <c r="H437" s="3"/>
      <c r="I437" s="3"/>
    </row>
    <row r="438" spans="1:9" ht="15.75" customHeight="1" x14ac:dyDescent="0.2">
      <c r="A438" s="9"/>
      <c r="B438" s="9"/>
      <c r="C438" s="3"/>
      <c r="D438" s="3"/>
      <c r="E438" s="3"/>
      <c r="F438" s="3"/>
      <c r="G438" s="3"/>
      <c r="H438" s="3"/>
      <c r="I438" s="3"/>
    </row>
    <row r="439" spans="1:9" ht="15.75" customHeight="1" x14ac:dyDescent="0.2">
      <c r="A439" s="9"/>
      <c r="B439" s="9"/>
      <c r="C439" s="3"/>
      <c r="D439" s="3"/>
      <c r="E439" s="3"/>
      <c r="F439" s="3"/>
      <c r="G439" s="3"/>
      <c r="H439" s="3"/>
      <c r="I439" s="3"/>
    </row>
    <row r="440" spans="1:9" ht="15.75" customHeight="1" x14ac:dyDescent="0.2">
      <c r="A440" s="9"/>
      <c r="B440" s="9"/>
      <c r="C440" s="3"/>
      <c r="D440" s="3"/>
      <c r="E440" s="3"/>
      <c r="F440" s="3"/>
      <c r="G440" s="3"/>
      <c r="H440" s="3"/>
      <c r="I440" s="3"/>
    </row>
    <row r="441" spans="1:9" ht="15.75" customHeight="1" x14ac:dyDescent="0.2">
      <c r="A441" s="9"/>
      <c r="B441" s="9"/>
      <c r="C441" s="3"/>
      <c r="D441" s="3"/>
      <c r="E441" s="3"/>
      <c r="F441" s="3"/>
      <c r="G441" s="3"/>
      <c r="H441" s="3"/>
      <c r="I441" s="3"/>
    </row>
    <row r="442" spans="1:9" ht="15.75" customHeight="1" x14ac:dyDescent="0.2">
      <c r="A442" s="9"/>
      <c r="B442" s="9"/>
      <c r="C442" s="3"/>
      <c r="D442" s="3"/>
      <c r="E442" s="3"/>
      <c r="F442" s="3"/>
      <c r="G442" s="3"/>
      <c r="H442" s="3"/>
      <c r="I442" s="3"/>
    </row>
    <row r="443" spans="1:9" ht="15.75" customHeight="1" x14ac:dyDescent="0.2">
      <c r="A443" s="9"/>
      <c r="B443" s="9"/>
      <c r="C443" s="3"/>
      <c r="D443" s="3"/>
      <c r="E443" s="3"/>
      <c r="F443" s="3"/>
      <c r="G443" s="3"/>
      <c r="H443" s="3"/>
      <c r="I443" s="3"/>
    </row>
    <row r="444" spans="1:9" ht="15.75" customHeight="1" x14ac:dyDescent="0.2">
      <c r="A444" s="9"/>
      <c r="B444" s="9"/>
      <c r="C444" s="3"/>
      <c r="D444" s="3"/>
      <c r="E444" s="3"/>
      <c r="F444" s="3"/>
      <c r="G444" s="3"/>
      <c r="H444" s="3"/>
      <c r="I444" s="3"/>
    </row>
    <row r="445" spans="1:9" ht="15.75" customHeight="1" x14ac:dyDescent="0.2">
      <c r="A445" s="9"/>
      <c r="B445" s="9"/>
      <c r="C445" s="3"/>
      <c r="D445" s="3"/>
      <c r="E445" s="3"/>
      <c r="F445" s="3"/>
      <c r="G445" s="3"/>
      <c r="H445" s="3"/>
      <c r="I445" s="3"/>
    </row>
    <row r="446" spans="1:9" ht="15.75" customHeight="1" x14ac:dyDescent="0.2">
      <c r="A446" s="9"/>
      <c r="B446" s="9"/>
      <c r="C446" s="3"/>
      <c r="D446" s="3"/>
      <c r="E446" s="3"/>
      <c r="F446" s="3"/>
      <c r="G446" s="3"/>
      <c r="H446" s="3"/>
      <c r="I446" s="3"/>
    </row>
    <row r="447" spans="1:9" ht="15.75" customHeight="1" x14ac:dyDescent="0.2">
      <c r="A447" s="9"/>
      <c r="B447" s="9"/>
      <c r="C447" s="3"/>
      <c r="D447" s="3"/>
      <c r="E447" s="3"/>
      <c r="F447" s="3"/>
      <c r="G447" s="3"/>
      <c r="H447" s="3"/>
      <c r="I447" s="3"/>
    </row>
    <row r="448" spans="1:9" ht="15.75" customHeight="1" x14ac:dyDescent="0.2">
      <c r="A448" s="9"/>
      <c r="B448" s="9"/>
      <c r="C448" s="3"/>
      <c r="D448" s="3"/>
      <c r="E448" s="3"/>
      <c r="F448" s="3"/>
      <c r="G448" s="3"/>
      <c r="H448" s="3"/>
      <c r="I448" s="3"/>
    </row>
    <row r="449" spans="1:9" ht="15.75" customHeight="1" x14ac:dyDescent="0.2">
      <c r="A449" s="9"/>
      <c r="B449" s="9"/>
      <c r="C449" s="3"/>
      <c r="D449" s="3"/>
      <c r="E449" s="3"/>
      <c r="F449" s="3"/>
      <c r="G449" s="3"/>
      <c r="H449" s="3"/>
      <c r="I449" s="3"/>
    </row>
    <row r="450" spans="1:9" ht="15.75" customHeight="1" x14ac:dyDescent="0.2">
      <c r="A450" s="9"/>
      <c r="B450" s="9"/>
      <c r="C450" s="3"/>
      <c r="D450" s="3"/>
      <c r="E450" s="3"/>
      <c r="F450" s="3"/>
      <c r="G450" s="3"/>
      <c r="H450" s="3"/>
      <c r="I450" s="3"/>
    </row>
    <row r="451" spans="1:9" ht="15.75" customHeight="1" x14ac:dyDescent="0.2">
      <c r="A451" s="9"/>
      <c r="B451" s="9"/>
      <c r="C451" s="3"/>
      <c r="D451" s="3"/>
      <c r="E451" s="3"/>
      <c r="F451" s="3"/>
      <c r="G451" s="3"/>
      <c r="H451" s="3"/>
      <c r="I451" s="3"/>
    </row>
    <row r="452" spans="1:9" ht="15.75" customHeight="1" x14ac:dyDescent="0.2">
      <c r="A452" s="9"/>
      <c r="B452" s="9"/>
      <c r="C452" s="3"/>
      <c r="D452" s="3"/>
      <c r="E452" s="3"/>
      <c r="F452" s="3"/>
      <c r="G452" s="3"/>
      <c r="H452" s="3"/>
      <c r="I452" s="3"/>
    </row>
    <row r="453" spans="1:9" ht="15.75" customHeight="1" x14ac:dyDescent="0.2">
      <c r="A453" s="9"/>
      <c r="B453" s="9"/>
      <c r="C453" s="3"/>
      <c r="D453" s="3"/>
      <c r="E453" s="3"/>
      <c r="F453" s="3"/>
      <c r="G453" s="3"/>
      <c r="H453" s="3"/>
      <c r="I453" s="3"/>
    </row>
    <row r="454" spans="1:9" ht="15.75" customHeight="1" x14ac:dyDescent="0.2">
      <c r="A454" s="9"/>
      <c r="B454" s="9"/>
      <c r="C454" s="3"/>
      <c r="D454" s="3"/>
      <c r="E454" s="3"/>
      <c r="F454" s="3"/>
      <c r="G454" s="3"/>
      <c r="H454" s="3"/>
      <c r="I454" s="3"/>
    </row>
    <row r="455" spans="1:9" ht="15.75" customHeight="1" x14ac:dyDescent="0.2">
      <c r="A455" s="9"/>
      <c r="B455" s="9"/>
      <c r="C455" s="3"/>
      <c r="D455" s="3"/>
      <c r="E455" s="3"/>
      <c r="F455" s="3"/>
      <c r="G455" s="3"/>
      <c r="H455" s="3"/>
      <c r="I455" s="3"/>
    </row>
    <row r="456" spans="1:9" ht="15.75" customHeight="1" x14ac:dyDescent="0.2">
      <c r="A456" s="9"/>
      <c r="B456" s="9"/>
      <c r="C456" s="3"/>
      <c r="D456" s="3"/>
      <c r="E456" s="3"/>
      <c r="F456" s="3"/>
      <c r="G456" s="3"/>
      <c r="H456" s="3"/>
      <c r="I456" s="3"/>
    </row>
    <row r="457" spans="1:9" ht="15.75" customHeight="1" x14ac:dyDescent="0.2">
      <c r="A457" s="9"/>
      <c r="B457" s="9"/>
      <c r="C457" s="3"/>
      <c r="D457" s="3"/>
      <c r="E457" s="3"/>
      <c r="F457" s="3"/>
      <c r="G457" s="3"/>
      <c r="H457" s="3"/>
      <c r="I457" s="3"/>
    </row>
    <row r="458" spans="1:9" ht="15.75" customHeight="1" x14ac:dyDescent="0.2">
      <c r="A458" s="9"/>
      <c r="B458" s="9"/>
      <c r="C458" s="3"/>
      <c r="D458" s="3"/>
      <c r="E458" s="3"/>
      <c r="F458" s="3"/>
      <c r="G458" s="3"/>
      <c r="H458" s="3"/>
      <c r="I458" s="3"/>
    </row>
    <row r="459" spans="1:9" ht="15.75" customHeight="1" x14ac:dyDescent="0.2">
      <c r="A459" s="9"/>
      <c r="B459" s="9"/>
      <c r="C459" s="3"/>
      <c r="D459" s="3"/>
      <c r="E459" s="3"/>
      <c r="F459" s="3"/>
      <c r="G459" s="3"/>
      <c r="H459" s="3"/>
      <c r="I459" s="3"/>
    </row>
    <row r="460" spans="1:9" ht="15.75" customHeight="1" x14ac:dyDescent="0.2">
      <c r="A460" s="9"/>
      <c r="B460" s="9"/>
      <c r="C460" s="3"/>
      <c r="D460" s="3"/>
      <c r="E460" s="3"/>
      <c r="F460" s="3"/>
      <c r="G460" s="3"/>
      <c r="H460" s="3"/>
      <c r="I460" s="3"/>
    </row>
    <row r="461" spans="1:9" ht="15.75" customHeight="1" x14ac:dyDescent="0.2">
      <c r="A461" s="9"/>
      <c r="B461" s="9"/>
      <c r="C461" s="3"/>
      <c r="D461" s="3"/>
      <c r="E461" s="3"/>
      <c r="F461" s="3"/>
      <c r="G461" s="3"/>
      <c r="H461" s="3"/>
      <c r="I461" s="3"/>
    </row>
    <row r="462" spans="1:9" ht="15.75" customHeight="1" x14ac:dyDescent="0.2">
      <c r="A462" s="9"/>
      <c r="B462" s="9"/>
      <c r="C462" s="3"/>
      <c r="D462" s="3"/>
      <c r="E462" s="3"/>
      <c r="F462" s="3"/>
      <c r="G462" s="3"/>
      <c r="H462" s="3"/>
      <c r="I462" s="3"/>
    </row>
    <row r="463" spans="1:9" ht="15.75" customHeight="1" x14ac:dyDescent="0.2">
      <c r="A463" s="9"/>
      <c r="B463" s="9"/>
      <c r="C463" s="3"/>
      <c r="D463" s="3"/>
      <c r="E463" s="3"/>
      <c r="F463" s="3"/>
      <c r="G463" s="3"/>
      <c r="H463" s="3"/>
      <c r="I463" s="3"/>
    </row>
    <row r="464" spans="1:9" ht="15.75" customHeight="1" x14ac:dyDescent="0.2">
      <c r="A464" s="9"/>
      <c r="B464" s="9"/>
      <c r="C464" s="3"/>
      <c r="D464" s="3"/>
      <c r="E464" s="3"/>
      <c r="F464" s="3"/>
      <c r="G464" s="3"/>
      <c r="H464" s="3"/>
      <c r="I464" s="3"/>
    </row>
    <row r="465" spans="1:9" ht="15.75" customHeight="1" x14ac:dyDescent="0.2">
      <c r="A465" s="9"/>
      <c r="B465" s="9"/>
      <c r="C465" s="3"/>
      <c r="D465" s="3"/>
      <c r="E465" s="3"/>
      <c r="F465" s="3"/>
      <c r="G465" s="3"/>
      <c r="H465" s="3"/>
      <c r="I465" s="3"/>
    </row>
    <row r="466" spans="1:9" ht="15.75" customHeight="1" x14ac:dyDescent="0.2">
      <c r="A466" s="9"/>
      <c r="B466" s="9"/>
      <c r="C466" s="3"/>
      <c r="D466" s="3"/>
      <c r="E466" s="3"/>
      <c r="F466" s="3"/>
      <c r="G466" s="3"/>
      <c r="H466" s="3"/>
      <c r="I466" s="3"/>
    </row>
    <row r="467" spans="1:9" ht="15.75" customHeight="1" x14ac:dyDescent="0.2">
      <c r="A467" s="9"/>
      <c r="B467" s="9"/>
      <c r="C467" s="3"/>
      <c r="D467" s="3"/>
      <c r="E467" s="3"/>
      <c r="F467" s="3"/>
      <c r="G467" s="3"/>
      <c r="H467" s="3"/>
      <c r="I467" s="3"/>
    </row>
    <row r="468" spans="1:9" ht="15.75" customHeight="1" x14ac:dyDescent="0.2">
      <c r="A468" s="9"/>
      <c r="B468" s="9"/>
      <c r="C468" s="3"/>
      <c r="D468" s="3"/>
      <c r="E468" s="3"/>
      <c r="F468" s="3"/>
      <c r="G468" s="3"/>
      <c r="H468" s="3"/>
      <c r="I468" s="3"/>
    </row>
    <row r="469" spans="1:9" ht="15.75" customHeight="1" x14ac:dyDescent="0.2">
      <c r="A469" s="9"/>
      <c r="B469" s="9"/>
      <c r="C469" s="3"/>
      <c r="D469" s="3"/>
      <c r="E469" s="3"/>
      <c r="F469" s="3"/>
      <c r="G469" s="3"/>
      <c r="H469" s="3"/>
      <c r="I469" s="3"/>
    </row>
    <row r="470" spans="1:9" ht="15.75" customHeight="1" x14ac:dyDescent="0.2">
      <c r="A470" s="9"/>
      <c r="B470" s="9"/>
      <c r="C470" s="3"/>
      <c r="D470" s="3"/>
      <c r="E470" s="3"/>
      <c r="F470" s="3"/>
      <c r="G470" s="3"/>
      <c r="H470" s="3"/>
      <c r="I470" s="3"/>
    </row>
    <row r="471" spans="1:9" ht="15.75" customHeight="1" x14ac:dyDescent="0.2">
      <c r="A471" s="9"/>
      <c r="B471" s="9"/>
      <c r="C471" s="3"/>
      <c r="D471" s="3"/>
      <c r="E471" s="3"/>
      <c r="F471" s="3"/>
      <c r="G471" s="3"/>
      <c r="H471" s="3"/>
      <c r="I471" s="3"/>
    </row>
    <row r="472" spans="1:9" ht="15.75" customHeight="1" x14ac:dyDescent="0.2">
      <c r="A472" s="9"/>
      <c r="B472" s="9"/>
      <c r="C472" s="3"/>
      <c r="D472" s="3"/>
      <c r="E472" s="3"/>
      <c r="F472" s="3"/>
      <c r="G472" s="3"/>
      <c r="H472" s="3"/>
      <c r="I472" s="3"/>
    </row>
    <row r="473" spans="1:9" ht="15.75" customHeight="1" x14ac:dyDescent="0.2">
      <c r="A473" s="9"/>
      <c r="B473" s="9"/>
      <c r="C473" s="3"/>
      <c r="D473" s="3"/>
      <c r="E473" s="3"/>
      <c r="F473" s="3"/>
      <c r="G473" s="3"/>
      <c r="H473" s="3"/>
      <c r="I473" s="3"/>
    </row>
    <row r="474" spans="1:9" ht="15.75" customHeight="1" x14ac:dyDescent="0.2">
      <c r="A474" s="9"/>
      <c r="B474" s="9"/>
      <c r="C474" s="3"/>
      <c r="D474" s="3"/>
      <c r="E474" s="3"/>
      <c r="F474" s="3"/>
      <c r="G474" s="3"/>
      <c r="H474" s="3"/>
      <c r="I474" s="3"/>
    </row>
    <row r="475" spans="1:9" ht="15.75" customHeight="1" x14ac:dyDescent="0.2">
      <c r="A475" s="9"/>
      <c r="B475" s="9"/>
      <c r="C475" s="3"/>
      <c r="D475" s="3"/>
      <c r="E475" s="3"/>
      <c r="F475" s="3"/>
      <c r="G475" s="3"/>
      <c r="H475" s="3"/>
      <c r="I475" s="3"/>
    </row>
    <row r="476" spans="1:9" ht="15.75" customHeight="1" x14ac:dyDescent="0.2">
      <c r="A476" s="9"/>
      <c r="B476" s="9"/>
      <c r="C476" s="3"/>
      <c r="D476" s="3"/>
      <c r="E476" s="3"/>
      <c r="F476" s="3"/>
      <c r="G476" s="3"/>
      <c r="H476" s="3"/>
      <c r="I476" s="3"/>
    </row>
    <row r="477" spans="1:9" ht="15.75" customHeight="1" x14ac:dyDescent="0.2">
      <c r="A477" s="9"/>
      <c r="B477" s="9"/>
      <c r="C477" s="3"/>
      <c r="D477" s="3"/>
      <c r="E477" s="3"/>
      <c r="F477" s="3"/>
      <c r="G477" s="3"/>
      <c r="H477" s="3"/>
      <c r="I477" s="3"/>
    </row>
    <row r="478" spans="1:9" ht="15.75" customHeight="1" x14ac:dyDescent="0.2">
      <c r="A478" s="9"/>
      <c r="B478" s="9"/>
      <c r="C478" s="3"/>
      <c r="D478" s="3"/>
      <c r="E478" s="3"/>
      <c r="F478" s="3"/>
      <c r="G478" s="3"/>
      <c r="H478" s="3"/>
      <c r="I478" s="3"/>
    </row>
    <row r="479" spans="1:9" ht="15.75" customHeight="1" x14ac:dyDescent="0.2">
      <c r="A479" s="9"/>
      <c r="B479" s="9"/>
      <c r="C479" s="3"/>
      <c r="D479" s="3"/>
      <c r="E479" s="3"/>
      <c r="F479" s="3"/>
      <c r="G479" s="3"/>
      <c r="H479" s="3"/>
      <c r="I479" s="3"/>
    </row>
    <row r="480" spans="1:9" ht="15.75" customHeight="1" x14ac:dyDescent="0.2">
      <c r="A480" s="9"/>
      <c r="B480" s="9"/>
      <c r="C480" s="3"/>
      <c r="D480" s="3"/>
      <c r="E480" s="3"/>
      <c r="F480" s="3"/>
      <c r="G480" s="3"/>
      <c r="H480" s="3"/>
      <c r="I480" s="3"/>
    </row>
    <row r="481" spans="1:9" ht="15.75" customHeight="1" x14ac:dyDescent="0.2">
      <c r="A481" s="9"/>
      <c r="B481" s="9"/>
      <c r="C481" s="3"/>
      <c r="D481" s="3"/>
      <c r="E481" s="3"/>
      <c r="F481" s="3"/>
      <c r="G481" s="3"/>
      <c r="H481" s="3"/>
      <c r="I481" s="3"/>
    </row>
    <row r="482" spans="1:9" ht="15.75" customHeight="1" x14ac:dyDescent="0.2">
      <c r="A482" s="9"/>
      <c r="B482" s="9"/>
      <c r="C482" s="3"/>
      <c r="D482" s="3"/>
      <c r="E482" s="3"/>
      <c r="F482" s="3"/>
      <c r="G482" s="3"/>
      <c r="H482" s="3"/>
      <c r="I482" s="3"/>
    </row>
    <row r="483" spans="1:9" ht="15.75" customHeight="1" x14ac:dyDescent="0.2">
      <c r="A483" s="9"/>
      <c r="B483" s="9"/>
      <c r="C483" s="3"/>
      <c r="D483" s="3"/>
      <c r="E483" s="3"/>
      <c r="F483" s="3"/>
      <c r="G483" s="3"/>
      <c r="H483" s="3"/>
      <c r="I483" s="3"/>
    </row>
    <row r="484" spans="1:9" ht="15.75" customHeight="1" x14ac:dyDescent="0.2">
      <c r="A484" s="9"/>
      <c r="B484" s="9"/>
      <c r="C484" s="3"/>
      <c r="D484" s="3"/>
      <c r="E484" s="3"/>
      <c r="F484" s="3"/>
      <c r="G484" s="3"/>
      <c r="H484" s="3"/>
      <c r="I484" s="3"/>
    </row>
    <row r="485" spans="1:9" ht="15.75" customHeight="1" x14ac:dyDescent="0.2">
      <c r="A485" s="9"/>
      <c r="B485" s="9"/>
      <c r="C485" s="3"/>
      <c r="D485" s="3"/>
      <c r="E485" s="3"/>
      <c r="F485" s="3"/>
      <c r="G485" s="3"/>
      <c r="H485" s="3"/>
      <c r="I485" s="3"/>
    </row>
    <row r="486" spans="1:9" ht="15.75" customHeight="1" x14ac:dyDescent="0.2">
      <c r="A486" s="9"/>
      <c r="B486" s="9"/>
      <c r="C486" s="3"/>
      <c r="D486" s="3"/>
      <c r="E486" s="3"/>
      <c r="F486" s="3"/>
      <c r="G486" s="3"/>
      <c r="H486" s="3"/>
      <c r="I486" s="3"/>
    </row>
    <row r="487" spans="1:9" ht="15.75" customHeight="1" x14ac:dyDescent="0.2">
      <c r="A487" s="9"/>
      <c r="B487" s="9"/>
      <c r="C487" s="3"/>
      <c r="D487" s="3"/>
      <c r="E487" s="3"/>
      <c r="F487" s="3"/>
      <c r="G487" s="3"/>
      <c r="H487" s="3"/>
      <c r="I487" s="3"/>
    </row>
    <row r="488" spans="1:9" ht="15.75" customHeight="1" x14ac:dyDescent="0.2">
      <c r="A488" s="9"/>
      <c r="B488" s="9"/>
      <c r="C488" s="3"/>
      <c r="D488" s="3"/>
      <c r="E488" s="3"/>
      <c r="F488" s="3"/>
      <c r="G488" s="3"/>
      <c r="H488" s="3"/>
      <c r="I488" s="3"/>
    </row>
    <row r="489" spans="1:9" ht="15.75" customHeight="1" x14ac:dyDescent="0.2">
      <c r="A489" s="9"/>
      <c r="B489" s="9"/>
      <c r="C489" s="3"/>
      <c r="D489" s="3"/>
      <c r="E489" s="3"/>
      <c r="F489" s="3"/>
      <c r="G489" s="3"/>
      <c r="H489" s="3"/>
      <c r="I489" s="3"/>
    </row>
    <row r="490" spans="1:9" ht="15.75" customHeight="1" x14ac:dyDescent="0.2">
      <c r="A490" s="9"/>
      <c r="B490" s="9"/>
      <c r="C490" s="3"/>
      <c r="D490" s="3"/>
      <c r="E490" s="3"/>
      <c r="F490" s="3"/>
      <c r="G490" s="3"/>
      <c r="H490" s="3"/>
      <c r="I490" s="3"/>
    </row>
    <row r="491" spans="1:9" ht="15.75" customHeight="1" x14ac:dyDescent="0.2">
      <c r="A491" s="9"/>
      <c r="B491" s="9"/>
      <c r="C491" s="3"/>
      <c r="D491" s="3"/>
      <c r="E491" s="3"/>
      <c r="F491" s="3"/>
      <c r="G491" s="3"/>
      <c r="H491" s="3"/>
      <c r="I491" s="3"/>
    </row>
    <row r="492" spans="1:9" ht="15.75" customHeight="1" x14ac:dyDescent="0.2">
      <c r="A492" s="9"/>
      <c r="B492" s="9"/>
      <c r="C492" s="3"/>
      <c r="D492" s="3"/>
      <c r="E492" s="3"/>
      <c r="F492" s="3"/>
      <c r="G492" s="3"/>
      <c r="H492" s="3"/>
      <c r="I492" s="3"/>
    </row>
    <row r="493" spans="1:9" ht="15.75" customHeight="1" x14ac:dyDescent="0.2">
      <c r="A493" s="9"/>
      <c r="B493" s="9"/>
      <c r="C493" s="3"/>
      <c r="D493" s="3"/>
      <c r="E493" s="3"/>
      <c r="F493" s="3"/>
      <c r="G493" s="3"/>
      <c r="H493" s="3"/>
      <c r="I493" s="3"/>
    </row>
    <row r="494" spans="1:9" ht="15.75" customHeight="1" x14ac:dyDescent="0.2">
      <c r="A494" s="9"/>
      <c r="B494" s="9"/>
      <c r="C494" s="3"/>
      <c r="D494" s="3"/>
      <c r="E494" s="3"/>
      <c r="F494" s="3"/>
      <c r="G494" s="3"/>
      <c r="H494" s="3"/>
      <c r="I494" s="3"/>
    </row>
    <row r="495" spans="1:9" ht="15.75" customHeight="1" x14ac:dyDescent="0.2">
      <c r="A495" s="9"/>
      <c r="B495" s="9"/>
      <c r="C495" s="3"/>
      <c r="D495" s="3"/>
      <c r="E495" s="3"/>
      <c r="F495" s="3"/>
      <c r="G495" s="3"/>
      <c r="H495" s="3"/>
      <c r="I495" s="3"/>
    </row>
    <row r="496" spans="1:9" ht="15.75" customHeight="1" x14ac:dyDescent="0.2">
      <c r="A496" s="9"/>
      <c r="B496" s="9"/>
      <c r="C496" s="3"/>
      <c r="D496" s="3"/>
      <c r="E496" s="3"/>
      <c r="F496" s="3"/>
      <c r="G496" s="3"/>
      <c r="H496" s="3"/>
      <c r="I496" s="3"/>
    </row>
    <row r="497" spans="1:9" ht="15.75" customHeight="1" x14ac:dyDescent="0.2">
      <c r="A497" s="9"/>
      <c r="B497" s="9"/>
      <c r="C497" s="3"/>
      <c r="D497" s="3"/>
      <c r="E497" s="3"/>
      <c r="F497" s="3"/>
      <c r="G497" s="3"/>
      <c r="H497" s="3"/>
      <c r="I497" s="3"/>
    </row>
    <row r="498" spans="1:9" ht="15.75" customHeight="1" x14ac:dyDescent="0.2">
      <c r="A498" s="9"/>
      <c r="B498" s="9"/>
      <c r="C498" s="3"/>
      <c r="D498" s="3"/>
      <c r="E498" s="3"/>
      <c r="F498" s="3"/>
      <c r="G498" s="3"/>
      <c r="H498" s="3"/>
      <c r="I498" s="3"/>
    </row>
    <row r="499" spans="1:9" ht="15.75" customHeight="1" x14ac:dyDescent="0.2">
      <c r="A499" s="9"/>
      <c r="B499" s="9"/>
      <c r="C499" s="3"/>
      <c r="D499" s="3"/>
      <c r="E499" s="3"/>
      <c r="F499" s="3"/>
      <c r="G499" s="3"/>
      <c r="H499" s="3"/>
      <c r="I499" s="3"/>
    </row>
    <row r="500" spans="1:9" ht="15.75" customHeight="1" x14ac:dyDescent="0.2">
      <c r="A500" s="9"/>
      <c r="B500" s="9"/>
      <c r="C500" s="3"/>
      <c r="D500" s="3"/>
      <c r="E500" s="3"/>
      <c r="F500" s="3"/>
      <c r="G500" s="3"/>
      <c r="H500" s="3"/>
      <c r="I500" s="3"/>
    </row>
    <row r="501" spans="1:9" ht="15.75" customHeight="1" x14ac:dyDescent="0.2">
      <c r="A501" s="9"/>
      <c r="B501" s="9"/>
      <c r="C501" s="3"/>
      <c r="D501" s="3"/>
      <c r="E501" s="3"/>
      <c r="F501" s="3"/>
      <c r="G501" s="3"/>
      <c r="H501" s="3"/>
      <c r="I501" s="3"/>
    </row>
    <row r="502" spans="1:9" ht="15.75" customHeight="1" x14ac:dyDescent="0.2">
      <c r="A502" s="9"/>
      <c r="B502" s="9"/>
      <c r="C502" s="3"/>
      <c r="D502" s="3"/>
      <c r="E502" s="3"/>
      <c r="F502" s="3"/>
      <c r="G502" s="3"/>
      <c r="H502" s="3"/>
      <c r="I502" s="3"/>
    </row>
    <row r="503" spans="1:9" ht="15.75" customHeight="1" x14ac:dyDescent="0.2">
      <c r="A503" s="9"/>
      <c r="B503" s="9"/>
      <c r="C503" s="3"/>
      <c r="D503" s="3"/>
      <c r="E503" s="3"/>
      <c r="F503" s="3"/>
      <c r="G503" s="3"/>
      <c r="H503" s="3"/>
      <c r="I503" s="3"/>
    </row>
    <row r="504" spans="1:9" ht="15.75" customHeight="1" x14ac:dyDescent="0.2">
      <c r="A504" s="9"/>
      <c r="B504" s="9"/>
      <c r="C504" s="3"/>
      <c r="D504" s="3"/>
      <c r="E504" s="3"/>
      <c r="F504" s="3"/>
      <c r="G504" s="3"/>
      <c r="H504" s="3"/>
      <c r="I504" s="3"/>
    </row>
    <row r="505" spans="1:9" ht="15.75" customHeight="1" x14ac:dyDescent="0.2">
      <c r="A505" s="9"/>
      <c r="B505" s="9"/>
      <c r="C505" s="3"/>
      <c r="D505" s="3"/>
      <c r="E505" s="3"/>
      <c r="F505" s="3"/>
      <c r="G505" s="3"/>
      <c r="H505" s="3"/>
      <c r="I505" s="3"/>
    </row>
    <row r="506" spans="1:9" ht="15.75" customHeight="1" x14ac:dyDescent="0.2">
      <c r="A506" s="9"/>
      <c r="B506" s="9"/>
      <c r="C506" s="3"/>
      <c r="D506" s="3"/>
      <c r="E506" s="3"/>
      <c r="F506" s="3"/>
      <c r="G506" s="3"/>
      <c r="H506" s="3"/>
      <c r="I506" s="3"/>
    </row>
    <row r="507" spans="1:9" ht="15.75" customHeight="1" x14ac:dyDescent="0.2">
      <c r="A507" s="9"/>
      <c r="B507" s="9"/>
      <c r="C507" s="3"/>
      <c r="D507" s="3"/>
      <c r="E507" s="3"/>
      <c r="F507" s="3"/>
      <c r="G507" s="3"/>
      <c r="H507" s="3"/>
      <c r="I507" s="3"/>
    </row>
    <row r="508" spans="1:9" ht="15.75" customHeight="1" x14ac:dyDescent="0.2">
      <c r="A508" s="9"/>
      <c r="B508" s="9"/>
      <c r="C508" s="3"/>
      <c r="D508" s="3"/>
      <c r="E508" s="3"/>
      <c r="F508" s="3"/>
      <c r="G508" s="3"/>
      <c r="H508" s="3"/>
      <c r="I508" s="3"/>
    </row>
    <row r="509" spans="1:9" ht="15.75" customHeight="1" x14ac:dyDescent="0.2">
      <c r="A509" s="9"/>
      <c r="B509" s="9"/>
      <c r="C509" s="3"/>
      <c r="D509" s="3"/>
      <c r="E509" s="3"/>
      <c r="F509" s="3"/>
      <c r="G509" s="3"/>
      <c r="H509" s="3"/>
      <c r="I509" s="3"/>
    </row>
    <row r="510" spans="1:9" ht="15.75" customHeight="1" x14ac:dyDescent="0.2">
      <c r="A510" s="9"/>
      <c r="B510" s="9"/>
      <c r="C510" s="3"/>
      <c r="D510" s="3"/>
      <c r="E510" s="3"/>
      <c r="F510" s="3"/>
      <c r="G510" s="3"/>
      <c r="H510" s="3"/>
      <c r="I510" s="3"/>
    </row>
    <row r="511" spans="1:9" ht="15.75" customHeight="1" x14ac:dyDescent="0.2">
      <c r="A511" s="9"/>
      <c r="B511" s="9"/>
      <c r="C511" s="3"/>
      <c r="D511" s="3"/>
      <c r="E511" s="3"/>
      <c r="F511" s="3"/>
      <c r="G511" s="3"/>
      <c r="H511" s="3"/>
      <c r="I511" s="3"/>
    </row>
    <row r="512" spans="1:9" ht="15.75" customHeight="1" x14ac:dyDescent="0.2">
      <c r="A512" s="9"/>
      <c r="B512" s="9"/>
      <c r="C512" s="3"/>
      <c r="D512" s="3"/>
      <c r="E512" s="3"/>
      <c r="F512" s="3"/>
      <c r="G512" s="3"/>
      <c r="H512" s="3"/>
      <c r="I512" s="3"/>
    </row>
    <row r="513" spans="1:9" ht="15.75" customHeight="1" x14ac:dyDescent="0.2">
      <c r="A513" s="9"/>
      <c r="B513" s="9"/>
      <c r="C513" s="3"/>
      <c r="D513" s="3"/>
      <c r="E513" s="3"/>
      <c r="F513" s="3"/>
      <c r="G513" s="3"/>
      <c r="H513" s="3"/>
      <c r="I513" s="3"/>
    </row>
    <row r="514" spans="1:9" ht="15.75" customHeight="1" x14ac:dyDescent="0.2">
      <c r="A514" s="9"/>
      <c r="B514" s="9"/>
      <c r="C514" s="3"/>
      <c r="D514" s="3"/>
      <c r="E514" s="3"/>
      <c r="F514" s="3"/>
      <c r="G514" s="3"/>
      <c r="H514" s="3"/>
      <c r="I514" s="3"/>
    </row>
    <row r="515" spans="1:9" ht="15.75" customHeight="1" x14ac:dyDescent="0.2">
      <c r="A515" s="9"/>
      <c r="B515" s="9"/>
      <c r="C515" s="3"/>
      <c r="D515" s="3"/>
      <c r="E515" s="3"/>
      <c r="F515" s="3"/>
      <c r="G515" s="3"/>
      <c r="H515" s="3"/>
      <c r="I515" s="3"/>
    </row>
    <row r="516" spans="1:9" ht="15.75" customHeight="1" x14ac:dyDescent="0.2">
      <c r="A516" s="9"/>
      <c r="B516" s="9"/>
      <c r="C516" s="3"/>
      <c r="D516" s="3"/>
      <c r="E516" s="3"/>
      <c r="F516" s="3"/>
      <c r="G516" s="3"/>
      <c r="H516" s="3"/>
      <c r="I516" s="3"/>
    </row>
    <row r="517" spans="1:9" ht="15.75" customHeight="1" x14ac:dyDescent="0.2">
      <c r="A517" s="9"/>
      <c r="B517" s="9"/>
      <c r="C517" s="3"/>
      <c r="D517" s="3"/>
      <c r="E517" s="3"/>
      <c r="F517" s="3"/>
      <c r="G517" s="3"/>
      <c r="H517" s="3"/>
      <c r="I517" s="3"/>
    </row>
    <row r="518" spans="1:9" ht="15.75" customHeight="1" x14ac:dyDescent="0.2">
      <c r="A518" s="9"/>
      <c r="B518" s="9"/>
      <c r="C518" s="3"/>
      <c r="D518" s="3"/>
      <c r="E518" s="3"/>
      <c r="F518" s="3"/>
      <c r="G518" s="3"/>
      <c r="H518" s="3"/>
      <c r="I518" s="3"/>
    </row>
    <row r="519" spans="1:9" ht="15.75" customHeight="1" x14ac:dyDescent="0.2">
      <c r="A519" s="9"/>
      <c r="B519" s="9"/>
      <c r="C519" s="3"/>
      <c r="D519" s="3"/>
      <c r="E519" s="3"/>
      <c r="F519" s="3"/>
      <c r="G519" s="3"/>
      <c r="H519" s="3"/>
      <c r="I519" s="3"/>
    </row>
    <row r="520" spans="1:9" ht="15.75" customHeight="1" x14ac:dyDescent="0.2">
      <c r="A520" s="9"/>
      <c r="B520" s="9"/>
      <c r="C520" s="3"/>
      <c r="D520" s="3"/>
      <c r="E520" s="3"/>
      <c r="F520" s="3"/>
      <c r="G520" s="3"/>
      <c r="H520" s="3"/>
      <c r="I520" s="3"/>
    </row>
    <row r="521" spans="1:9" ht="15.75" customHeight="1" x14ac:dyDescent="0.2">
      <c r="A521" s="9"/>
      <c r="B521" s="9"/>
      <c r="C521" s="3"/>
      <c r="D521" s="3"/>
      <c r="E521" s="3"/>
      <c r="F521" s="3"/>
      <c r="G521" s="3"/>
      <c r="H521" s="3"/>
      <c r="I521" s="3"/>
    </row>
    <row r="522" spans="1:9" ht="15.75" customHeight="1" x14ac:dyDescent="0.2">
      <c r="A522" s="9"/>
      <c r="B522" s="9"/>
      <c r="C522" s="3"/>
      <c r="D522" s="3"/>
      <c r="E522" s="3"/>
      <c r="F522" s="3"/>
      <c r="G522" s="3"/>
      <c r="H522" s="3"/>
      <c r="I522" s="3"/>
    </row>
    <row r="523" spans="1:9" ht="15.75" customHeight="1" x14ac:dyDescent="0.2">
      <c r="A523" s="9"/>
      <c r="B523" s="9"/>
      <c r="C523" s="3"/>
      <c r="D523" s="3"/>
      <c r="E523" s="3"/>
      <c r="F523" s="3"/>
      <c r="G523" s="3"/>
      <c r="H523" s="3"/>
      <c r="I523" s="3"/>
    </row>
    <row r="524" spans="1:9" ht="15.75" customHeight="1" x14ac:dyDescent="0.2">
      <c r="A524" s="9"/>
      <c r="B524" s="9"/>
      <c r="C524" s="3"/>
      <c r="D524" s="3"/>
      <c r="E524" s="3"/>
      <c r="F524" s="3"/>
      <c r="G524" s="3"/>
      <c r="H524" s="3"/>
      <c r="I524" s="3"/>
    </row>
    <row r="525" spans="1:9" ht="15.75" customHeight="1" x14ac:dyDescent="0.2">
      <c r="A525" s="9"/>
      <c r="B525" s="9"/>
      <c r="C525" s="3"/>
      <c r="D525" s="3"/>
      <c r="E525" s="3"/>
      <c r="F525" s="3"/>
      <c r="G525" s="3"/>
      <c r="H525" s="3"/>
      <c r="I525" s="3"/>
    </row>
    <row r="526" spans="1:9" ht="15.75" customHeight="1" x14ac:dyDescent="0.2">
      <c r="A526" s="9"/>
      <c r="B526" s="9"/>
      <c r="C526" s="3"/>
      <c r="D526" s="3"/>
      <c r="E526" s="3"/>
      <c r="F526" s="3"/>
      <c r="G526" s="3"/>
      <c r="H526" s="3"/>
      <c r="I526" s="3"/>
    </row>
    <row r="527" spans="1:9" ht="15.75" customHeight="1" x14ac:dyDescent="0.2">
      <c r="A527" s="9"/>
      <c r="B527" s="9"/>
      <c r="C527" s="3"/>
      <c r="D527" s="3"/>
      <c r="E527" s="3"/>
      <c r="F527" s="3"/>
      <c r="G527" s="3"/>
      <c r="H527" s="3"/>
      <c r="I527" s="3"/>
    </row>
    <row r="528" spans="1:9" ht="15.75" customHeight="1" x14ac:dyDescent="0.2">
      <c r="A528" s="9"/>
      <c r="B528" s="9"/>
      <c r="C528" s="3"/>
      <c r="D528" s="3"/>
      <c r="E528" s="3"/>
      <c r="F528" s="3"/>
      <c r="G528" s="3"/>
      <c r="H528" s="3"/>
      <c r="I528" s="3"/>
    </row>
    <row r="529" spans="1:9" ht="15.75" customHeight="1" x14ac:dyDescent="0.2">
      <c r="A529" s="9"/>
      <c r="B529" s="9"/>
      <c r="C529" s="3"/>
      <c r="D529" s="3"/>
      <c r="E529" s="3"/>
      <c r="F529" s="3"/>
      <c r="G529" s="3"/>
      <c r="H529" s="3"/>
      <c r="I529" s="3"/>
    </row>
    <row r="530" spans="1:9" ht="15.75" customHeight="1" x14ac:dyDescent="0.2">
      <c r="A530" s="9"/>
      <c r="B530" s="9"/>
      <c r="C530" s="3"/>
      <c r="D530" s="3"/>
      <c r="E530" s="3"/>
      <c r="F530" s="3"/>
      <c r="G530" s="3"/>
      <c r="H530" s="3"/>
      <c r="I530" s="3"/>
    </row>
    <row r="531" spans="1:9" ht="15.75" customHeight="1" x14ac:dyDescent="0.2">
      <c r="A531" s="9"/>
      <c r="B531" s="9"/>
      <c r="C531" s="3"/>
      <c r="D531" s="3"/>
      <c r="E531" s="3"/>
      <c r="F531" s="3"/>
      <c r="G531" s="3"/>
      <c r="H531" s="3"/>
      <c r="I531" s="3"/>
    </row>
    <row r="532" spans="1:9" ht="15.75" customHeight="1" x14ac:dyDescent="0.2">
      <c r="A532" s="9"/>
      <c r="B532" s="9"/>
      <c r="C532" s="3"/>
      <c r="D532" s="3"/>
      <c r="E532" s="3"/>
      <c r="F532" s="3"/>
      <c r="G532" s="3"/>
      <c r="H532" s="3"/>
      <c r="I532" s="3"/>
    </row>
    <row r="533" spans="1:9" ht="15.75" customHeight="1" x14ac:dyDescent="0.2">
      <c r="A533" s="9"/>
      <c r="B533" s="9"/>
      <c r="C533" s="3"/>
      <c r="D533" s="3"/>
      <c r="E533" s="3"/>
      <c r="F533" s="3"/>
      <c r="G533" s="3"/>
      <c r="H533" s="3"/>
      <c r="I533" s="3"/>
    </row>
    <row r="534" spans="1:9" ht="15.75" customHeight="1" x14ac:dyDescent="0.2">
      <c r="A534" s="9"/>
      <c r="B534" s="9"/>
      <c r="C534" s="3"/>
      <c r="D534" s="3"/>
      <c r="E534" s="3"/>
      <c r="F534" s="3"/>
      <c r="G534" s="3"/>
      <c r="H534" s="3"/>
      <c r="I534" s="3"/>
    </row>
    <row r="535" spans="1:9" ht="15.75" customHeight="1" x14ac:dyDescent="0.2">
      <c r="A535" s="9"/>
      <c r="B535" s="9"/>
      <c r="C535" s="3"/>
      <c r="D535" s="3"/>
      <c r="E535" s="3"/>
      <c r="F535" s="3"/>
      <c r="G535" s="3"/>
      <c r="H535" s="3"/>
      <c r="I535" s="3"/>
    </row>
    <row r="536" spans="1:9" ht="15.75" customHeight="1" x14ac:dyDescent="0.2">
      <c r="A536" s="9"/>
      <c r="B536" s="9"/>
      <c r="C536" s="3"/>
      <c r="D536" s="3"/>
      <c r="E536" s="3"/>
      <c r="F536" s="3"/>
      <c r="G536" s="3"/>
      <c r="H536" s="3"/>
      <c r="I536" s="3"/>
    </row>
    <row r="537" spans="1:9" ht="15.75" customHeight="1" x14ac:dyDescent="0.2">
      <c r="A537" s="9"/>
      <c r="B537" s="9"/>
      <c r="C537" s="3"/>
      <c r="D537" s="3"/>
      <c r="E537" s="3"/>
      <c r="F537" s="3"/>
      <c r="G537" s="3"/>
      <c r="H537" s="3"/>
      <c r="I537" s="3"/>
    </row>
    <row r="538" spans="1:9" ht="15.75" customHeight="1" x14ac:dyDescent="0.2">
      <c r="A538" s="9"/>
      <c r="B538" s="9"/>
      <c r="C538" s="3"/>
      <c r="D538" s="3"/>
      <c r="E538" s="3"/>
      <c r="F538" s="3"/>
      <c r="G538" s="3"/>
      <c r="H538" s="3"/>
      <c r="I538" s="3"/>
    </row>
    <row r="539" spans="1:9" ht="15.75" customHeight="1" x14ac:dyDescent="0.2">
      <c r="A539" s="9"/>
      <c r="B539" s="9"/>
      <c r="C539" s="3"/>
      <c r="D539" s="3"/>
      <c r="E539" s="3"/>
      <c r="F539" s="3"/>
      <c r="G539" s="3"/>
      <c r="H539" s="3"/>
      <c r="I539" s="3"/>
    </row>
    <row r="540" spans="1:9" ht="15.75" customHeight="1" x14ac:dyDescent="0.2">
      <c r="A540" s="9"/>
      <c r="B540" s="9"/>
      <c r="C540" s="3"/>
      <c r="D540" s="3"/>
      <c r="E540" s="3"/>
      <c r="F540" s="3"/>
      <c r="G540" s="3"/>
      <c r="H540" s="3"/>
      <c r="I540" s="3"/>
    </row>
    <row r="541" spans="1:9" ht="15.75" customHeight="1" x14ac:dyDescent="0.2">
      <c r="A541" s="9"/>
      <c r="B541" s="9"/>
      <c r="C541" s="3"/>
      <c r="D541" s="3"/>
      <c r="E541" s="3"/>
      <c r="F541" s="3"/>
      <c r="G541" s="3"/>
      <c r="H541" s="3"/>
      <c r="I541" s="3"/>
    </row>
    <row r="542" spans="1:9" ht="15.75" customHeight="1" x14ac:dyDescent="0.2">
      <c r="A542" s="9"/>
      <c r="B542" s="9"/>
      <c r="C542" s="3"/>
      <c r="D542" s="3"/>
      <c r="E542" s="3"/>
      <c r="F542" s="3"/>
      <c r="G542" s="3"/>
      <c r="H542" s="3"/>
      <c r="I542" s="3"/>
    </row>
    <row r="543" spans="1:9" ht="15.75" customHeight="1" x14ac:dyDescent="0.2">
      <c r="A543" s="9"/>
      <c r="B543" s="9"/>
      <c r="C543" s="3"/>
      <c r="D543" s="3"/>
      <c r="E543" s="3"/>
      <c r="F543" s="3"/>
      <c r="G543" s="3"/>
      <c r="H543" s="3"/>
      <c r="I543" s="3"/>
    </row>
    <row r="544" spans="1:9" ht="15.75" customHeight="1" x14ac:dyDescent="0.2">
      <c r="A544" s="9"/>
      <c r="B544" s="9"/>
      <c r="C544" s="3"/>
      <c r="D544" s="3"/>
      <c r="E544" s="3"/>
      <c r="F544" s="3"/>
      <c r="G544" s="3"/>
      <c r="H544" s="3"/>
      <c r="I544" s="3"/>
    </row>
    <row r="545" spans="1:9" ht="15.75" customHeight="1" x14ac:dyDescent="0.2">
      <c r="A545" s="9"/>
      <c r="B545" s="9"/>
      <c r="C545" s="3"/>
      <c r="D545" s="3"/>
      <c r="E545" s="3"/>
      <c r="F545" s="3"/>
      <c r="G545" s="3"/>
      <c r="H545" s="3"/>
      <c r="I545" s="3"/>
    </row>
    <row r="546" spans="1:9" ht="15.75" customHeight="1" x14ac:dyDescent="0.2">
      <c r="A546" s="9"/>
      <c r="B546" s="9"/>
      <c r="C546" s="3"/>
      <c r="D546" s="3"/>
      <c r="E546" s="3"/>
      <c r="F546" s="3"/>
      <c r="G546" s="3"/>
      <c r="H546" s="3"/>
      <c r="I546" s="3"/>
    </row>
    <row r="547" spans="1:9" ht="15.75" customHeight="1" x14ac:dyDescent="0.2">
      <c r="A547" s="9"/>
      <c r="B547" s="9"/>
      <c r="C547" s="3"/>
      <c r="D547" s="3"/>
      <c r="E547" s="3"/>
      <c r="F547" s="3"/>
      <c r="G547" s="3"/>
      <c r="H547" s="3"/>
      <c r="I547" s="3"/>
    </row>
    <row r="548" spans="1:9" ht="15.75" customHeight="1" x14ac:dyDescent="0.2">
      <c r="A548" s="9"/>
      <c r="B548" s="9"/>
      <c r="C548" s="3"/>
      <c r="D548" s="3"/>
      <c r="E548" s="3"/>
      <c r="F548" s="3"/>
      <c r="G548" s="3"/>
      <c r="H548" s="3"/>
      <c r="I548" s="3"/>
    </row>
    <row r="549" spans="1:9" ht="15.75" customHeight="1" x14ac:dyDescent="0.2">
      <c r="A549" s="9"/>
      <c r="B549" s="9"/>
      <c r="C549" s="3"/>
      <c r="D549" s="3"/>
      <c r="E549" s="3"/>
      <c r="F549" s="3"/>
      <c r="G549" s="3"/>
      <c r="H549" s="3"/>
      <c r="I549" s="3"/>
    </row>
    <row r="550" spans="1:9" ht="15.75" customHeight="1" x14ac:dyDescent="0.2">
      <c r="A550" s="9"/>
      <c r="B550" s="9"/>
      <c r="C550" s="3"/>
      <c r="D550" s="3"/>
      <c r="E550" s="3"/>
      <c r="F550" s="3"/>
      <c r="G550" s="3"/>
      <c r="H550" s="3"/>
      <c r="I550" s="3"/>
    </row>
    <row r="551" spans="1:9" ht="15.75" customHeight="1" x14ac:dyDescent="0.2">
      <c r="A551" s="9"/>
      <c r="B551" s="9"/>
      <c r="C551" s="3"/>
      <c r="D551" s="3"/>
      <c r="E551" s="3"/>
      <c r="F551" s="3"/>
      <c r="G551" s="3"/>
      <c r="H551" s="3"/>
      <c r="I551" s="3"/>
    </row>
    <row r="552" spans="1:9" ht="15.75" customHeight="1" x14ac:dyDescent="0.2">
      <c r="A552" s="9"/>
      <c r="B552" s="9"/>
      <c r="C552" s="3"/>
      <c r="D552" s="3"/>
      <c r="E552" s="3"/>
      <c r="F552" s="3"/>
      <c r="G552" s="3"/>
      <c r="H552" s="3"/>
      <c r="I552" s="3"/>
    </row>
    <row r="553" spans="1:9" ht="15.75" customHeight="1" x14ac:dyDescent="0.2">
      <c r="A553" s="9"/>
      <c r="B553" s="9"/>
      <c r="C553" s="3"/>
      <c r="D553" s="3"/>
      <c r="E553" s="3"/>
      <c r="F553" s="3"/>
      <c r="G553" s="3"/>
      <c r="H553" s="3"/>
      <c r="I553" s="3"/>
    </row>
    <row r="554" spans="1:9" ht="15.75" customHeight="1" x14ac:dyDescent="0.2">
      <c r="A554" s="9"/>
      <c r="B554" s="9"/>
      <c r="C554" s="3"/>
      <c r="D554" s="3"/>
      <c r="E554" s="3"/>
      <c r="F554" s="3"/>
      <c r="G554" s="3"/>
      <c r="H554" s="3"/>
      <c r="I554" s="3"/>
    </row>
    <row r="555" spans="1:9" ht="15.75" customHeight="1" x14ac:dyDescent="0.2">
      <c r="A555" s="9"/>
      <c r="B555" s="9"/>
      <c r="C555" s="3"/>
      <c r="D555" s="3"/>
      <c r="E555" s="3"/>
      <c r="F555" s="3"/>
      <c r="G555" s="3"/>
      <c r="H555" s="3"/>
      <c r="I555" s="3"/>
    </row>
    <row r="556" spans="1:9" ht="15.75" customHeight="1" x14ac:dyDescent="0.2">
      <c r="A556" s="9"/>
      <c r="B556" s="9"/>
      <c r="C556" s="3"/>
      <c r="D556" s="3"/>
      <c r="E556" s="3"/>
      <c r="F556" s="3"/>
      <c r="G556" s="3"/>
      <c r="H556" s="3"/>
      <c r="I556" s="3"/>
    </row>
    <row r="557" spans="1:9" ht="15.75" customHeight="1" x14ac:dyDescent="0.2">
      <c r="A557" s="9"/>
      <c r="B557" s="9"/>
      <c r="C557" s="3"/>
      <c r="D557" s="3"/>
      <c r="E557" s="3"/>
      <c r="F557" s="3"/>
      <c r="G557" s="3"/>
      <c r="H557" s="3"/>
      <c r="I557" s="3"/>
    </row>
    <row r="558" spans="1:9" ht="15.75" customHeight="1" x14ac:dyDescent="0.2">
      <c r="A558" s="9"/>
      <c r="B558" s="9"/>
      <c r="C558" s="3"/>
      <c r="D558" s="3"/>
      <c r="E558" s="3"/>
      <c r="F558" s="3"/>
      <c r="G558" s="3"/>
      <c r="H558" s="3"/>
      <c r="I558" s="3"/>
    </row>
    <row r="559" spans="1:9" ht="15.75" customHeight="1" x14ac:dyDescent="0.2">
      <c r="A559" s="9"/>
      <c r="B559" s="9"/>
      <c r="C559" s="3"/>
      <c r="D559" s="3"/>
      <c r="E559" s="3"/>
      <c r="F559" s="3"/>
      <c r="G559" s="3"/>
      <c r="H559" s="3"/>
      <c r="I559" s="3"/>
    </row>
    <row r="560" spans="1:9" ht="15.75" customHeight="1" x14ac:dyDescent="0.2">
      <c r="A560" s="9"/>
      <c r="B560" s="9"/>
      <c r="C560" s="3"/>
      <c r="D560" s="3"/>
      <c r="E560" s="3"/>
      <c r="F560" s="3"/>
      <c r="G560" s="3"/>
      <c r="H560" s="3"/>
      <c r="I560" s="3"/>
    </row>
    <row r="561" spans="1:9" ht="15.75" customHeight="1" x14ac:dyDescent="0.2">
      <c r="A561" s="9"/>
      <c r="B561" s="9"/>
      <c r="C561" s="3"/>
      <c r="D561" s="3"/>
      <c r="E561" s="3"/>
      <c r="F561" s="3"/>
      <c r="G561" s="3"/>
      <c r="H561" s="3"/>
      <c r="I561" s="3"/>
    </row>
    <row r="562" spans="1:9" ht="15.75" customHeight="1" x14ac:dyDescent="0.2">
      <c r="A562" s="9"/>
      <c r="B562" s="9"/>
      <c r="C562" s="3"/>
      <c r="D562" s="3"/>
      <c r="E562" s="3"/>
      <c r="F562" s="3"/>
      <c r="G562" s="3"/>
      <c r="H562" s="3"/>
      <c r="I562" s="3"/>
    </row>
    <row r="563" spans="1:9" ht="15.75" customHeight="1" x14ac:dyDescent="0.2">
      <c r="A563" s="9"/>
      <c r="B563" s="9"/>
      <c r="C563" s="3"/>
      <c r="D563" s="3"/>
      <c r="E563" s="3"/>
      <c r="F563" s="3"/>
      <c r="G563" s="3"/>
      <c r="H563" s="3"/>
      <c r="I563" s="3"/>
    </row>
    <row r="564" spans="1:9" ht="15.75" customHeight="1" x14ac:dyDescent="0.2">
      <c r="A564" s="9"/>
      <c r="B564" s="9"/>
      <c r="C564" s="3"/>
      <c r="D564" s="3"/>
      <c r="E564" s="3"/>
      <c r="F564" s="3"/>
      <c r="G564" s="3"/>
      <c r="H564" s="3"/>
      <c r="I564" s="3"/>
    </row>
    <row r="565" spans="1:9" ht="15.75" customHeight="1" x14ac:dyDescent="0.2">
      <c r="A565" s="9"/>
      <c r="B565" s="9"/>
      <c r="C565" s="3"/>
      <c r="D565" s="3"/>
      <c r="E565" s="3"/>
      <c r="F565" s="3"/>
      <c r="G565" s="3"/>
      <c r="H565" s="3"/>
      <c r="I565" s="3"/>
    </row>
    <row r="566" spans="1:9" ht="15.75" customHeight="1" x14ac:dyDescent="0.2">
      <c r="A566" s="9"/>
      <c r="B566" s="9"/>
      <c r="C566" s="3"/>
      <c r="D566" s="3"/>
      <c r="E566" s="3"/>
      <c r="F566" s="3"/>
      <c r="G566" s="3"/>
      <c r="H566" s="3"/>
      <c r="I566" s="3"/>
    </row>
    <row r="567" spans="1:9" ht="15.75" customHeight="1" x14ac:dyDescent="0.2">
      <c r="A567" s="9"/>
      <c r="B567" s="9"/>
      <c r="C567" s="3"/>
      <c r="D567" s="3"/>
      <c r="E567" s="3"/>
      <c r="F567" s="3"/>
      <c r="G567" s="3"/>
      <c r="H567" s="3"/>
      <c r="I567" s="3"/>
    </row>
    <row r="568" spans="1:9" ht="15.75" customHeight="1" x14ac:dyDescent="0.2">
      <c r="A568" s="9"/>
      <c r="B568" s="9"/>
      <c r="C568" s="3"/>
      <c r="D568" s="3"/>
      <c r="E568" s="3"/>
      <c r="F568" s="3"/>
      <c r="G568" s="3"/>
      <c r="H568" s="3"/>
      <c r="I568" s="3"/>
    </row>
    <row r="569" spans="1:9" ht="15.75" customHeight="1" x14ac:dyDescent="0.2">
      <c r="A569" s="9"/>
      <c r="B569" s="9"/>
      <c r="C569" s="3"/>
      <c r="D569" s="3"/>
      <c r="E569" s="3"/>
      <c r="F569" s="3"/>
      <c r="G569" s="3"/>
      <c r="H569" s="3"/>
      <c r="I569" s="3"/>
    </row>
    <row r="570" spans="1:9" ht="15.75" customHeight="1" x14ac:dyDescent="0.2">
      <c r="A570" s="9"/>
      <c r="B570" s="9"/>
      <c r="C570" s="3"/>
      <c r="D570" s="3"/>
      <c r="E570" s="3"/>
      <c r="F570" s="3"/>
      <c r="G570" s="3"/>
      <c r="H570" s="3"/>
      <c r="I570" s="3"/>
    </row>
    <row r="571" spans="1:9" ht="15.75" customHeight="1" x14ac:dyDescent="0.2">
      <c r="A571" s="9"/>
      <c r="B571" s="9"/>
      <c r="C571" s="3"/>
      <c r="D571" s="3"/>
      <c r="E571" s="3"/>
      <c r="F571" s="3"/>
      <c r="G571" s="3"/>
      <c r="H571" s="3"/>
      <c r="I571" s="3"/>
    </row>
    <row r="572" spans="1:9" ht="15.75" customHeight="1" x14ac:dyDescent="0.2">
      <c r="A572" s="9"/>
      <c r="B572" s="9"/>
      <c r="C572" s="3"/>
      <c r="D572" s="3"/>
      <c r="E572" s="3"/>
      <c r="F572" s="3"/>
      <c r="G572" s="3"/>
      <c r="H572" s="3"/>
      <c r="I572" s="3"/>
    </row>
    <row r="573" spans="1:9" ht="15.75" customHeight="1" x14ac:dyDescent="0.2">
      <c r="A573" s="9"/>
      <c r="B573" s="9"/>
      <c r="C573" s="3"/>
      <c r="D573" s="3"/>
      <c r="E573" s="3"/>
      <c r="F573" s="3"/>
      <c r="G573" s="3"/>
      <c r="H573" s="3"/>
      <c r="I573" s="3"/>
    </row>
    <row r="574" spans="1:9" ht="15.75" customHeight="1" x14ac:dyDescent="0.2">
      <c r="A574" s="9"/>
      <c r="B574" s="9"/>
      <c r="C574" s="3"/>
      <c r="D574" s="3"/>
      <c r="E574" s="3"/>
      <c r="F574" s="3"/>
      <c r="G574" s="3"/>
      <c r="H574" s="3"/>
      <c r="I574" s="3"/>
    </row>
    <row r="575" spans="1:9" ht="15.75" customHeight="1" x14ac:dyDescent="0.2">
      <c r="A575" s="9"/>
      <c r="B575" s="9"/>
      <c r="C575" s="3"/>
      <c r="D575" s="3"/>
      <c r="E575" s="3"/>
      <c r="F575" s="3"/>
      <c r="G575" s="3"/>
      <c r="H575" s="3"/>
      <c r="I575" s="3"/>
    </row>
    <row r="576" spans="1:9" ht="15.75" customHeight="1" x14ac:dyDescent="0.2">
      <c r="A576" s="9"/>
      <c r="B576" s="9"/>
      <c r="C576" s="3"/>
      <c r="D576" s="3"/>
      <c r="E576" s="3"/>
      <c r="F576" s="3"/>
      <c r="G576" s="3"/>
      <c r="H576" s="3"/>
      <c r="I576" s="3"/>
    </row>
    <row r="577" spans="1:9" ht="15.75" customHeight="1" x14ac:dyDescent="0.2">
      <c r="A577" s="9"/>
      <c r="B577" s="9"/>
      <c r="C577" s="3"/>
      <c r="D577" s="3"/>
      <c r="E577" s="3"/>
      <c r="F577" s="3"/>
      <c r="G577" s="3"/>
      <c r="H577" s="3"/>
      <c r="I577" s="3"/>
    </row>
    <row r="578" spans="1:9" ht="15.75" customHeight="1" x14ac:dyDescent="0.2">
      <c r="A578" s="9"/>
      <c r="B578" s="9"/>
      <c r="C578" s="3"/>
      <c r="D578" s="3"/>
      <c r="E578" s="3"/>
      <c r="F578" s="3"/>
      <c r="G578" s="3"/>
      <c r="H578" s="3"/>
      <c r="I578" s="3"/>
    </row>
    <row r="579" spans="1:9" ht="15.75" customHeight="1" x14ac:dyDescent="0.2">
      <c r="A579" s="9"/>
      <c r="B579" s="9"/>
      <c r="C579" s="3"/>
      <c r="D579" s="3"/>
      <c r="E579" s="3"/>
      <c r="F579" s="3"/>
      <c r="G579" s="3"/>
      <c r="H579" s="3"/>
      <c r="I579" s="3"/>
    </row>
    <row r="580" spans="1:9" ht="15.75" customHeight="1" x14ac:dyDescent="0.2">
      <c r="A580" s="9"/>
      <c r="B580" s="9"/>
      <c r="C580" s="3"/>
      <c r="D580" s="3"/>
      <c r="E580" s="3"/>
      <c r="F580" s="3"/>
      <c r="G580" s="3"/>
      <c r="H580" s="3"/>
      <c r="I580" s="3"/>
    </row>
    <row r="581" spans="1:9" ht="15.75" customHeight="1" x14ac:dyDescent="0.2">
      <c r="A581" s="9"/>
      <c r="B581" s="9"/>
      <c r="C581" s="3"/>
      <c r="D581" s="3"/>
      <c r="E581" s="3"/>
      <c r="F581" s="3"/>
      <c r="G581" s="3"/>
      <c r="H581" s="3"/>
      <c r="I581" s="3"/>
    </row>
    <row r="582" spans="1:9" ht="15.75" customHeight="1" x14ac:dyDescent="0.2">
      <c r="A582" s="9"/>
      <c r="B582" s="9"/>
      <c r="C582" s="3"/>
      <c r="D582" s="3"/>
      <c r="E582" s="3"/>
      <c r="F582" s="3"/>
      <c r="G582" s="3"/>
      <c r="H582" s="3"/>
      <c r="I582" s="3"/>
    </row>
    <row r="583" spans="1:9" ht="15.75" customHeight="1" x14ac:dyDescent="0.2">
      <c r="A583" s="9"/>
      <c r="B583" s="9"/>
      <c r="C583" s="3"/>
      <c r="D583" s="3"/>
      <c r="E583" s="3"/>
      <c r="F583" s="3"/>
      <c r="G583" s="3"/>
      <c r="H583" s="3"/>
      <c r="I583" s="3"/>
    </row>
    <row r="584" spans="1:9" ht="15.75" customHeight="1" x14ac:dyDescent="0.2">
      <c r="A584" s="9"/>
      <c r="B584" s="9"/>
      <c r="C584" s="3"/>
      <c r="D584" s="3"/>
      <c r="E584" s="3"/>
      <c r="F584" s="3"/>
      <c r="G584" s="3"/>
      <c r="H584" s="3"/>
      <c r="I584" s="3"/>
    </row>
    <row r="585" spans="1:9" ht="15.75" customHeight="1" x14ac:dyDescent="0.2">
      <c r="A585" s="9"/>
      <c r="B585" s="9"/>
      <c r="C585" s="3"/>
      <c r="D585" s="3"/>
      <c r="E585" s="3"/>
      <c r="F585" s="3"/>
      <c r="G585" s="3"/>
      <c r="H585" s="3"/>
      <c r="I585" s="3"/>
    </row>
    <row r="586" spans="1:9" ht="15.75" customHeight="1" x14ac:dyDescent="0.2">
      <c r="A586" s="9"/>
      <c r="B586" s="9"/>
      <c r="C586" s="3"/>
      <c r="D586" s="3"/>
      <c r="E586" s="3"/>
      <c r="F586" s="3"/>
      <c r="G586" s="3"/>
      <c r="H586" s="3"/>
      <c r="I586" s="3"/>
    </row>
    <row r="587" spans="1:9" ht="15.75" customHeight="1" x14ac:dyDescent="0.2">
      <c r="A587" s="9"/>
      <c r="B587" s="9"/>
      <c r="C587" s="3"/>
      <c r="D587" s="3"/>
      <c r="E587" s="3"/>
      <c r="F587" s="3"/>
      <c r="G587" s="3"/>
      <c r="H587" s="3"/>
      <c r="I587" s="3"/>
    </row>
    <row r="588" spans="1:9" ht="15.75" customHeight="1" x14ac:dyDescent="0.2">
      <c r="A588" s="9"/>
      <c r="B588" s="9"/>
      <c r="C588" s="3"/>
      <c r="D588" s="3"/>
      <c r="E588" s="3"/>
      <c r="F588" s="3"/>
      <c r="G588" s="3"/>
      <c r="H588" s="3"/>
      <c r="I588" s="3"/>
    </row>
    <row r="589" spans="1:9" ht="15.75" customHeight="1" x14ac:dyDescent="0.2">
      <c r="A589" s="9"/>
      <c r="B589" s="9"/>
      <c r="C589" s="3"/>
      <c r="D589" s="3"/>
      <c r="E589" s="3"/>
      <c r="F589" s="3"/>
      <c r="G589" s="3"/>
      <c r="H589" s="3"/>
      <c r="I589" s="3"/>
    </row>
    <row r="590" spans="1:9" ht="15.75" customHeight="1" x14ac:dyDescent="0.2">
      <c r="A590" s="9"/>
      <c r="B590" s="9"/>
      <c r="C590" s="3"/>
      <c r="D590" s="3"/>
      <c r="E590" s="3"/>
      <c r="F590" s="3"/>
      <c r="G590" s="3"/>
      <c r="H590" s="3"/>
      <c r="I590" s="3"/>
    </row>
    <row r="591" spans="1:9" ht="15.75" customHeight="1" x14ac:dyDescent="0.2">
      <c r="A591" s="9"/>
      <c r="B591" s="9"/>
      <c r="C591" s="3"/>
      <c r="D591" s="3"/>
      <c r="E591" s="3"/>
      <c r="F591" s="3"/>
      <c r="G591" s="3"/>
      <c r="H591" s="3"/>
      <c r="I591" s="3"/>
    </row>
    <row r="592" spans="1:9" ht="15.75" customHeight="1" x14ac:dyDescent="0.2">
      <c r="A592" s="9"/>
      <c r="B592" s="9"/>
      <c r="C592" s="3"/>
      <c r="D592" s="3"/>
      <c r="E592" s="3"/>
      <c r="F592" s="3"/>
      <c r="G592" s="3"/>
      <c r="H592" s="3"/>
      <c r="I592" s="3"/>
    </row>
    <row r="593" spans="1:9" ht="15.75" customHeight="1" x14ac:dyDescent="0.2">
      <c r="A593" s="9"/>
      <c r="B593" s="9"/>
      <c r="C593" s="3"/>
      <c r="D593" s="3"/>
      <c r="E593" s="3"/>
      <c r="F593" s="3"/>
      <c r="G593" s="3"/>
      <c r="H593" s="3"/>
      <c r="I593" s="3"/>
    </row>
    <row r="594" spans="1:9" ht="15.75" customHeight="1" x14ac:dyDescent="0.2">
      <c r="A594" s="9"/>
      <c r="B594" s="9"/>
      <c r="C594" s="3"/>
      <c r="D594" s="3"/>
      <c r="E594" s="3"/>
      <c r="F594" s="3"/>
      <c r="G594" s="3"/>
      <c r="H594" s="3"/>
      <c r="I594" s="3"/>
    </row>
    <row r="595" spans="1:9" ht="15.75" customHeight="1" x14ac:dyDescent="0.2">
      <c r="A595" s="9"/>
      <c r="B595" s="9"/>
      <c r="C595" s="3"/>
      <c r="D595" s="3"/>
      <c r="E595" s="3"/>
      <c r="F595" s="3"/>
      <c r="G595" s="3"/>
      <c r="H595" s="3"/>
      <c r="I595" s="3"/>
    </row>
    <row r="596" spans="1:9" ht="15.75" customHeight="1" x14ac:dyDescent="0.2">
      <c r="A596" s="9"/>
      <c r="B596" s="9"/>
      <c r="C596" s="3"/>
      <c r="D596" s="3"/>
      <c r="E596" s="3"/>
      <c r="F596" s="3"/>
      <c r="G596" s="3"/>
      <c r="H596" s="3"/>
      <c r="I596" s="3"/>
    </row>
    <row r="597" spans="1:9" ht="15.75" customHeight="1" x14ac:dyDescent="0.2">
      <c r="A597" s="9"/>
      <c r="B597" s="9"/>
      <c r="C597" s="3"/>
      <c r="D597" s="3"/>
      <c r="E597" s="3"/>
      <c r="F597" s="3"/>
      <c r="G597" s="3"/>
      <c r="H597" s="3"/>
      <c r="I597" s="3"/>
    </row>
    <row r="598" spans="1:9" ht="15.75" customHeight="1" x14ac:dyDescent="0.2">
      <c r="A598" s="9"/>
      <c r="B598" s="9"/>
      <c r="C598" s="3"/>
      <c r="D598" s="3"/>
      <c r="E598" s="3"/>
      <c r="F598" s="3"/>
      <c r="G598" s="3"/>
      <c r="H598" s="3"/>
      <c r="I598" s="3"/>
    </row>
    <row r="599" spans="1:9" ht="15.75" customHeight="1" x14ac:dyDescent="0.2">
      <c r="A599" s="9"/>
      <c r="B599" s="9"/>
      <c r="C599" s="3"/>
      <c r="D599" s="3"/>
      <c r="E599" s="3"/>
      <c r="F599" s="3"/>
      <c r="G599" s="3"/>
      <c r="H599" s="3"/>
      <c r="I599" s="3"/>
    </row>
    <row r="600" spans="1:9" ht="15.75" customHeight="1" x14ac:dyDescent="0.2">
      <c r="A600" s="9"/>
      <c r="B600" s="9"/>
      <c r="C600" s="3"/>
      <c r="D600" s="3"/>
      <c r="E600" s="3"/>
      <c r="F600" s="3"/>
      <c r="G600" s="3"/>
      <c r="H600" s="3"/>
      <c r="I600" s="3"/>
    </row>
    <row r="601" spans="1:9" ht="15.75" customHeight="1" x14ac:dyDescent="0.2">
      <c r="A601" s="9"/>
      <c r="B601" s="9"/>
      <c r="C601" s="3"/>
      <c r="D601" s="3"/>
      <c r="E601" s="3"/>
      <c r="F601" s="3"/>
      <c r="G601" s="3"/>
      <c r="H601" s="3"/>
      <c r="I601" s="3"/>
    </row>
    <row r="602" spans="1:9" ht="15.75" customHeight="1" x14ac:dyDescent="0.2">
      <c r="A602" s="9"/>
      <c r="B602" s="9"/>
      <c r="C602" s="3"/>
      <c r="D602" s="3"/>
      <c r="E602" s="3"/>
      <c r="F602" s="3"/>
      <c r="G602" s="3"/>
      <c r="H602" s="3"/>
      <c r="I602" s="3"/>
    </row>
    <row r="603" spans="1:9" ht="15.75" customHeight="1" x14ac:dyDescent="0.2">
      <c r="A603" s="9"/>
      <c r="B603" s="9"/>
      <c r="C603" s="3"/>
      <c r="D603" s="3"/>
      <c r="E603" s="3"/>
      <c r="F603" s="3"/>
      <c r="G603" s="3"/>
      <c r="H603" s="3"/>
      <c r="I603" s="3"/>
    </row>
    <row r="604" spans="1:9" ht="15.75" customHeight="1" x14ac:dyDescent="0.2">
      <c r="A604" s="9"/>
      <c r="B604" s="9"/>
      <c r="C604" s="3"/>
      <c r="D604" s="3"/>
      <c r="E604" s="3"/>
      <c r="F604" s="3"/>
      <c r="G604" s="3"/>
      <c r="H604" s="3"/>
      <c r="I604" s="3"/>
    </row>
    <row r="605" spans="1:9" ht="15.75" customHeight="1" x14ac:dyDescent="0.2">
      <c r="A605" s="9"/>
      <c r="B605" s="9"/>
      <c r="C605" s="3"/>
      <c r="D605" s="3"/>
      <c r="E605" s="3"/>
      <c r="F605" s="3"/>
      <c r="G605" s="3"/>
      <c r="H605" s="3"/>
      <c r="I605" s="3"/>
    </row>
    <row r="606" spans="1:9" ht="15.75" customHeight="1" x14ac:dyDescent="0.2">
      <c r="A606" s="9"/>
      <c r="B606" s="9"/>
      <c r="C606" s="3"/>
      <c r="D606" s="3"/>
      <c r="E606" s="3"/>
      <c r="F606" s="3"/>
      <c r="G606" s="3"/>
      <c r="H606" s="3"/>
      <c r="I606" s="3"/>
    </row>
    <row r="607" spans="1:9" ht="15.75" customHeight="1" x14ac:dyDescent="0.2">
      <c r="A607" s="9"/>
      <c r="B607" s="9"/>
      <c r="C607" s="3"/>
      <c r="D607" s="3"/>
      <c r="E607" s="3"/>
      <c r="F607" s="3"/>
      <c r="G607" s="3"/>
      <c r="H607" s="3"/>
      <c r="I607" s="3"/>
    </row>
    <row r="608" spans="1:9" ht="15.75" customHeight="1" x14ac:dyDescent="0.2">
      <c r="A608" s="9"/>
      <c r="B608" s="9"/>
      <c r="C608" s="3"/>
      <c r="D608" s="3"/>
      <c r="E608" s="3"/>
      <c r="F608" s="3"/>
      <c r="G608" s="3"/>
      <c r="H608" s="3"/>
      <c r="I608" s="3"/>
    </row>
    <row r="609" spans="1:9" ht="15.75" customHeight="1" x14ac:dyDescent="0.2">
      <c r="A609" s="9"/>
      <c r="B609" s="9"/>
      <c r="C609" s="3"/>
      <c r="D609" s="3"/>
      <c r="E609" s="3"/>
      <c r="F609" s="3"/>
      <c r="G609" s="3"/>
      <c r="H609" s="3"/>
      <c r="I609" s="3"/>
    </row>
    <row r="610" spans="1:9" ht="15.75" customHeight="1" x14ac:dyDescent="0.2">
      <c r="A610" s="9"/>
      <c r="B610" s="9"/>
      <c r="C610" s="3"/>
      <c r="D610" s="3"/>
      <c r="E610" s="3"/>
      <c r="F610" s="3"/>
      <c r="G610" s="3"/>
      <c r="H610" s="3"/>
      <c r="I610" s="3"/>
    </row>
    <row r="611" spans="1:9" ht="15.75" customHeight="1" x14ac:dyDescent="0.2">
      <c r="A611" s="9"/>
      <c r="B611" s="9"/>
      <c r="C611" s="3"/>
      <c r="D611" s="3"/>
      <c r="E611" s="3"/>
      <c r="F611" s="3"/>
      <c r="G611" s="3"/>
      <c r="H611" s="3"/>
      <c r="I611" s="3"/>
    </row>
    <row r="612" spans="1:9" ht="15.75" customHeight="1" x14ac:dyDescent="0.2">
      <c r="A612" s="9"/>
      <c r="B612" s="9"/>
      <c r="C612" s="3"/>
      <c r="D612" s="3"/>
      <c r="E612" s="3"/>
      <c r="F612" s="3"/>
      <c r="G612" s="3"/>
      <c r="H612" s="3"/>
      <c r="I612" s="3"/>
    </row>
    <row r="613" spans="1:9" ht="15.75" customHeight="1" x14ac:dyDescent="0.2">
      <c r="A613" s="9"/>
      <c r="B613" s="9"/>
      <c r="C613" s="3"/>
      <c r="D613" s="3"/>
      <c r="E613" s="3"/>
      <c r="F613" s="3"/>
      <c r="G613" s="3"/>
      <c r="H613" s="3"/>
      <c r="I613" s="3"/>
    </row>
    <row r="614" spans="1:9" ht="15.75" customHeight="1" x14ac:dyDescent="0.2">
      <c r="A614" s="9"/>
      <c r="B614" s="9"/>
      <c r="C614" s="3"/>
      <c r="D614" s="3"/>
      <c r="E614" s="3"/>
      <c r="F614" s="3"/>
      <c r="G614" s="3"/>
      <c r="H614" s="3"/>
      <c r="I614" s="3"/>
    </row>
    <row r="615" spans="1:9" ht="15.75" customHeight="1" x14ac:dyDescent="0.2">
      <c r="A615" s="9"/>
      <c r="B615" s="9"/>
      <c r="C615" s="3"/>
      <c r="D615" s="3"/>
      <c r="E615" s="3"/>
      <c r="F615" s="3"/>
      <c r="G615" s="3"/>
      <c r="H615" s="3"/>
      <c r="I615" s="3"/>
    </row>
    <row r="616" spans="1:9" ht="15.75" customHeight="1" x14ac:dyDescent="0.2">
      <c r="A616" s="9"/>
      <c r="B616" s="9"/>
      <c r="C616" s="3"/>
      <c r="D616" s="3"/>
      <c r="E616" s="3"/>
      <c r="F616" s="3"/>
      <c r="G616" s="3"/>
      <c r="H616" s="3"/>
      <c r="I616" s="3"/>
    </row>
    <row r="617" spans="1:9" ht="15.75" customHeight="1" x14ac:dyDescent="0.2">
      <c r="A617" s="9"/>
      <c r="B617" s="9"/>
      <c r="C617" s="3"/>
      <c r="D617" s="3"/>
      <c r="E617" s="3"/>
      <c r="F617" s="3"/>
      <c r="G617" s="3"/>
      <c r="H617" s="3"/>
      <c r="I617" s="3"/>
    </row>
    <row r="618" spans="1:9" ht="15.75" customHeight="1" x14ac:dyDescent="0.2">
      <c r="A618" s="9"/>
      <c r="B618" s="9"/>
      <c r="C618" s="3"/>
      <c r="D618" s="3"/>
      <c r="E618" s="3"/>
      <c r="F618" s="3"/>
      <c r="G618" s="3"/>
      <c r="H618" s="3"/>
      <c r="I618" s="3"/>
    </row>
    <row r="619" spans="1:9" ht="15.75" customHeight="1" x14ac:dyDescent="0.2">
      <c r="A619" s="9"/>
      <c r="B619" s="9"/>
      <c r="C619" s="3"/>
      <c r="D619" s="3"/>
      <c r="E619" s="3"/>
      <c r="F619" s="3"/>
      <c r="G619" s="3"/>
      <c r="H619" s="3"/>
      <c r="I619" s="3"/>
    </row>
    <row r="620" spans="1:9" ht="15.75" customHeight="1" x14ac:dyDescent="0.2">
      <c r="A620" s="9"/>
      <c r="B620" s="9"/>
      <c r="C620" s="3"/>
      <c r="D620" s="3"/>
      <c r="E620" s="3"/>
      <c r="F620" s="3"/>
      <c r="G620" s="3"/>
      <c r="H620" s="3"/>
      <c r="I620" s="3"/>
    </row>
    <row r="621" spans="1:9" ht="15.75" customHeight="1" x14ac:dyDescent="0.2">
      <c r="A621" s="9"/>
      <c r="B621" s="9"/>
      <c r="C621" s="3"/>
      <c r="D621" s="3"/>
      <c r="E621" s="3"/>
      <c r="F621" s="3"/>
      <c r="G621" s="3"/>
      <c r="H621" s="3"/>
      <c r="I621" s="3"/>
    </row>
    <row r="622" spans="1:9" ht="15.75" customHeight="1" x14ac:dyDescent="0.2">
      <c r="A622" s="9"/>
      <c r="B622" s="9"/>
      <c r="C622" s="3"/>
      <c r="D622" s="3"/>
      <c r="E622" s="3"/>
      <c r="F622" s="3"/>
      <c r="G622" s="3"/>
      <c r="H622" s="3"/>
      <c r="I622" s="3"/>
    </row>
    <row r="623" spans="1:9" ht="15.75" customHeight="1" x14ac:dyDescent="0.2">
      <c r="A623" s="9"/>
      <c r="B623" s="9"/>
      <c r="C623" s="3"/>
      <c r="D623" s="3"/>
      <c r="E623" s="3"/>
      <c r="F623" s="3"/>
      <c r="G623" s="3"/>
      <c r="H623" s="3"/>
      <c r="I623" s="3"/>
    </row>
    <row r="624" spans="1:9" ht="15.75" customHeight="1" x14ac:dyDescent="0.2">
      <c r="A624" s="9"/>
      <c r="B624" s="9"/>
      <c r="C624" s="3"/>
      <c r="D624" s="3"/>
      <c r="E624" s="3"/>
      <c r="F624" s="3"/>
      <c r="G624" s="3"/>
      <c r="H624" s="3"/>
      <c r="I624" s="3"/>
    </row>
    <row r="625" spans="1:9" ht="15.75" customHeight="1" x14ac:dyDescent="0.2">
      <c r="A625" s="9"/>
      <c r="B625" s="9"/>
      <c r="C625" s="3"/>
      <c r="D625" s="3"/>
      <c r="E625" s="3"/>
      <c r="F625" s="3"/>
      <c r="G625" s="3"/>
      <c r="H625" s="3"/>
      <c r="I625" s="3"/>
    </row>
    <row r="626" spans="1:9" ht="15.75" customHeight="1" x14ac:dyDescent="0.2">
      <c r="A626" s="9"/>
      <c r="B626" s="9"/>
      <c r="C626" s="3"/>
      <c r="D626" s="3"/>
      <c r="E626" s="3"/>
      <c r="F626" s="3"/>
      <c r="G626" s="3"/>
      <c r="H626" s="3"/>
      <c r="I626" s="3"/>
    </row>
    <row r="627" spans="1:9" ht="15.75" customHeight="1" x14ac:dyDescent="0.2">
      <c r="A627" s="9"/>
      <c r="B627" s="9"/>
      <c r="C627" s="3"/>
      <c r="D627" s="3"/>
      <c r="E627" s="3"/>
      <c r="F627" s="3"/>
      <c r="G627" s="3"/>
      <c r="H627" s="3"/>
      <c r="I627" s="3"/>
    </row>
    <row r="628" spans="1:9" ht="15.75" customHeight="1" x14ac:dyDescent="0.2">
      <c r="A628" s="9"/>
      <c r="B628" s="9"/>
      <c r="C628" s="3"/>
      <c r="D628" s="3"/>
      <c r="E628" s="3"/>
      <c r="F628" s="3"/>
      <c r="G628" s="3"/>
      <c r="H628" s="3"/>
      <c r="I628" s="3"/>
    </row>
    <row r="629" spans="1:9" ht="15.75" customHeight="1" x14ac:dyDescent="0.2">
      <c r="A629" s="9"/>
      <c r="B629" s="9"/>
      <c r="C629" s="3"/>
      <c r="D629" s="3"/>
      <c r="E629" s="3"/>
      <c r="F629" s="3"/>
      <c r="G629" s="3"/>
      <c r="H629" s="3"/>
      <c r="I629" s="3"/>
    </row>
    <row r="630" spans="1:9" ht="15.75" customHeight="1" x14ac:dyDescent="0.2">
      <c r="A630" s="9"/>
      <c r="B630" s="9"/>
      <c r="C630" s="3"/>
      <c r="D630" s="3"/>
      <c r="E630" s="3"/>
      <c r="F630" s="3"/>
      <c r="G630" s="3"/>
      <c r="H630" s="3"/>
      <c r="I630" s="3"/>
    </row>
    <row r="631" spans="1:9" ht="15.75" customHeight="1" x14ac:dyDescent="0.2">
      <c r="A631" s="9"/>
      <c r="B631" s="9"/>
      <c r="C631" s="3"/>
      <c r="D631" s="3"/>
      <c r="E631" s="3"/>
      <c r="F631" s="3"/>
      <c r="G631" s="3"/>
      <c r="H631" s="3"/>
      <c r="I631" s="3"/>
    </row>
    <row r="632" spans="1:9" ht="15.75" customHeight="1" x14ac:dyDescent="0.2">
      <c r="A632" s="9"/>
      <c r="B632" s="9"/>
      <c r="C632" s="3"/>
      <c r="D632" s="3"/>
      <c r="E632" s="3"/>
      <c r="F632" s="3"/>
      <c r="G632" s="3"/>
      <c r="H632" s="3"/>
      <c r="I632" s="3"/>
    </row>
    <row r="633" spans="1:9" ht="15.75" customHeight="1" x14ac:dyDescent="0.2">
      <c r="A633" s="9"/>
      <c r="B633" s="9"/>
      <c r="C633" s="3"/>
      <c r="D633" s="3"/>
      <c r="E633" s="3"/>
      <c r="F633" s="3"/>
      <c r="G633" s="3"/>
      <c r="H633" s="3"/>
      <c r="I633" s="3"/>
    </row>
    <row r="634" spans="1:9" ht="15.75" customHeight="1" x14ac:dyDescent="0.2">
      <c r="A634" s="9"/>
      <c r="B634" s="9"/>
      <c r="C634" s="3"/>
      <c r="D634" s="3"/>
      <c r="E634" s="3"/>
      <c r="F634" s="3"/>
      <c r="G634" s="3"/>
      <c r="H634" s="3"/>
      <c r="I634" s="3"/>
    </row>
    <row r="635" spans="1:9" ht="15.75" customHeight="1" x14ac:dyDescent="0.2">
      <c r="A635" s="9"/>
      <c r="B635" s="9"/>
      <c r="C635" s="3"/>
      <c r="D635" s="3"/>
      <c r="E635" s="3"/>
      <c r="F635" s="3"/>
      <c r="G635" s="3"/>
      <c r="H635" s="3"/>
      <c r="I635" s="3"/>
    </row>
    <row r="636" spans="1:9" ht="15.75" customHeight="1" x14ac:dyDescent="0.2">
      <c r="A636" s="9"/>
      <c r="B636" s="9"/>
      <c r="C636" s="3"/>
      <c r="D636" s="3"/>
      <c r="E636" s="3"/>
      <c r="F636" s="3"/>
      <c r="G636" s="3"/>
      <c r="H636" s="3"/>
      <c r="I636" s="3"/>
    </row>
    <row r="637" spans="1:9" ht="15.75" customHeight="1" x14ac:dyDescent="0.2">
      <c r="A637" s="9"/>
      <c r="B637" s="9"/>
      <c r="C637" s="3"/>
      <c r="D637" s="3"/>
      <c r="E637" s="3"/>
      <c r="F637" s="3"/>
      <c r="G637" s="3"/>
      <c r="H637" s="3"/>
      <c r="I637" s="3"/>
    </row>
    <row r="638" spans="1:9" ht="15.75" customHeight="1" x14ac:dyDescent="0.2">
      <c r="A638" s="9"/>
      <c r="B638" s="9"/>
      <c r="C638" s="3"/>
      <c r="D638" s="3"/>
      <c r="E638" s="3"/>
      <c r="F638" s="3"/>
      <c r="G638" s="3"/>
      <c r="H638" s="3"/>
      <c r="I638" s="3"/>
    </row>
    <row r="639" spans="1:9" ht="15.75" customHeight="1" x14ac:dyDescent="0.2">
      <c r="A639" s="9"/>
      <c r="B639" s="9"/>
      <c r="C639" s="3"/>
      <c r="D639" s="3"/>
      <c r="E639" s="3"/>
      <c r="F639" s="3"/>
      <c r="G639" s="3"/>
      <c r="H639" s="3"/>
      <c r="I639" s="3"/>
    </row>
    <row r="640" spans="1:9" ht="15.75" customHeight="1" x14ac:dyDescent="0.2">
      <c r="A640" s="9"/>
      <c r="B640" s="9"/>
      <c r="C640" s="3"/>
      <c r="D640" s="3"/>
      <c r="E640" s="3"/>
      <c r="F640" s="3"/>
      <c r="G640" s="3"/>
      <c r="H640" s="3"/>
      <c r="I640" s="3"/>
    </row>
    <row r="641" spans="1:9" ht="15.75" customHeight="1" x14ac:dyDescent="0.2">
      <c r="A641" s="9"/>
      <c r="B641" s="9"/>
      <c r="C641" s="3"/>
      <c r="D641" s="3"/>
      <c r="E641" s="3"/>
      <c r="F641" s="3"/>
      <c r="G641" s="3"/>
      <c r="H641" s="3"/>
      <c r="I641" s="3"/>
    </row>
    <row r="642" spans="1:9" ht="15.75" customHeight="1" x14ac:dyDescent="0.2">
      <c r="A642" s="9"/>
      <c r="B642" s="9"/>
      <c r="C642" s="3"/>
      <c r="D642" s="3"/>
      <c r="E642" s="3"/>
      <c r="F642" s="3"/>
      <c r="G642" s="3"/>
      <c r="H642" s="3"/>
      <c r="I642" s="3"/>
    </row>
    <row r="643" spans="1:9" ht="15.75" customHeight="1" x14ac:dyDescent="0.2">
      <c r="A643" s="9"/>
      <c r="B643" s="9"/>
      <c r="C643" s="3"/>
      <c r="D643" s="3"/>
      <c r="E643" s="3"/>
      <c r="F643" s="3"/>
      <c r="G643" s="3"/>
      <c r="H643" s="3"/>
      <c r="I643" s="3"/>
    </row>
    <row r="644" spans="1:9" ht="15.75" customHeight="1" x14ac:dyDescent="0.2">
      <c r="A644" s="9"/>
      <c r="B644" s="9"/>
      <c r="C644" s="3"/>
      <c r="D644" s="3"/>
      <c r="E644" s="3"/>
      <c r="F644" s="3"/>
      <c r="G644" s="3"/>
      <c r="H644" s="3"/>
      <c r="I644" s="3"/>
    </row>
    <row r="645" spans="1:9" ht="15.75" customHeight="1" x14ac:dyDescent="0.2">
      <c r="A645" s="9"/>
      <c r="B645" s="9"/>
      <c r="C645" s="3"/>
      <c r="D645" s="3"/>
      <c r="E645" s="3"/>
      <c r="F645" s="3"/>
      <c r="G645" s="3"/>
      <c r="H645" s="3"/>
      <c r="I645" s="3"/>
    </row>
    <row r="646" spans="1:9" ht="15.75" customHeight="1" x14ac:dyDescent="0.2">
      <c r="A646" s="9"/>
      <c r="B646" s="9"/>
      <c r="C646" s="3"/>
      <c r="D646" s="3"/>
      <c r="E646" s="3"/>
      <c r="F646" s="3"/>
      <c r="G646" s="3"/>
      <c r="H646" s="3"/>
      <c r="I646" s="3"/>
    </row>
    <row r="647" spans="1:9" ht="15.75" customHeight="1" x14ac:dyDescent="0.2">
      <c r="A647" s="9"/>
      <c r="B647" s="9"/>
      <c r="C647" s="3"/>
      <c r="D647" s="3"/>
      <c r="E647" s="3"/>
      <c r="F647" s="3"/>
      <c r="G647" s="3"/>
      <c r="H647" s="3"/>
      <c r="I647" s="3"/>
    </row>
    <row r="648" spans="1:9" ht="15.75" customHeight="1" x14ac:dyDescent="0.2">
      <c r="A648" s="9"/>
      <c r="B648" s="9"/>
      <c r="C648" s="3"/>
      <c r="D648" s="3"/>
      <c r="E648" s="3"/>
      <c r="F648" s="3"/>
      <c r="G648" s="3"/>
      <c r="H648" s="3"/>
      <c r="I648" s="3"/>
    </row>
    <row r="649" spans="1:9" ht="15.75" customHeight="1" x14ac:dyDescent="0.2">
      <c r="A649" s="9"/>
      <c r="B649" s="9"/>
      <c r="C649" s="3"/>
      <c r="D649" s="3"/>
      <c r="E649" s="3"/>
      <c r="F649" s="3"/>
      <c r="G649" s="3"/>
      <c r="H649" s="3"/>
      <c r="I649" s="3"/>
    </row>
    <row r="650" spans="1:9" ht="15.75" customHeight="1" x14ac:dyDescent="0.2">
      <c r="A650" s="9"/>
      <c r="B650" s="9"/>
      <c r="C650" s="3"/>
      <c r="D650" s="3"/>
      <c r="E650" s="3"/>
      <c r="F650" s="3"/>
      <c r="G650" s="3"/>
      <c r="H650" s="3"/>
      <c r="I650" s="3"/>
    </row>
    <row r="651" spans="1:9" ht="15.75" customHeight="1" x14ac:dyDescent="0.2">
      <c r="A651" s="9"/>
      <c r="B651" s="9"/>
      <c r="C651" s="3"/>
      <c r="D651" s="3"/>
      <c r="E651" s="3"/>
      <c r="F651" s="3"/>
      <c r="G651" s="3"/>
      <c r="H651" s="3"/>
      <c r="I651" s="3"/>
    </row>
    <row r="652" spans="1:9" ht="15.75" customHeight="1" x14ac:dyDescent="0.2">
      <c r="A652" s="9"/>
      <c r="B652" s="9"/>
      <c r="C652" s="3"/>
      <c r="D652" s="3"/>
      <c r="E652" s="3"/>
      <c r="F652" s="3"/>
      <c r="G652" s="3"/>
      <c r="H652" s="3"/>
      <c r="I652" s="3"/>
    </row>
    <row r="653" spans="1:9" ht="15.75" customHeight="1" x14ac:dyDescent="0.2">
      <c r="A653" s="9"/>
      <c r="B653" s="9"/>
      <c r="C653" s="3"/>
      <c r="D653" s="3"/>
      <c r="E653" s="3"/>
      <c r="F653" s="3"/>
      <c r="G653" s="3"/>
      <c r="H653" s="3"/>
      <c r="I653" s="3"/>
    </row>
    <row r="654" spans="1:9" ht="15.75" customHeight="1" x14ac:dyDescent="0.2">
      <c r="A654" s="9"/>
      <c r="B654" s="9"/>
      <c r="C654" s="3"/>
      <c r="D654" s="3"/>
      <c r="E654" s="3"/>
      <c r="F654" s="3"/>
      <c r="G654" s="3"/>
      <c r="H654" s="3"/>
      <c r="I654" s="3"/>
    </row>
    <row r="655" spans="1:9" ht="15.75" customHeight="1" x14ac:dyDescent="0.2">
      <c r="A655" s="9"/>
      <c r="B655" s="9"/>
      <c r="C655" s="3"/>
      <c r="D655" s="3"/>
      <c r="E655" s="3"/>
      <c r="F655" s="3"/>
      <c r="G655" s="3"/>
      <c r="H655" s="3"/>
      <c r="I655" s="3"/>
    </row>
    <row r="656" spans="1:9" ht="15.75" customHeight="1" x14ac:dyDescent="0.2">
      <c r="A656" s="9"/>
      <c r="B656" s="9"/>
      <c r="C656" s="3"/>
      <c r="D656" s="3"/>
      <c r="E656" s="3"/>
      <c r="F656" s="3"/>
      <c r="G656" s="3"/>
      <c r="H656" s="3"/>
      <c r="I656" s="3"/>
    </row>
    <row r="657" spans="1:9" ht="15.75" customHeight="1" x14ac:dyDescent="0.2">
      <c r="A657" s="9"/>
      <c r="B657" s="9"/>
      <c r="C657" s="3"/>
      <c r="D657" s="3"/>
      <c r="E657" s="3"/>
      <c r="F657" s="3"/>
      <c r="G657" s="3"/>
      <c r="H657" s="3"/>
      <c r="I657" s="3"/>
    </row>
    <row r="658" spans="1:9" ht="15.75" customHeight="1" x14ac:dyDescent="0.2">
      <c r="A658" s="9"/>
      <c r="B658" s="9"/>
      <c r="C658" s="3"/>
      <c r="D658" s="3"/>
      <c r="E658" s="3"/>
      <c r="F658" s="3"/>
      <c r="G658" s="3"/>
      <c r="H658" s="3"/>
      <c r="I658" s="3"/>
    </row>
    <row r="659" spans="1:9" ht="15.75" customHeight="1" x14ac:dyDescent="0.2">
      <c r="A659" s="9"/>
      <c r="B659" s="9"/>
      <c r="C659" s="3"/>
      <c r="D659" s="3"/>
      <c r="E659" s="3"/>
      <c r="F659" s="3"/>
      <c r="G659" s="3"/>
      <c r="H659" s="3"/>
      <c r="I659" s="3"/>
    </row>
    <row r="660" spans="1:9" ht="15.75" customHeight="1" x14ac:dyDescent="0.2">
      <c r="A660" s="9"/>
      <c r="B660" s="9"/>
      <c r="C660" s="3"/>
      <c r="D660" s="3"/>
      <c r="E660" s="3"/>
      <c r="F660" s="3"/>
      <c r="G660" s="3"/>
      <c r="H660" s="3"/>
      <c r="I660" s="3"/>
    </row>
    <row r="661" spans="1:9" ht="15.75" customHeight="1" x14ac:dyDescent="0.2">
      <c r="A661" s="9"/>
      <c r="B661" s="9"/>
      <c r="C661" s="3"/>
      <c r="D661" s="3"/>
      <c r="E661" s="3"/>
      <c r="F661" s="3"/>
      <c r="G661" s="3"/>
      <c r="H661" s="3"/>
      <c r="I661" s="3"/>
    </row>
    <row r="662" spans="1:9" ht="15.75" customHeight="1" x14ac:dyDescent="0.2">
      <c r="A662" s="9"/>
      <c r="B662" s="9"/>
      <c r="C662" s="3"/>
      <c r="D662" s="3"/>
      <c r="E662" s="3"/>
      <c r="F662" s="3"/>
      <c r="G662" s="3"/>
      <c r="H662" s="3"/>
      <c r="I662" s="3"/>
    </row>
    <row r="663" spans="1:9" ht="15.75" customHeight="1" x14ac:dyDescent="0.2">
      <c r="A663" s="9"/>
      <c r="B663" s="9"/>
      <c r="C663" s="3"/>
      <c r="D663" s="3"/>
      <c r="E663" s="3"/>
      <c r="F663" s="3"/>
      <c r="G663" s="3"/>
      <c r="H663" s="3"/>
      <c r="I663" s="3"/>
    </row>
    <row r="664" spans="1:9" ht="15.75" customHeight="1" x14ac:dyDescent="0.2">
      <c r="A664" s="9"/>
      <c r="B664" s="9"/>
      <c r="C664" s="3"/>
      <c r="D664" s="3"/>
      <c r="E664" s="3"/>
      <c r="F664" s="3"/>
      <c r="G664" s="3"/>
      <c r="H664" s="3"/>
      <c r="I664" s="3"/>
    </row>
    <row r="665" spans="1:9" ht="15.75" customHeight="1" x14ac:dyDescent="0.2">
      <c r="A665" s="9"/>
      <c r="B665" s="9"/>
      <c r="C665" s="3"/>
      <c r="D665" s="3"/>
      <c r="E665" s="3"/>
      <c r="F665" s="3"/>
      <c r="G665" s="3"/>
      <c r="H665" s="3"/>
      <c r="I665" s="3"/>
    </row>
    <row r="666" spans="1:9" ht="15.75" customHeight="1" x14ac:dyDescent="0.2">
      <c r="A666" s="9"/>
      <c r="B666" s="9"/>
      <c r="C666" s="3"/>
      <c r="D666" s="3"/>
      <c r="E666" s="3"/>
      <c r="F666" s="3"/>
      <c r="G666" s="3"/>
      <c r="H666" s="3"/>
      <c r="I666" s="3"/>
    </row>
    <row r="667" spans="1:9" ht="15.75" customHeight="1" x14ac:dyDescent="0.2">
      <c r="A667" s="9"/>
      <c r="B667" s="9"/>
      <c r="C667" s="3"/>
      <c r="D667" s="3"/>
      <c r="E667" s="3"/>
      <c r="F667" s="3"/>
      <c r="G667" s="3"/>
      <c r="H667" s="3"/>
      <c r="I667" s="3"/>
    </row>
    <row r="668" spans="1:9" ht="15.75" customHeight="1" x14ac:dyDescent="0.2">
      <c r="A668" s="9"/>
      <c r="B668" s="9"/>
      <c r="C668" s="3"/>
      <c r="D668" s="3"/>
      <c r="E668" s="3"/>
      <c r="F668" s="3"/>
      <c r="G668" s="3"/>
      <c r="H668" s="3"/>
      <c r="I668" s="3"/>
    </row>
    <row r="669" spans="1:9" ht="15.75" customHeight="1" x14ac:dyDescent="0.2">
      <c r="A669" s="9"/>
      <c r="B669" s="9"/>
      <c r="C669" s="3"/>
      <c r="D669" s="3"/>
      <c r="E669" s="3"/>
      <c r="F669" s="3"/>
      <c r="G669" s="3"/>
      <c r="H669" s="3"/>
      <c r="I669" s="3"/>
    </row>
    <row r="670" spans="1:9" ht="15.75" customHeight="1" x14ac:dyDescent="0.2">
      <c r="A670" s="9"/>
      <c r="B670" s="9"/>
      <c r="C670" s="3"/>
      <c r="D670" s="3"/>
      <c r="E670" s="3"/>
      <c r="F670" s="3"/>
      <c r="G670" s="3"/>
      <c r="H670" s="3"/>
      <c r="I670" s="3"/>
    </row>
    <row r="671" spans="1:9" ht="15.75" customHeight="1" x14ac:dyDescent="0.2">
      <c r="A671" s="9"/>
      <c r="B671" s="9"/>
      <c r="C671" s="3"/>
      <c r="D671" s="3"/>
      <c r="E671" s="3"/>
      <c r="F671" s="3"/>
      <c r="G671" s="3"/>
      <c r="H671" s="3"/>
      <c r="I671" s="3"/>
    </row>
    <row r="672" spans="1:9" ht="15.75" customHeight="1" x14ac:dyDescent="0.2">
      <c r="A672" s="9"/>
      <c r="B672" s="9"/>
      <c r="C672" s="3"/>
      <c r="D672" s="3"/>
      <c r="E672" s="3"/>
      <c r="F672" s="3"/>
      <c r="G672" s="3"/>
      <c r="H672" s="3"/>
      <c r="I672" s="3"/>
    </row>
    <row r="673" spans="1:9" ht="15.75" customHeight="1" x14ac:dyDescent="0.2">
      <c r="A673" s="9"/>
      <c r="B673" s="9"/>
      <c r="C673" s="3"/>
      <c r="D673" s="3"/>
      <c r="E673" s="3"/>
      <c r="F673" s="3"/>
      <c r="G673" s="3"/>
      <c r="H673" s="3"/>
      <c r="I673" s="3"/>
    </row>
    <row r="674" spans="1:9" ht="15.75" customHeight="1" x14ac:dyDescent="0.2">
      <c r="A674" s="9"/>
      <c r="B674" s="9"/>
      <c r="C674" s="3"/>
      <c r="D674" s="3"/>
      <c r="E674" s="3"/>
      <c r="F674" s="3"/>
      <c r="G674" s="3"/>
      <c r="H674" s="3"/>
      <c r="I674" s="3"/>
    </row>
    <row r="675" spans="1:9" ht="15.75" customHeight="1" x14ac:dyDescent="0.2">
      <c r="A675" s="9"/>
      <c r="B675" s="9"/>
      <c r="C675" s="3"/>
      <c r="D675" s="3"/>
      <c r="E675" s="3"/>
      <c r="F675" s="3"/>
      <c r="G675" s="3"/>
      <c r="H675" s="3"/>
      <c r="I675" s="3"/>
    </row>
    <row r="676" spans="1:9" ht="15.75" customHeight="1" x14ac:dyDescent="0.2">
      <c r="A676" s="9"/>
      <c r="B676" s="9"/>
      <c r="C676" s="3"/>
      <c r="D676" s="3"/>
      <c r="E676" s="3"/>
      <c r="F676" s="3"/>
      <c r="G676" s="3"/>
      <c r="H676" s="3"/>
      <c r="I676" s="3"/>
    </row>
    <row r="677" spans="1:9" ht="15.75" customHeight="1" x14ac:dyDescent="0.2">
      <c r="A677" s="9"/>
      <c r="B677" s="9"/>
      <c r="C677" s="3"/>
      <c r="D677" s="3"/>
      <c r="E677" s="3"/>
      <c r="F677" s="3"/>
      <c r="G677" s="3"/>
      <c r="H677" s="3"/>
      <c r="I677" s="3"/>
    </row>
    <row r="678" spans="1:9" ht="15.75" customHeight="1" x14ac:dyDescent="0.2">
      <c r="A678" s="9"/>
      <c r="B678" s="9"/>
      <c r="C678" s="3"/>
      <c r="D678" s="3"/>
      <c r="E678" s="3"/>
      <c r="F678" s="3"/>
      <c r="G678" s="3"/>
      <c r="H678" s="3"/>
      <c r="I678" s="3"/>
    </row>
    <row r="679" spans="1:9" ht="15.75" customHeight="1" x14ac:dyDescent="0.2">
      <c r="A679" s="9"/>
      <c r="B679" s="9"/>
      <c r="C679" s="3"/>
      <c r="D679" s="3"/>
      <c r="E679" s="3"/>
      <c r="F679" s="3"/>
      <c r="G679" s="3"/>
      <c r="H679" s="3"/>
      <c r="I679" s="3"/>
    </row>
    <row r="680" spans="1:9" ht="15.75" customHeight="1" x14ac:dyDescent="0.2">
      <c r="A680" s="9"/>
      <c r="B680" s="9"/>
      <c r="C680" s="3"/>
      <c r="D680" s="3"/>
      <c r="E680" s="3"/>
      <c r="F680" s="3"/>
      <c r="G680" s="3"/>
      <c r="H680" s="3"/>
      <c r="I680" s="3"/>
    </row>
    <row r="681" spans="1:9" ht="15.75" customHeight="1" x14ac:dyDescent="0.2">
      <c r="A681" s="9"/>
      <c r="B681" s="9"/>
      <c r="C681" s="3"/>
      <c r="D681" s="3"/>
      <c r="E681" s="3"/>
      <c r="F681" s="3"/>
      <c r="G681" s="3"/>
      <c r="H681" s="3"/>
      <c r="I681" s="3"/>
    </row>
    <row r="682" spans="1:9" ht="15.75" customHeight="1" x14ac:dyDescent="0.2">
      <c r="A682" s="9"/>
      <c r="B682" s="9"/>
      <c r="C682" s="3"/>
      <c r="D682" s="3"/>
      <c r="E682" s="3"/>
      <c r="F682" s="3"/>
      <c r="G682" s="3"/>
      <c r="H682" s="3"/>
      <c r="I682" s="3"/>
    </row>
    <row r="683" spans="1:9" ht="15.75" customHeight="1" x14ac:dyDescent="0.2">
      <c r="A683" s="9"/>
      <c r="B683" s="9"/>
      <c r="C683" s="3"/>
      <c r="D683" s="3"/>
      <c r="E683" s="3"/>
      <c r="F683" s="3"/>
      <c r="G683" s="3"/>
      <c r="H683" s="3"/>
      <c r="I683" s="3"/>
    </row>
    <row r="684" spans="1:9" ht="15.75" customHeight="1" x14ac:dyDescent="0.2">
      <c r="A684" s="9"/>
      <c r="B684" s="9"/>
      <c r="C684" s="3"/>
      <c r="D684" s="3"/>
      <c r="E684" s="3"/>
      <c r="F684" s="3"/>
      <c r="G684" s="3"/>
      <c r="H684" s="3"/>
      <c r="I684" s="3"/>
    </row>
    <row r="685" spans="1:9" ht="15.75" customHeight="1" x14ac:dyDescent="0.2">
      <c r="A685" s="9"/>
      <c r="B685" s="9"/>
      <c r="C685" s="3"/>
      <c r="D685" s="3"/>
      <c r="E685" s="3"/>
      <c r="F685" s="3"/>
      <c r="G685" s="3"/>
      <c r="H685" s="3"/>
      <c r="I685" s="3"/>
    </row>
    <row r="686" spans="1:9" ht="15.75" customHeight="1" x14ac:dyDescent="0.2">
      <c r="A686" s="9"/>
      <c r="B686" s="9"/>
      <c r="C686" s="3"/>
      <c r="D686" s="3"/>
      <c r="E686" s="3"/>
      <c r="F686" s="3"/>
      <c r="G686" s="3"/>
      <c r="H686" s="3"/>
      <c r="I686" s="3"/>
    </row>
    <row r="687" spans="1:9" ht="15.75" customHeight="1" x14ac:dyDescent="0.2">
      <c r="A687" s="9"/>
      <c r="B687" s="9"/>
      <c r="C687" s="3"/>
      <c r="D687" s="3"/>
      <c r="E687" s="3"/>
      <c r="F687" s="3"/>
      <c r="G687" s="3"/>
      <c r="H687" s="3"/>
      <c r="I687" s="3"/>
    </row>
    <row r="688" spans="1:9" ht="15.75" customHeight="1" x14ac:dyDescent="0.2">
      <c r="A688" s="9"/>
      <c r="B688" s="9"/>
      <c r="C688" s="3"/>
      <c r="D688" s="3"/>
      <c r="E688" s="3"/>
      <c r="F688" s="3"/>
      <c r="G688" s="3"/>
      <c r="H688" s="3"/>
      <c r="I688" s="3"/>
    </row>
    <row r="689" spans="1:9" ht="15.75" customHeight="1" x14ac:dyDescent="0.2">
      <c r="A689" s="9"/>
      <c r="B689" s="9"/>
      <c r="C689" s="3"/>
      <c r="D689" s="3"/>
      <c r="E689" s="3"/>
      <c r="F689" s="3"/>
      <c r="G689" s="3"/>
      <c r="H689" s="3"/>
      <c r="I689" s="3"/>
    </row>
    <row r="690" spans="1:9" ht="15.75" customHeight="1" x14ac:dyDescent="0.2">
      <c r="A690" s="9"/>
      <c r="B690" s="9"/>
      <c r="C690" s="3"/>
      <c r="D690" s="3"/>
      <c r="E690" s="3"/>
      <c r="F690" s="3"/>
      <c r="G690" s="3"/>
      <c r="H690" s="3"/>
      <c r="I690" s="3"/>
    </row>
    <row r="691" spans="1:9" ht="15.75" customHeight="1" x14ac:dyDescent="0.2">
      <c r="A691" s="9"/>
      <c r="B691" s="9"/>
      <c r="C691" s="3"/>
      <c r="D691" s="3"/>
      <c r="E691" s="3"/>
      <c r="F691" s="3"/>
      <c r="G691" s="3"/>
      <c r="H691" s="3"/>
      <c r="I691" s="3"/>
    </row>
    <row r="692" spans="1:9" ht="15.75" customHeight="1" x14ac:dyDescent="0.2">
      <c r="A692" s="9"/>
      <c r="B692" s="9"/>
      <c r="C692" s="3"/>
      <c r="D692" s="3"/>
      <c r="E692" s="3"/>
      <c r="F692" s="3"/>
      <c r="G692" s="3"/>
      <c r="H692" s="3"/>
      <c r="I692" s="3"/>
    </row>
    <row r="693" spans="1:9" ht="15.75" customHeight="1" x14ac:dyDescent="0.2">
      <c r="A693" s="9"/>
      <c r="B693" s="9"/>
      <c r="C693" s="3"/>
      <c r="D693" s="3"/>
      <c r="E693" s="3"/>
      <c r="F693" s="3"/>
      <c r="G693" s="3"/>
      <c r="H693" s="3"/>
      <c r="I693" s="3"/>
    </row>
    <row r="694" spans="1:9" ht="15.75" customHeight="1" x14ac:dyDescent="0.2">
      <c r="A694" s="9"/>
      <c r="B694" s="9"/>
      <c r="C694" s="3"/>
      <c r="D694" s="3"/>
      <c r="E694" s="3"/>
      <c r="F694" s="3"/>
      <c r="G694" s="3"/>
      <c r="H694" s="3"/>
      <c r="I694" s="3"/>
    </row>
    <row r="695" spans="1:9" ht="15.75" customHeight="1" x14ac:dyDescent="0.2">
      <c r="A695" s="9"/>
      <c r="B695" s="9"/>
      <c r="C695" s="3"/>
      <c r="D695" s="3"/>
      <c r="E695" s="3"/>
      <c r="F695" s="3"/>
      <c r="G695" s="3"/>
      <c r="H695" s="3"/>
      <c r="I695" s="3"/>
    </row>
    <row r="696" spans="1:9" ht="15.75" customHeight="1" x14ac:dyDescent="0.2">
      <c r="A696" s="9"/>
      <c r="B696" s="9"/>
      <c r="C696" s="3"/>
      <c r="D696" s="3"/>
      <c r="E696" s="3"/>
      <c r="F696" s="3"/>
      <c r="G696" s="3"/>
      <c r="H696" s="3"/>
      <c r="I696" s="3"/>
    </row>
    <row r="697" spans="1:9" ht="15.75" customHeight="1" x14ac:dyDescent="0.2">
      <c r="A697" s="9"/>
      <c r="B697" s="9"/>
      <c r="C697" s="3"/>
      <c r="D697" s="3"/>
      <c r="E697" s="3"/>
      <c r="F697" s="3"/>
      <c r="G697" s="3"/>
      <c r="H697" s="3"/>
      <c r="I697" s="3"/>
    </row>
    <row r="698" spans="1:9" ht="15.75" customHeight="1" x14ac:dyDescent="0.2">
      <c r="A698" s="9"/>
      <c r="B698" s="9"/>
      <c r="C698" s="3"/>
      <c r="D698" s="3"/>
      <c r="E698" s="3"/>
      <c r="F698" s="3"/>
      <c r="G698" s="3"/>
      <c r="H698" s="3"/>
      <c r="I698" s="3"/>
    </row>
    <row r="699" spans="1:9" ht="15.75" customHeight="1" x14ac:dyDescent="0.2">
      <c r="A699" s="9"/>
      <c r="B699" s="9"/>
      <c r="C699" s="3"/>
      <c r="D699" s="3"/>
      <c r="E699" s="3"/>
      <c r="F699" s="3"/>
      <c r="G699" s="3"/>
      <c r="H699" s="3"/>
      <c r="I699" s="3"/>
    </row>
    <row r="700" spans="1:9" ht="15.75" customHeight="1" x14ac:dyDescent="0.2">
      <c r="A700" s="9"/>
      <c r="B700" s="9"/>
      <c r="C700" s="3"/>
      <c r="D700" s="3"/>
      <c r="E700" s="3"/>
      <c r="F700" s="3"/>
      <c r="G700" s="3"/>
      <c r="H700" s="3"/>
      <c r="I700" s="3"/>
    </row>
    <row r="701" spans="1:9" ht="15.75" customHeight="1" x14ac:dyDescent="0.2">
      <c r="A701" s="9"/>
      <c r="B701" s="9"/>
      <c r="C701" s="3"/>
      <c r="D701" s="3"/>
      <c r="E701" s="3"/>
      <c r="F701" s="3"/>
      <c r="G701" s="3"/>
      <c r="H701" s="3"/>
      <c r="I701" s="3"/>
    </row>
    <row r="702" spans="1:9" ht="15.75" customHeight="1" x14ac:dyDescent="0.2">
      <c r="A702" s="9"/>
      <c r="B702" s="9"/>
      <c r="C702" s="3"/>
      <c r="D702" s="3"/>
      <c r="E702" s="3"/>
      <c r="F702" s="3"/>
      <c r="G702" s="3"/>
      <c r="H702" s="3"/>
      <c r="I702" s="3"/>
    </row>
    <row r="703" spans="1:9" ht="15.75" customHeight="1" x14ac:dyDescent="0.2">
      <c r="A703" s="9"/>
      <c r="B703" s="9"/>
      <c r="C703" s="3"/>
      <c r="D703" s="3"/>
      <c r="E703" s="3"/>
      <c r="F703" s="3"/>
      <c r="G703" s="3"/>
      <c r="H703" s="3"/>
      <c r="I703" s="3"/>
    </row>
    <row r="704" spans="1:9" ht="15.75" customHeight="1" x14ac:dyDescent="0.2">
      <c r="A704" s="9"/>
      <c r="B704" s="9"/>
      <c r="C704" s="3"/>
      <c r="D704" s="3"/>
      <c r="E704" s="3"/>
      <c r="F704" s="3"/>
      <c r="G704" s="3"/>
      <c r="H704" s="3"/>
      <c r="I704" s="3"/>
    </row>
    <row r="705" spans="1:9" ht="15.75" customHeight="1" x14ac:dyDescent="0.2">
      <c r="A705" s="9"/>
      <c r="B705" s="9"/>
      <c r="C705" s="3"/>
      <c r="D705" s="3"/>
      <c r="E705" s="3"/>
      <c r="F705" s="3"/>
      <c r="G705" s="3"/>
      <c r="H705" s="3"/>
      <c r="I705" s="3"/>
    </row>
    <row r="706" spans="1:9" ht="15.75" customHeight="1" x14ac:dyDescent="0.2">
      <c r="A706" s="9"/>
      <c r="B706" s="9"/>
      <c r="C706" s="3"/>
      <c r="D706" s="3"/>
      <c r="E706" s="3"/>
      <c r="F706" s="3"/>
      <c r="G706" s="3"/>
      <c r="H706" s="3"/>
      <c r="I706" s="3"/>
    </row>
    <row r="707" spans="1:9" ht="15.75" customHeight="1" x14ac:dyDescent="0.2">
      <c r="A707" s="9"/>
      <c r="B707" s="9"/>
      <c r="C707" s="3"/>
      <c r="D707" s="3"/>
      <c r="E707" s="3"/>
      <c r="F707" s="3"/>
      <c r="G707" s="3"/>
      <c r="H707" s="3"/>
      <c r="I707" s="3"/>
    </row>
    <row r="708" spans="1:9" ht="15.75" customHeight="1" x14ac:dyDescent="0.2">
      <c r="A708" s="9"/>
      <c r="B708" s="9"/>
      <c r="C708" s="3"/>
      <c r="D708" s="3"/>
      <c r="E708" s="3"/>
      <c r="F708" s="3"/>
      <c r="G708" s="3"/>
      <c r="H708" s="3"/>
      <c r="I708" s="3"/>
    </row>
    <row r="709" spans="1:9" ht="15.75" customHeight="1" x14ac:dyDescent="0.2">
      <c r="A709" s="9"/>
      <c r="B709" s="9"/>
      <c r="C709" s="3"/>
      <c r="D709" s="3"/>
      <c r="E709" s="3"/>
      <c r="F709" s="3"/>
      <c r="G709" s="3"/>
      <c r="H709" s="3"/>
      <c r="I709" s="3"/>
    </row>
    <row r="710" spans="1:9" ht="15.75" customHeight="1" x14ac:dyDescent="0.2">
      <c r="A710" s="9"/>
      <c r="B710" s="9"/>
      <c r="C710" s="3"/>
      <c r="D710" s="3"/>
      <c r="E710" s="3"/>
      <c r="F710" s="3"/>
      <c r="G710" s="3"/>
      <c r="H710" s="3"/>
      <c r="I710" s="3"/>
    </row>
    <row r="711" spans="1:9" ht="15.75" customHeight="1" x14ac:dyDescent="0.2">
      <c r="A711" s="9"/>
      <c r="B711" s="9"/>
      <c r="C711" s="3"/>
      <c r="D711" s="3"/>
      <c r="E711" s="3"/>
      <c r="F711" s="3"/>
      <c r="G711" s="3"/>
      <c r="H711" s="3"/>
      <c r="I711" s="3"/>
    </row>
    <row r="712" spans="1:9" ht="15.75" customHeight="1" x14ac:dyDescent="0.2">
      <c r="A712" s="9"/>
      <c r="B712" s="9"/>
      <c r="C712" s="3"/>
      <c r="D712" s="3"/>
      <c r="E712" s="3"/>
      <c r="F712" s="3"/>
      <c r="G712" s="3"/>
      <c r="H712" s="3"/>
      <c r="I712" s="3"/>
    </row>
    <row r="713" spans="1:9" ht="15.75" customHeight="1" x14ac:dyDescent="0.2">
      <c r="A713" s="9"/>
      <c r="B713" s="9"/>
      <c r="C713" s="3"/>
      <c r="D713" s="3"/>
      <c r="E713" s="3"/>
      <c r="F713" s="3"/>
      <c r="G713" s="3"/>
      <c r="H713" s="3"/>
      <c r="I713" s="3"/>
    </row>
    <row r="714" spans="1:9" ht="15.75" customHeight="1" x14ac:dyDescent="0.2">
      <c r="A714" s="9"/>
      <c r="B714" s="9"/>
      <c r="C714" s="3"/>
      <c r="D714" s="3"/>
      <c r="E714" s="3"/>
      <c r="F714" s="3"/>
      <c r="G714" s="3"/>
      <c r="H714" s="3"/>
      <c r="I714" s="3"/>
    </row>
    <row r="715" spans="1:9" ht="15.75" customHeight="1" x14ac:dyDescent="0.2">
      <c r="A715" s="9"/>
      <c r="B715" s="9"/>
      <c r="C715" s="3"/>
      <c r="D715" s="3"/>
      <c r="E715" s="3"/>
      <c r="F715" s="3"/>
      <c r="G715" s="3"/>
      <c r="H715" s="3"/>
      <c r="I715" s="3"/>
    </row>
    <row r="716" spans="1:9" ht="15.75" customHeight="1" x14ac:dyDescent="0.2">
      <c r="A716" s="9"/>
      <c r="B716" s="9"/>
      <c r="C716" s="3"/>
      <c r="D716" s="3"/>
      <c r="E716" s="3"/>
      <c r="F716" s="3"/>
      <c r="G716" s="3"/>
      <c r="H716" s="3"/>
      <c r="I716" s="3"/>
    </row>
    <row r="717" spans="1:9" ht="15.75" customHeight="1" x14ac:dyDescent="0.2">
      <c r="A717" s="9"/>
      <c r="B717" s="9"/>
      <c r="C717" s="3"/>
      <c r="D717" s="3"/>
      <c r="E717" s="3"/>
      <c r="F717" s="3"/>
      <c r="G717" s="3"/>
      <c r="H717" s="3"/>
      <c r="I717" s="3"/>
    </row>
    <row r="718" spans="1:9" ht="15.75" customHeight="1" x14ac:dyDescent="0.2">
      <c r="A718" s="9"/>
      <c r="B718" s="9"/>
      <c r="C718" s="3"/>
      <c r="D718" s="3"/>
      <c r="E718" s="3"/>
      <c r="F718" s="3"/>
      <c r="G718" s="3"/>
      <c r="H718" s="3"/>
      <c r="I718" s="3"/>
    </row>
    <row r="719" spans="1:9" ht="15.75" customHeight="1" x14ac:dyDescent="0.2">
      <c r="A719" s="9"/>
      <c r="B719" s="9"/>
      <c r="C719" s="3"/>
      <c r="D719" s="3"/>
      <c r="E719" s="3"/>
      <c r="F719" s="3"/>
      <c r="G719" s="3"/>
      <c r="H719" s="3"/>
      <c r="I719" s="3"/>
    </row>
    <row r="720" spans="1:9" ht="15.75" customHeight="1" x14ac:dyDescent="0.2">
      <c r="A720" s="9"/>
      <c r="B720" s="9"/>
      <c r="C720" s="3"/>
      <c r="D720" s="3"/>
      <c r="E720" s="3"/>
      <c r="F720" s="3"/>
      <c r="G720" s="3"/>
      <c r="H720" s="3"/>
      <c r="I720" s="3"/>
    </row>
    <row r="721" spans="1:9" ht="15.75" customHeight="1" x14ac:dyDescent="0.2">
      <c r="A721" s="9"/>
      <c r="B721" s="9"/>
      <c r="C721" s="3"/>
      <c r="D721" s="3"/>
      <c r="E721" s="3"/>
      <c r="F721" s="3"/>
      <c r="G721" s="3"/>
      <c r="H721" s="3"/>
      <c r="I721" s="3"/>
    </row>
    <row r="722" spans="1:9" ht="15.75" customHeight="1" x14ac:dyDescent="0.2">
      <c r="A722" s="9"/>
      <c r="B722" s="9"/>
      <c r="C722" s="3"/>
      <c r="D722" s="3"/>
      <c r="E722" s="3"/>
      <c r="F722" s="3"/>
      <c r="G722" s="3"/>
      <c r="H722" s="3"/>
      <c r="I722" s="3"/>
    </row>
    <row r="723" spans="1:9" ht="15.75" customHeight="1" x14ac:dyDescent="0.2">
      <c r="A723" s="9"/>
      <c r="B723" s="9"/>
      <c r="C723" s="3"/>
      <c r="D723" s="3"/>
      <c r="E723" s="3"/>
      <c r="F723" s="3"/>
      <c r="G723" s="3"/>
      <c r="H723" s="3"/>
      <c r="I723" s="3"/>
    </row>
    <row r="724" spans="1:9" ht="15.75" customHeight="1" x14ac:dyDescent="0.2">
      <c r="A724" s="9"/>
      <c r="B724" s="9"/>
      <c r="C724" s="3"/>
      <c r="D724" s="3"/>
      <c r="E724" s="3"/>
      <c r="F724" s="3"/>
      <c r="G724" s="3"/>
      <c r="H724" s="3"/>
      <c r="I724" s="3"/>
    </row>
    <row r="725" spans="1:9" ht="15.75" customHeight="1" x14ac:dyDescent="0.2">
      <c r="A725" s="9"/>
      <c r="B725" s="9"/>
      <c r="C725" s="3"/>
      <c r="D725" s="3"/>
      <c r="E725" s="3"/>
      <c r="F725" s="3"/>
      <c r="G725" s="3"/>
      <c r="H725" s="3"/>
      <c r="I725" s="3"/>
    </row>
    <row r="726" spans="1:9" ht="15.75" customHeight="1" x14ac:dyDescent="0.2">
      <c r="A726" s="9"/>
      <c r="B726" s="9"/>
      <c r="C726" s="3"/>
      <c r="D726" s="3"/>
      <c r="E726" s="3"/>
      <c r="F726" s="3"/>
      <c r="G726" s="3"/>
      <c r="H726" s="3"/>
      <c r="I726" s="3"/>
    </row>
    <row r="727" spans="1:9" ht="15.75" customHeight="1" x14ac:dyDescent="0.2">
      <c r="A727" s="9"/>
      <c r="B727" s="9"/>
      <c r="C727" s="3"/>
      <c r="D727" s="3"/>
      <c r="E727" s="3"/>
      <c r="F727" s="3"/>
      <c r="G727" s="3"/>
      <c r="H727" s="3"/>
      <c r="I727" s="3"/>
    </row>
    <row r="728" spans="1:9" ht="15.75" customHeight="1" x14ac:dyDescent="0.2">
      <c r="A728" s="9"/>
      <c r="B728" s="9"/>
      <c r="C728" s="3"/>
      <c r="D728" s="3"/>
      <c r="E728" s="3"/>
      <c r="F728" s="3"/>
      <c r="G728" s="3"/>
      <c r="H728" s="3"/>
      <c r="I728" s="3"/>
    </row>
    <row r="729" spans="1:9" ht="15.75" customHeight="1" x14ac:dyDescent="0.2">
      <c r="A729" s="9"/>
      <c r="B729" s="9"/>
      <c r="C729" s="3"/>
      <c r="D729" s="3"/>
      <c r="E729" s="3"/>
      <c r="F729" s="3"/>
      <c r="G729" s="3"/>
      <c r="H729" s="3"/>
      <c r="I729" s="3"/>
    </row>
    <row r="730" spans="1:9" ht="15.75" customHeight="1" x14ac:dyDescent="0.2">
      <c r="A730" s="9"/>
      <c r="B730" s="9"/>
      <c r="C730" s="3"/>
      <c r="D730" s="3"/>
      <c r="E730" s="3"/>
      <c r="F730" s="3"/>
      <c r="G730" s="3"/>
      <c r="H730" s="3"/>
      <c r="I730" s="3"/>
    </row>
    <row r="731" spans="1:9" ht="15.75" customHeight="1" x14ac:dyDescent="0.2">
      <c r="A731" s="9"/>
      <c r="B731" s="9"/>
      <c r="C731" s="3"/>
      <c r="D731" s="3"/>
      <c r="E731" s="3"/>
      <c r="F731" s="3"/>
      <c r="G731" s="3"/>
      <c r="H731" s="3"/>
      <c r="I731" s="3"/>
    </row>
    <row r="732" spans="1:9" ht="15.75" customHeight="1" x14ac:dyDescent="0.2">
      <c r="A732" s="9"/>
      <c r="B732" s="9"/>
      <c r="C732" s="3"/>
      <c r="D732" s="3"/>
      <c r="E732" s="3"/>
      <c r="F732" s="3"/>
      <c r="G732" s="3"/>
      <c r="H732" s="3"/>
      <c r="I732" s="3"/>
    </row>
    <row r="733" spans="1:9" ht="15.75" customHeight="1" x14ac:dyDescent="0.2">
      <c r="A733" s="9"/>
      <c r="B733" s="9"/>
      <c r="C733" s="3"/>
      <c r="D733" s="3"/>
      <c r="E733" s="3"/>
      <c r="F733" s="3"/>
      <c r="G733" s="3"/>
      <c r="H733" s="3"/>
      <c r="I733" s="3"/>
    </row>
    <row r="734" spans="1:9" ht="15.75" customHeight="1" x14ac:dyDescent="0.2">
      <c r="A734" s="9"/>
      <c r="B734" s="9"/>
      <c r="C734" s="3"/>
      <c r="D734" s="3"/>
      <c r="E734" s="3"/>
      <c r="F734" s="3"/>
      <c r="G734" s="3"/>
      <c r="H734" s="3"/>
      <c r="I734" s="3"/>
    </row>
    <row r="735" spans="1:9" ht="15.75" customHeight="1" x14ac:dyDescent="0.2">
      <c r="A735" s="9"/>
      <c r="B735" s="9"/>
      <c r="C735" s="3"/>
      <c r="D735" s="3"/>
      <c r="E735" s="3"/>
      <c r="F735" s="3"/>
      <c r="G735" s="3"/>
      <c r="H735" s="3"/>
      <c r="I735" s="3"/>
    </row>
    <row r="736" spans="1:9" ht="15.75" customHeight="1" x14ac:dyDescent="0.2">
      <c r="A736" s="9"/>
      <c r="B736" s="9"/>
      <c r="C736" s="3"/>
      <c r="D736" s="3"/>
      <c r="E736" s="3"/>
      <c r="F736" s="3"/>
      <c r="G736" s="3"/>
      <c r="H736" s="3"/>
      <c r="I736" s="3"/>
    </row>
    <row r="737" spans="1:9" ht="15.75" customHeight="1" x14ac:dyDescent="0.2">
      <c r="A737" s="9"/>
      <c r="B737" s="9"/>
      <c r="C737" s="3"/>
      <c r="D737" s="3"/>
      <c r="E737" s="3"/>
      <c r="F737" s="3"/>
      <c r="G737" s="3"/>
      <c r="H737" s="3"/>
      <c r="I737" s="3"/>
    </row>
    <row r="738" spans="1:9" ht="15.75" customHeight="1" x14ac:dyDescent="0.2">
      <c r="A738" s="9"/>
      <c r="B738" s="9"/>
      <c r="C738" s="3"/>
      <c r="D738" s="3"/>
      <c r="E738" s="3"/>
      <c r="F738" s="3"/>
      <c r="G738" s="3"/>
      <c r="H738" s="3"/>
      <c r="I738" s="3"/>
    </row>
    <row r="739" spans="1:9" ht="15.75" customHeight="1" x14ac:dyDescent="0.2">
      <c r="A739" s="9"/>
      <c r="B739" s="9"/>
      <c r="C739" s="3"/>
      <c r="D739" s="3"/>
      <c r="E739" s="3"/>
      <c r="F739" s="3"/>
      <c r="G739" s="3"/>
      <c r="H739" s="3"/>
      <c r="I739" s="3"/>
    </row>
    <row r="740" spans="1:9" ht="15.75" customHeight="1" x14ac:dyDescent="0.2">
      <c r="A740" s="9"/>
      <c r="B740" s="9"/>
      <c r="C740" s="3"/>
      <c r="D740" s="3"/>
      <c r="E740" s="3"/>
      <c r="F740" s="3"/>
      <c r="G740" s="3"/>
      <c r="H740" s="3"/>
      <c r="I740" s="3"/>
    </row>
    <row r="741" spans="1:9" ht="15.75" customHeight="1" x14ac:dyDescent="0.2">
      <c r="A741" s="9"/>
      <c r="B741" s="9"/>
      <c r="C741" s="3"/>
      <c r="D741" s="3"/>
      <c r="E741" s="3"/>
      <c r="F741" s="3"/>
      <c r="G741" s="3"/>
      <c r="H741" s="3"/>
      <c r="I741" s="3"/>
    </row>
    <row r="742" spans="1:9" ht="15.75" customHeight="1" x14ac:dyDescent="0.2">
      <c r="A742" s="9"/>
      <c r="B742" s="9"/>
      <c r="C742" s="3"/>
      <c r="D742" s="3"/>
      <c r="E742" s="3"/>
      <c r="F742" s="3"/>
      <c r="G742" s="3"/>
      <c r="H742" s="3"/>
      <c r="I742" s="3"/>
    </row>
    <row r="743" spans="1:9" ht="15.75" customHeight="1" x14ac:dyDescent="0.2">
      <c r="A743" s="9"/>
      <c r="B743" s="9"/>
      <c r="C743" s="3"/>
      <c r="D743" s="3"/>
      <c r="E743" s="3"/>
      <c r="F743" s="3"/>
      <c r="G743" s="3"/>
      <c r="H743" s="3"/>
      <c r="I743" s="3"/>
    </row>
    <row r="744" spans="1:9" ht="15.75" customHeight="1" x14ac:dyDescent="0.2">
      <c r="A744" s="9"/>
      <c r="B744" s="9"/>
      <c r="C744" s="3"/>
      <c r="D744" s="3"/>
      <c r="E744" s="3"/>
      <c r="F744" s="3"/>
      <c r="G744" s="3"/>
      <c r="H744" s="3"/>
      <c r="I744" s="3"/>
    </row>
    <row r="745" spans="1:9" ht="15.75" customHeight="1" x14ac:dyDescent="0.2">
      <c r="A745" s="9"/>
      <c r="B745" s="9"/>
      <c r="C745" s="3"/>
      <c r="D745" s="3"/>
      <c r="E745" s="3"/>
      <c r="F745" s="3"/>
      <c r="G745" s="3"/>
      <c r="H745" s="3"/>
      <c r="I745" s="3"/>
    </row>
    <row r="746" spans="1:9" ht="15.75" customHeight="1" x14ac:dyDescent="0.2">
      <c r="A746" s="9"/>
      <c r="B746" s="9"/>
      <c r="C746" s="3"/>
      <c r="D746" s="3"/>
      <c r="E746" s="3"/>
      <c r="F746" s="3"/>
      <c r="G746" s="3"/>
      <c r="H746" s="3"/>
      <c r="I746" s="3"/>
    </row>
    <row r="747" spans="1:9" ht="15.75" customHeight="1" x14ac:dyDescent="0.2">
      <c r="A747" s="9"/>
      <c r="B747" s="9"/>
      <c r="C747" s="3"/>
      <c r="D747" s="3"/>
      <c r="E747" s="3"/>
      <c r="F747" s="3"/>
      <c r="G747" s="3"/>
      <c r="H747" s="3"/>
      <c r="I747" s="3"/>
    </row>
    <row r="748" spans="1:9" ht="15.75" customHeight="1" x14ac:dyDescent="0.2">
      <c r="A748" s="9"/>
      <c r="B748" s="9"/>
      <c r="C748" s="3"/>
      <c r="D748" s="3"/>
      <c r="E748" s="3"/>
      <c r="F748" s="3"/>
      <c r="G748" s="3"/>
      <c r="H748" s="3"/>
      <c r="I748" s="3"/>
    </row>
    <row r="749" spans="1:9" ht="15.75" customHeight="1" x14ac:dyDescent="0.2">
      <c r="A749" s="9"/>
      <c r="B749" s="9"/>
      <c r="C749" s="3"/>
      <c r="D749" s="3"/>
      <c r="E749" s="3"/>
      <c r="F749" s="3"/>
      <c r="G749" s="3"/>
      <c r="H749" s="3"/>
      <c r="I749" s="3"/>
    </row>
    <row r="750" spans="1:9" ht="15.75" customHeight="1" x14ac:dyDescent="0.2">
      <c r="A750" s="9"/>
      <c r="B750" s="9"/>
      <c r="C750" s="3"/>
      <c r="D750" s="3"/>
      <c r="E750" s="3"/>
      <c r="F750" s="3"/>
      <c r="G750" s="3"/>
      <c r="H750" s="3"/>
      <c r="I750" s="3"/>
    </row>
    <row r="751" spans="1:9" ht="15.75" customHeight="1" x14ac:dyDescent="0.2">
      <c r="A751" s="9"/>
      <c r="B751" s="9"/>
      <c r="C751" s="3"/>
      <c r="D751" s="3"/>
      <c r="E751" s="3"/>
      <c r="F751" s="3"/>
      <c r="G751" s="3"/>
      <c r="H751" s="3"/>
      <c r="I751" s="3"/>
    </row>
    <row r="752" spans="1:9" ht="15.75" customHeight="1" x14ac:dyDescent="0.2">
      <c r="A752" s="9"/>
      <c r="B752" s="9"/>
      <c r="C752" s="3"/>
      <c r="D752" s="3"/>
      <c r="E752" s="3"/>
      <c r="F752" s="3"/>
      <c r="G752" s="3"/>
      <c r="H752" s="3"/>
      <c r="I752" s="3"/>
    </row>
    <row r="753" spans="1:9" ht="15.75" customHeight="1" x14ac:dyDescent="0.2">
      <c r="A753" s="9"/>
      <c r="B753" s="9"/>
      <c r="C753" s="3"/>
      <c r="D753" s="3"/>
      <c r="E753" s="3"/>
      <c r="F753" s="3"/>
      <c r="G753" s="3"/>
      <c r="H753" s="3"/>
      <c r="I753" s="3"/>
    </row>
    <row r="754" spans="1:9" ht="15.75" customHeight="1" x14ac:dyDescent="0.2">
      <c r="A754" s="9"/>
      <c r="B754" s="9"/>
      <c r="C754" s="3"/>
      <c r="D754" s="3"/>
      <c r="E754" s="3"/>
      <c r="F754" s="3"/>
      <c r="G754" s="3"/>
      <c r="H754" s="3"/>
      <c r="I754" s="3"/>
    </row>
    <row r="755" spans="1:9" ht="15.75" customHeight="1" x14ac:dyDescent="0.2">
      <c r="A755" s="9"/>
      <c r="B755" s="9"/>
      <c r="C755" s="3"/>
      <c r="D755" s="3"/>
      <c r="E755" s="3"/>
      <c r="F755" s="3"/>
      <c r="G755" s="3"/>
      <c r="H755" s="3"/>
      <c r="I755" s="3"/>
    </row>
    <row r="756" spans="1:9" ht="15.75" customHeight="1" x14ac:dyDescent="0.2">
      <c r="A756" s="9"/>
      <c r="B756" s="9"/>
      <c r="C756" s="3"/>
      <c r="D756" s="3"/>
      <c r="E756" s="3"/>
      <c r="F756" s="3"/>
      <c r="G756" s="3"/>
      <c r="H756" s="3"/>
      <c r="I756" s="3"/>
    </row>
    <row r="757" spans="1:9" ht="15.75" customHeight="1" x14ac:dyDescent="0.2">
      <c r="A757" s="9"/>
      <c r="B757" s="9"/>
      <c r="C757" s="3"/>
      <c r="D757" s="3"/>
      <c r="E757" s="3"/>
      <c r="F757" s="3"/>
      <c r="G757" s="3"/>
      <c r="H757" s="3"/>
      <c r="I757" s="3"/>
    </row>
    <row r="758" spans="1:9" ht="15.75" customHeight="1" x14ac:dyDescent="0.2">
      <c r="A758" s="9"/>
      <c r="B758" s="9"/>
      <c r="C758" s="3"/>
      <c r="D758" s="3"/>
      <c r="E758" s="3"/>
      <c r="F758" s="3"/>
      <c r="G758" s="3"/>
      <c r="H758" s="3"/>
      <c r="I758" s="3"/>
    </row>
    <row r="759" spans="1:9" ht="15.75" customHeight="1" x14ac:dyDescent="0.2">
      <c r="A759" s="9"/>
      <c r="B759" s="9"/>
      <c r="C759" s="3"/>
      <c r="D759" s="3"/>
      <c r="E759" s="3"/>
      <c r="F759" s="3"/>
      <c r="G759" s="3"/>
      <c r="H759" s="3"/>
      <c r="I759" s="3"/>
    </row>
    <row r="760" spans="1:9" ht="15.75" customHeight="1" x14ac:dyDescent="0.2">
      <c r="A760" s="9"/>
      <c r="B760" s="9"/>
      <c r="C760" s="3"/>
      <c r="D760" s="3"/>
      <c r="E760" s="3"/>
      <c r="F760" s="3"/>
      <c r="G760" s="3"/>
      <c r="H760" s="3"/>
      <c r="I760" s="3"/>
    </row>
    <row r="761" spans="1:9" ht="15.75" customHeight="1" x14ac:dyDescent="0.2">
      <c r="A761" s="9"/>
      <c r="B761" s="9"/>
      <c r="C761" s="3"/>
      <c r="D761" s="3"/>
      <c r="E761" s="3"/>
      <c r="F761" s="3"/>
      <c r="G761" s="3"/>
      <c r="H761" s="3"/>
      <c r="I761" s="3"/>
    </row>
    <row r="762" spans="1:9" ht="15.75" customHeight="1" x14ac:dyDescent="0.2">
      <c r="A762" s="9"/>
      <c r="B762" s="9"/>
      <c r="C762" s="3"/>
      <c r="D762" s="3"/>
      <c r="E762" s="3"/>
      <c r="F762" s="3"/>
      <c r="G762" s="3"/>
      <c r="H762" s="3"/>
      <c r="I762" s="3"/>
    </row>
    <row r="763" spans="1:9" ht="15.75" customHeight="1" x14ac:dyDescent="0.2">
      <c r="A763" s="9"/>
      <c r="B763" s="9"/>
      <c r="C763" s="3"/>
      <c r="D763" s="3"/>
      <c r="E763" s="3"/>
      <c r="F763" s="3"/>
      <c r="G763" s="3"/>
      <c r="H763" s="3"/>
      <c r="I763" s="3"/>
    </row>
    <row r="764" spans="1:9" ht="15.75" customHeight="1" x14ac:dyDescent="0.2">
      <c r="A764" s="9"/>
      <c r="B764" s="9"/>
      <c r="C764" s="3"/>
      <c r="D764" s="3"/>
      <c r="E764" s="3"/>
      <c r="F764" s="3"/>
      <c r="G764" s="3"/>
      <c r="H764" s="3"/>
      <c r="I764" s="3"/>
    </row>
    <row r="765" spans="1:9" ht="15.75" customHeight="1" x14ac:dyDescent="0.2">
      <c r="A765" s="9"/>
      <c r="B765" s="9"/>
      <c r="C765" s="3"/>
      <c r="D765" s="3"/>
      <c r="E765" s="3"/>
      <c r="F765" s="3"/>
      <c r="G765" s="3"/>
      <c r="H765" s="3"/>
      <c r="I765" s="3"/>
    </row>
    <row r="766" spans="1:9" ht="15.75" customHeight="1" x14ac:dyDescent="0.2">
      <c r="A766" s="9"/>
      <c r="B766" s="9"/>
      <c r="C766" s="3"/>
      <c r="D766" s="3"/>
      <c r="E766" s="3"/>
      <c r="F766" s="3"/>
      <c r="G766" s="3"/>
      <c r="H766" s="3"/>
      <c r="I766" s="3"/>
    </row>
    <row r="767" spans="1:9" ht="15.75" customHeight="1" x14ac:dyDescent="0.2">
      <c r="A767" s="9"/>
      <c r="B767" s="9"/>
      <c r="C767" s="3"/>
      <c r="D767" s="3"/>
      <c r="E767" s="3"/>
      <c r="F767" s="3"/>
      <c r="G767" s="3"/>
      <c r="H767" s="3"/>
      <c r="I767" s="3"/>
    </row>
    <row r="768" spans="1:9" ht="15.75" customHeight="1" x14ac:dyDescent="0.2">
      <c r="A768" s="9"/>
      <c r="B768" s="9"/>
      <c r="C768" s="3"/>
      <c r="D768" s="3"/>
      <c r="E768" s="3"/>
      <c r="F768" s="3"/>
      <c r="G768" s="3"/>
      <c r="H768" s="3"/>
      <c r="I768" s="3"/>
    </row>
    <row r="769" spans="1:9" ht="15.75" customHeight="1" x14ac:dyDescent="0.2">
      <c r="A769" s="9"/>
      <c r="B769" s="9"/>
      <c r="C769" s="3"/>
      <c r="D769" s="3"/>
      <c r="E769" s="3"/>
      <c r="F769" s="3"/>
      <c r="G769" s="3"/>
      <c r="H769" s="3"/>
      <c r="I769" s="3"/>
    </row>
    <row r="770" spans="1:9" ht="15.75" customHeight="1" x14ac:dyDescent="0.2">
      <c r="A770" s="9"/>
      <c r="B770" s="9"/>
      <c r="C770" s="3"/>
      <c r="D770" s="3"/>
      <c r="E770" s="3"/>
      <c r="F770" s="3"/>
      <c r="G770" s="3"/>
      <c r="H770" s="3"/>
      <c r="I770" s="3"/>
    </row>
    <row r="771" spans="1:9" ht="15.75" customHeight="1" x14ac:dyDescent="0.2">
      <c r="A771" s="9"/>
      <c r="B771" s="9"/>
      <c r="C771" s="3"/>
      <c r="D771" s="3"/>
      <c r="E771" s="3"/>
      <c r="F771" s="3"/>
      <c r="G771" s="3"/>
      <c r="H771" s="3"/>
      <c r="I771" s="3"/>
    </row>
    <row r="772" spans="1:9" ht="15.75" customHeight="1" x14ac:dyDescent="0.2">
      <c r="A772" s="9"/>
      <c r="B772" s="9"/>
      <c r="C772" s="3"/>
      <c r="D772" s="3"/>
      <c r="E772" s="3"/>
      <c r="F772" s="3"/>
      <c r="G772" s="3"/>
      <c r="H772" s="3"/>
      <c r="I772" s="3"/>
    </row>
    <row r="773" spans="1:9" ht="15.75" customHeight="1" x14ac:dyDescent="0.2">
      <c r="A773" s="9"/>
      <c r="B773" s="9"/>
      <c r="C773" s="3"/>
      <c r="D773" s="3"/>
      <c r="E773" s="3"/>
      <c r="F773" s="3"/>
      <c r="G773" s="3"/>
      <c r="H773" s="3"/>
      <c r="I773" s="3"/>
    </row>
    <row r="774" spans="1:9" ht="15.75" customHeight="1" x14ac:dyDescent="0.2">
      <c r="A774" s="9"/>
      <c r="B774" s="9"/>
      <c r="C774" s="3"/>
      <c r="D774" s="3"/>
      <c r="E774" s="3"/>
      <c r="F774" s="3"/>
      <c r="G774" s="3"/>
      <c r="H774" s="3"/>
      <c r="I774" s="3"/>
    </row>
    <row r="775" spans="1:9" ht="15.75" customHeight="1" x14ac:dyDescent="0.2">
      <c r="A775" s="9"/>
      <c r="B775" s="9"/>
      <c r="C775" s="3"/>
      <c r="D775" s="3"/>
      <c r="E775" s="3"/>
      <c r="F775" s="3"/>
      <c r="G775" s="3"/>
      <c r="H775" s="3"/>
      <c r="I775" s="3"/>
    </row>
    <row r="776" spans="1:9" ht="15.75" customHeight="1" x14ac:dyDescent="0.2">
      <c r="A776" s="9"/>
      <c r="B776" s="9"/>
      <c r="C776" s="3"/>
      <c r="D776" s="3"/>
      <c r="E776" s="3"/>
      <c r="F776" s="3"/>
      <c r="G776" s="3"/>
      <c r="H776" s="3"/>
      <c r="I776" s="3"/>
    </row>
    <row r="777" spans="1:9" ht="15.75" customHeight="1" x14ac:dyDescent="0.2">
      <c r="A777" s="9"/>
      <c r="B777" s="9"/>
      <c r="C777" s="3"/>
      <c r="D777" s="3"/>
      <c r="E777" s="3"/>
      <c r="F777" s="3"/>
      <c r="G777" s="3"/>
      <c r="H777" s="3"/>
      <c r="I777" s="3"/>
    </row>
    <row r="778" spans="1:9" ht="15.75" customHeight="1" x14ac:dyDescent="0.2">
      <c r="A778" s="9"/>
      <c r="B778" s="9"/>
      <c r="C778" s="3"/>
      <c r="D778" s="3"/>
      <c r="E778" s="3"/>
      <c r="F778" s="3"/>
      <c r="G778" s="3"/>
      <c r="H778" s="3"/>
      <c r="I778" s="3"/>
    </row>
    <row r="779" spans="1:9" ht="15.75" customHeight="1" x14ac:dyDescent="0.2">
      <c r="A779" s="9"/>
      <c r="B779" s="9"/>
      <c r="C779" s="3"/>
      <c r="D779" s="3"/>
      <c r="E779" s="3"/>
      <c r="F779" s="3"/>
      <c r="G779" s="3"/>
      <c r="H779" s="3"/>
      <c r="I779" s="3"/>
    </row>
    <row r="780" spans="1:9" ht="15.75" customHeight="1" x14ac:dyDescent="0.2">
      <c r="A780" s="9"/>
      <c r="B780" s="9"/>
      <c r="C780" s="3"/>
      <c r="D780" s="3"/>
      <c r="E780" s="3"/>
      <c r="F780" s="3"/>
      <c r="G780" s="3"/>
      <c r="H780" s="3"/>
      <c r="I780" s="3"/>
    </row>
    <row r="781" spans="1:9" ht="15.75" customHeight="1" x14ac:dyDescent="0.2">
      <c r="A781" s="9"/>
      <c r="B781" s="9"/>
      <c r="C781" s="3"/>
      <c r="D781" s="3"/>
      <c r="E781" s="3"/>
      <c r="F781" s="3"/>
      <c r="G781" s="3"/>
      <c r="H781" s="3"/>
      <c r="I781" s="3"/>
    </row>
    <row r="782" spans="1:9" ht="15.75" customHeight="1" x14ac:dyDescent="0.2">
      <c r="A782" s="9"/>
      <c r="B782" s="9"/>
      <c r="C782" s="3"/>
      <c r="D782" s="3"/>
      <c r="E782" s="3"/>
      <c r="F782" s="3"/>
      <c r="G782" s="3"/>
      <c r="H782" s="3"/>
      <c r="I782" s="3"/>
    </row>
    <row r="783" spans="1:9" ht="15.75" customHeight="1" x14ac:dyDescent="0.2">
      <c r="A783" s="9"/>
      <c r="B783" s="9"/>
      <c r="C783" s="3"/>
      <c r="D783" s="3"/>
      <c r="E783" s="3"/>
      <c r="F783" s="3"/>
      <c r="G783" s="3"/>
      <c r="H783" s="3"/>
      <c r="I783" s="3"/>
    </row>
    <row r="784" spans="1:9" ht="15.75" customHeight="1" x14ac:dyDescent="0.2">
      <c r="A784" s="9"/>
      <c r="B784" s="9"/>
      <c r="C784" s="3"/>
      <c r="D784" s="3"/>
      <c r="E784" s="3"/>
      <c r="F784" s="3"/>
      <c r="G784" s="3"/>
      <c r="H784" s="3"/>
      <c r="I784" s="3"/>
    </row>
    <row r="785" spans="1:9" ht="15.75" customHeight="1" x14ac:dyDescent="0.2">
      <c r="A785" s="9"/>
      <c r="B785" s="9"/>
      <c r="C785" s="3"/>
      <c r="D785" s="3"/>
      <c r="E785" s="3"/>
      <c r="F785" s="3"/>
      <c r="G785" s="3"/>
      <c r="H785" s="3"/>
      <c r="I785" s="3"/>
    </row>
    <row r="786" spans="1:9" ht="15.75" customHeight="1" x14ac:dyDescent="0.2">
      <c r="A786" s="9"/>
      <c r="B786" s="9"/>
      <c r="C786" s="3"/>
      <c r="D786" s="3"/>
      <c r="E786" s="3"/>
      <c r="F786" s="3"/>
      <c r="G786" s="3"/>
      <c r="H786" s="3"/>
      <c r="I786" s="3"/>
    </row>
    <row r="787" spans="1:9" ht="15.75" customHeight="1" x14ac:dyDescent="0.2">
      <c r="A787" s="9"/>
      <c r="B787" s="9"/>
      <c r="C787" s="3"/>
      <c r="D787" s="3"/>
      <c r="E787" s="3"/>
      <c r="F787" s="3"/>
      <c r="G787" s="3"/>
      <c r="H787" s="3"/>
      <c r="I787" s="3"/>
    </row>
    <row r="788" spans="1:9" ht="15.75" customHeight="1" x14ac:dyDescent="0.2">
      <c r="A788" s="9"/>
      <c r="B788" s="9"/>
      <c r="C788" s="3"/>
      <c r="D788" s="3"/>
      <c r="E788" s="3"/>
      <c r="F788" s="3"/>
      <c r="G788" s="3"/>
      <c r="H788" s="3"/>
      <c r="I788" s="3"/>
    </row>
    <row r="789" spans="1:9" ht="15.75" customHeight="1" x14ac:dyDescent="0.2">
      <c r="A789" s="9"/>
      <c r="B789" s="9"/>
      <c r="C789" s="3"/>
      <c r="D789" s="3"/>
      <c r="E789" s="3"/>
      <c r="F789" s="3"/>
      <c r="G789" s="3"/>
      <c r="H789" s="3"/>
      <c r="I789" s="3"/>
    </row>
    <row r="790" spans="1:9" ht="15.75" customHeight="1" x14ac:dyDescent="0.2">
      <c r="A790" s="9"/>
      <c r="B790" s="9"/>
      <c r="C790" s="3"/>
      <c r="D790" s="3"/>
      <c r="E790" s="3"/>
      <c r="F790" s="3"/>
      <c r="G790" s="3"/>
      <c r="H790" s="3"/>
      <c r="I790" s="3"/>
    </row>
    <row r="791" spans="1:9" ht="15.75" customHeight="1" x14ac:dyDescent="0.2">
      <c r="A791" s="9"/>
      <c r="B791" s="9"/>
      <c r="C791" s="3"/>
      <c r="D791" s="3"/>
      <c r="E791" s="3"/>
      <c r="F791" s="3"/>
      <c r="G791" s="3"/>
      <c r="H791" s="3"/>
      <c r="I791" s="3"/>
    </row>
    <row r="792" spans="1:9" ht="15.75" customHeight="1" x14ac:dyDescent="0.2">
      <c r="A792" s="9"/>
      <c r="B792" s="9"/>
      <c r="C792" s="3"/>
      <c r="D792" s="3"/>
      <c r="E792" s="3"/>
      <c r="F792" s="3"/>
      <c r="G792" s="3"/>
      <c r="H792" s="3"/>
      <c r="I792" s="3"/>
    </row>
    <row r="793" spans="1:9" ht="15.75" customHeight="1" x14ac:dyDescent="0.2">
      <c r="A793" s="9"/>
      <c r="B793" s="9"/>
      <c r="C793" s="3"/>
      <c r="D793" s="3"/>
      <c r="E793" s="3"/>
      <c r="F793" s="3"/>
      <c r="G793" s="3"/>
      <c r="H793" s="3"/>
      <c r="I793" s="3"/>
    </row>
    <row r="794" spans="1:9" ht="15.75" customHeight="1" x14ac:dyDescent="0.2">
      <c r="A794" s="9"/>
      <c r="B794" s="9"/>
      <c r="C794" s="3"/>
      <c r="D794" s="3"/>
      <c r="E794" s="3"/>
      <c r="F794" s="3"/>
      <c r="G794" s="3"/>
      <c r="H794" s="3"/>
      <c r="I794" s="3"/>
    </row>
    <row r="795" spans="1:9" ht="15.75" customHeight="1" x14ac:dyDescent="0.2">
      <c r="A795" s="9"/>
      <c r="B795" s="9"/>
      <c r="C795" s="3"/>
      <c r="D795" s="3"/>
      <c r="E795" s="3"/>
      <c r="F795" s="3"/>
      <c r="G795" s="3"/>
      <c r="H795" s="3"/>
      <c r="I795" s="3"/>
    </row>
    <row r="796" spans="1:9" ht="15.75" customHeight="1" x14ac:dyDescent="0.2">
      <c r="A796" s="9"/>
      <c r="B796" s="9"/>
      <c r="C796" s="3"/>
      <c r="D796" s="3"/>
      <c r="E796" s="3"/>
      <c r="F796" s="3"/>
      <c r="G796" s="3"/>
      <c r="H796" s="3"/>
      <c r="I796" s="3"/>
    </row>
    <row r="797" spans="1:9" ht="15.75" customHeight="1" x14ac:dyDescent="0.2">
      <c r="A797" s="9"/>
      <c r="B797" s="9"/>
      <c r="C797" s="3"/>
      <c r="D797" s="3"/>
      <c r="E797" s="3"/>
      <c r="F797" s="3"/>
      <c r="G797" s="3"/>
      <c r="H797" s="3"/>
      <c r="I797" s="3"/>
    </row>
    <row r="798" spans="1:9" ht="15.75" customHeight="1" x14ac:dyDescent="0.2">
      <c r="A798" s="9"/>
      <c r="B798" s="9"/>
      <c r="C798" s="3"/>
      <c r="D798" s="3"/>
      <c r="E798" s="3"/>
      <c r="F798" s="3"/>
      <c r="G798" s="3"/>
      <c r="H798" s="3"/>
      <c r="I798" s="3"/>
    </row>
    <row r="799" spans="1:9" ht="15.75" customHeight="1" x14ac:dyDescent="0.2">
      <c r="A799" s="9"/>
      <c r="B799" s="9"/>
      <c r="C799" s="3"/>
      <c r="D799" s="3"/>
      <c r="E799" s="3"/>
      <c r="F799" s="3"/>
      <c r="G799" s="3"/>
      <c r="H799" s="3"/>
      <c r="I799" s="3"/>
    </row>
    <row r="800" spans="1:9" ht="15.75" customHeight="1" x14ac:dyDescent="0.2">
      <c r="A800" s="9"/>
      <c r="B800" s="9"/>
      <c r="C800" s="3"/>
      <c r="D800" s="3"/>
      <c r="E800" s="3"/>
      <c r="F800" s="3"/>
      <c r="G800" s="3"/>
      <c r="H800" s="3"/>
      <c r="I800" s="3"/>
    </row>
    <row r="801" spans="1:9" ht="15.75" customHeight="1" x14ac:dyDescent="0.2">
      <c r="A801" s="9"/>
      <c r="B801" s="9"/>
      <c r="C801" s="3"/>
      <c r="D801" s="3"/>
      <c r="E801" s="3"/>
      <c r="F801" s="3"/>
      <c r="G801" s="3"/>
      <c r="H801" s="3"/>
      <c r="I801" s="3"/>
    </row>
    <row r="802" spans="1:9" ht="15.75" customHeight="1" x14ac:dyDescent="0.2">
      <c r="A802" s="9"/>
      <c r="B802" s="9"/>
      <c r="C802" s="3"/>
      <c r="D802" s="3"/>
      <c r="E802" s="3"/>
      <c r="F802" s="3"/>
      <c r="G802" s="3"/>
      <c r="H802" s="3"/>
      <c r="I802" s="3"/>
    </row>
    <row r="803" spans="1:9" ht="15.75" customHeight="1" x14ac:dyDescent="0.2">
      <c r="A803" s="9"/>
      <c r="B803" s="9"/>
      <c r="C803" s="3"/>
      <c r="D803" s="3"/>
      <c r="E803" s="3"/>
      <c r="F803" s="3"/>
      <c r="G803" s="3"/>
      <c r="H803" s="3"/>
      <c r="I803" s="3"/>
    </row>
    <row r="804" spans="1:9" ht="15.75" customHeight="1" x14ac:dyDescent="0.2">
      <c r="A804" s="9"/>
      <c r="B804" s="9"/>
      <c r="C804" s="3"/>
      <c r="D804" s="3"/>
      <c r="E804" s="3"/>
      <c r="F804" s="3"/>
      <c r="G804" s="3"/>
      <c r="H804" s="3"/>
      <c r="I804" s="3"/>
    </row>
    <row r="805" spans="1:9" ht="15.75" customHeight="1" x14ac:dyDescent="0.2">
      <c r="A805" s="9"/>
      <c r="B805" s="9"/>
      <c r="C805" s="3"/>
      <c r="D805" s="3"/>
      <c r="E805" s="3"/>
      <c r="F805" s="3"/>
      <c r="G805" s="3"/>
      <c r="H805" s="3"/>
      <c r="I805" s="3"/>
    </row>
    <row r="806" spans="1:9" ht="15.75" customHeight="1" x14ac:dyDescent="0.2">
      <c r="A806" s="9"/>
      <c r="B806" s="9"/>
      <c r="C806" s="3"/>
      <c r="D806" s="3"/>
      <c r="E806" s="3"/>
      <c r="F806" s="3"/>
      <c r="G806" s="3"/>
      <c r="H806" s="3"/>
      <c r="I806" s="3"/>
    </row>
    <row r="807" spans="1:9" ht="15.75" customHeight="1" x14ac:dyDescent="0.2">
      <c r="A807" s="9"/>
      <c r="B807" s="9"/>
      <c r="C807" s="3"/>
      <c r="D807" s="3"/>
      <c r="E807" s="3"/>
      <c r="F807" s="3"/>
      <c r="G807" s="3"/>
      <c r="H807" s="3"/>
      <c r="I807" s="3"/>
    </row>
    <row r="808" spans="1:9" ht="15.75" customHeight="1" x14ac:dyDescent="0.2">
      <c r="A808" s="9"/>
      <c r="B808" s="9"/>
      <c r="C808" s="3"/>
      <c r="D808" s="3"/>
      <c r="E808" s="3"/>
      <c r="F808" s="3"/>
      <c r="G808" s="3"/>
      <c r="H808" s="3"/>
      <c r="I808" s="3"/>
    </row>
    <row r="809" spans="1:9" ht="15.75" customHeight="1" x14ac:dyDescent="0.2">
      <c r="A809" s="9"/>
      <c r="B809" s="9"/>
      <c r="C809" s="3"/>
      <c r="D809" s="3"/>
      <c r="E809" s="3"/>
      <c r="F809" s="3"/>
      <c r="G809" s="3"/>
      <c r="H809" s="3"/>
      <c r="I809" s="3"/>
    </row>
    <row r="810" spans="1:9" ht="15.75" customHeight="1" x14ac:dyDescent="0.2">
      <c r="A810" s="9"/>
      <c r="B810" s="9"/>
      <c r="C810" s="3"/>
      <c r="D810" s="3"/>
      <c r="E810" s="3"/>
      <c r="F810" s="3"/>
      <c r="G810" s="3"/>
      <c r="H810" s="3"/>
      <c r="I810" s="3"/>
    </row>
    <row r="811" spans="1:9" ht="15.75" customHeight="1" x14ac:dyDescent="0.2">
      <c r="A811" s="9"/>
      <c r="B811" s="9"/>
      <c r="C811" s="3"/>
      <c r="D811" s="3"/>
      <c r="E811" s="3"/>
      <c r="F811" s="3"/>
      <c r="G811" s="3"/>
      <c r="H811" s="3"/>
      <c r="I811" s="3"/>
    </row>
    <row r="812" spans="1:9" ht="15.75" customHeight="1" x14ac:dyDescent="0.2">
      <c r="A812" s="9"/>
      <c r="B812" s="9"/>
      <c r="C812" s="3"/>
      <c r="D812" s="3"/>
      <c r="E812" s="3"/>
      <c r="F812" s="3"/>
      <c r="G812" s="3"/>
      <c r="H812" s="3"/>
      <c r="I812" s="3"/>
    </row>
    <row r="813" spans="1:9" ht="15.75" customHeight="1" x14ac:dyDescent="0.2">
      <c r="A813" s="9"/>
      <c r="B813" s="9"/>
      <c r="C813" s="3"/>
      <c r="D813" s="3"/>
      <c r="E813" s="3"/>
      <c r="F813" s="3"/>
      <c r="G813" s="3"/>
      <c r="H813" s="3"/>
      <c r="I813" s="3"/>
    </row>
    <row r="814" spans="1:9" ht="15.75" customHeight="1" x14ac:dyDescent="0.2">
      <c r="A814" s="9"/>
      <c r="B814" s="9"/>
      <c r="C814" s="3"/>
      <c r="D814" s="3"/>
      <c r="E814" s="3"/>
      <c r="F814" s="3"/>
      <c r="G814" s="3"/>
      <c r="H814" s="3"/>
      <c r="I814" s="3"/>
    </row>
    <row r="815" spans="1:9" ht="15.75" customHeight="1" x14ac:dyDescent="0.2">
      <c r="A815" s="9"/>
      <c r="B815" s="9"/>
      <c r="C815" s="3"/>
      <c r="D815" s="3"/>
      <c r="E815" s="3"/>
      <c r="F815" s="3"/>
      <c r="G815" s="3"/>
      <c r="H815" s="3"/>
      <c r="I815" s="3"/>
    </row>
    <row r="816" spans="1:9" ht="15.75" customHeight="1" x14ac:dyDescent="0.2">
      <c r="A816" s="9"/>
      <c r="B816" s="9"/>
      <c r="C816" s="3"/>
      <c r="D816" s="3"/>
      <c r="E816" s="3"/>
      <c r="F816" s="3"/>
      <c r="G816" s="3"/>
      <c r="H816" s="3"/>
      <c r="I816" s="3"/>
    </row>
    <row r="817" spans="1:9" ht="15.75" customHeight="1" x14ac:dyDescent="0.2">
      <c r="A817" s="9"/>
      <c r="B817" s="9"/>
      <c r="C817" s="3"/>
      <c r="D817" s="3"/>
      <c r="E817" s="3"/>
      <c r="F817" s="3"/>
      <c r="G817" s="3"/>
      <c r="H817" s="3"/>
      <c r="I817" s="3"/>
    </row>
    <row r="818" spans="1:9" ht="15.75" customHeight="1" x14ac:dyDescent="0.2">
      <c r="A818" s="9"/>
      <c r="B818" s="9"/>
      <c r="C818" s="3"/>
      <c r="D818" s="3"/>
      <c r="E818" s="3"/>
      <c r="F818" s="3"/>
      <c r="G818" s="3"/>
      <c r="H818" s="3"/>
      <c r="I818" s="3"/>
    </row>
    <row r="819" spans="1:9" ht="15.75" customHeight="1" x14ac:dyDescent="0.2">
      <c r="A819" s="9"/>
      <c r="B819" s="9"/>
      <c r="C819" s="3"/>
      <c r="D819" s="3"/>
      <c r="E819" s="3"/>
      <c r="F819" s="3"/>
      <c r="G819" s="3"/>
      <c r="H819" s="3"/>
      <c r="I819" s="3"/>
    </row>
    <row r="820" spans="1:9" ht="15.75" customHeight="1" x14ac:dyDescent="0.2">
      <c r="A820" s="9"/>
      <c r="B820" s="9"/>
      <c r="C820" s="3"/>
      <c r="D820" s="3"/>
      <c r="E820" s="3"/>
      <c r="F820" s="3"/>
      <c r="G820" s="3"/>
      <c r="H820" s="3"/>
      <c r="I820" s="3"/>
    </row>
    <row r="821" spans="1:9" ht="15.75" customHeight="1" x14ac:dyDescent="0.2">
      <c r="A821" s="9"/>
      <c r="B821" s="9"/>
      <c r="C821" s="3"/>
      <c r="D821" s="3"/>
      <c r="E821" s="3"/>
      <c r="F821" s="3"/>
      <c r="G821" s="3"/>
      <c r="H821" s="3"/>
      <c r="I821" s="3"/>
    </row>
    <row r="822" spans="1:9" ht="15.75" customHeight="1" x14ac:dyDescent="0.2">
      <c r="A822" s="9"/>
      <c r="B822" s="9"/>
      <c r="C822" s="3"/>
      <c r="D822" s="3"/>
      <c r="E822" s="3"/>
      <c r="F822" s="3"/>
      <c r="G822" s="3"/>
      <c r="H822" s="3"/>
      <c r="I822" s="3"/>
    </row>
    <row r="823" spans="1:9" ht="15.75" customHeight="1" x14ac:dyDescent="0.2">
      <c r="A823" s="9"/>
      <c r="B823" s="9"/>
      <c r="C823" s="3"/>
      <c r="D823" s="3"/>
      <c r="E823" s="3"/>
      <c r="F823" s="3"/>
      <c r="G823" s="3"/>
      <c r="H823" s="3"/>
      <c r="I823" s="3"/>
    </row>
    <row r="824" spans="1:9" ht="15.75" customHeight="1" x14ac:dyDescent="0.2">
      <c r="A824" s="9"/>
      <c r="B824" s="9"/>
      <c r="C824" s="3"/>
      <c r="D824" s="3"/>
      <c r="E824" s="3"/>
      <c r="F824" s="3"/>
      <c r="G824" s="3"/>
      <c r="H824" s="3"/>
      <c r="I824" s="3"/>
    </row>
    <row r="825" spans="1:9" ht="15.75" customHeight="1" x14ac:dyDescent="0.2">
      <c r="A825" s="9"/>
      <c r="B825" s="9"/>
      <c r="C825" s="3"/>
      <c r="D825" s="3"/>
      <c r="E825" s="3"/>
      <c r="F825" s="3"/>
      <c r="G825" s="3"/>
      <c r="H825" s="3"/>
      <c r="I825" s="3"/>
    </row>
    <row r="826" spans="1:9" ht="15.75" customHeight="1" x14ac:dyDescent="0.2">
      <c r="A826" s="9"/>
      <c r="B826" s="9"/>
      <c r="C826" s="3"/>
      <c r="D826" s="3"/>
      <c r="E826" s="3"/>
      <c r="F826" s="3"/>
      <c r="G826" s="3"/>
      <c r="H826" s="3"/>
      <c r="I826" s="3"/>
    </row>
    <row r="827" spans="1:9" ht="15.75" customHeight="1" x14ac:dyDescent="0.2">
      <c r="A827" s="9"/>
      <c r="B827" s="9"/>
      <c r="C827" s="3"/>
      <c r="D827" s="3"/>
      <c r="E827" s="3"/>
      <c r="F827" s="3"/>
      <c r="G827" s="3"/>
      <c r="H827" s="3"/>
      <c r="I827" s="3"/>
    </row>
    <row r="828" spans="1:9" ht="15.75" customHeight="1" x14ac:dyDescent="0.2">
      <c r="A828" s="9"/>
      <c r="B828" s="9"/>
      <c r="C828" s="3"/>
      <c r="D828" s="3"/>
      <c r="E828" s="3"/>
      <c r="F828" s="3"/>
      <c r="G828" s="3"/>
      <c r="H828" s="3"/>
      <c r="I828" s="3"/>
    </row>
    <row r="829" spans="1:9" ht="15.75" customHeight="1" x14ac:dyDescent="0.2">
      <c r="A829" s="9"/>
      <c r="B829" s="9"/>
      <c r="C829" s="3"/>
      <c r="D829" s="3"/>
      <c r="E829" s="3"/>
      <c r="F829" s="3"/>
      <c r="G829" s="3"/>
      <c r="H829" s="3"/>
      <c r="I829" s="3"/>
    </row>
    <row r="830" spans="1:9" ht="15.75" customHeight="1" x14ac:dyDescent="0.2">
      <c r="A830" s="9"/>
      <c r="B830" s="9"/>
      <c r="C830" s="3"/>
      <c r="D830" s="3"/>
      <c r="E830" s="3"/>
      <c r="F830" s="3"/>
      <c r="G830" s="3"/>
      <c r="H830" s="3"/>
      <c r="I830" s="3"/>
    </row>
    <row r="831" spans="1:9" ht="15.75" customHeight="1" x14ac:dyDescent="0.2">
      <c r="A831" s="9"/>
      <c r="B831" s="9"/>
      <c r="C831" s="3"/>
      <c r="D831" s="3"/>
      <c r="E831" s="3"/>
      <c r="F831" s="3"/>
      <c r="G831" s="3"/>
      <c r="H831" s="3"/>
      <c r="I831" s="3"/>
    </row>
    <row r="832" spans="1:9" ht="15.75" customHeight="1" x14ac:dyDescent="0.2">
      <c r="A832" s="9"/>
      <c r="B832" s="9"/>
      <c r="C832" s="3"/>
      <c r="D832" s="3"/>
      <c r="E832" s="3"/>
      <c r="F832" s="3"/>
      <c r="G832" s="3"/>
      <c r="H832" s="3"/>
      <c r="I832" s="3"/>
    </row>
    <row r="833" spans="1:9" ht="15.75" customHeight="1" x14ac:dyDescent="0.2">
      <c r="A833" s="9"/>
      <c r="B833" s="9"/>
      <c r="C833" s="3"/>
      <c r="D833" s="3"/>
      <c r="E833" s="3"/>
      <c r="F833" s="3"/>
      <c r="G833" s="3"/>
      <c r="H833" s="3"/>
      <c r="I833" s="3"/>
    </row>
    <row r="834" spans="1:9" ht="15.75" customHeight="1" x14ac:dyDescent="0.2">
      <c r="A834" s="9"/>
      <c r="B834" s="9"/>
      <c r="C834" s="3"/>
      <c r="D834" s="3"/>
      <c r="E834" s="3"/>
      <c r="F834" s="3"/>
      <c r="G834" s="3"/>
      <c r="H834" s="3"/>
      <c r="I834" s="3"/>
    </row>
    <row r="835" spans="1:9" ht="15.75" customHeight="1" x14ac:dyDescent="0.2">
      <c r="A835" s="9"/>
      <c r="B835" s="9"/>
      <c r="C835" s="3"/>
      <c r="D835" s="3"/>
      <c r="E835" s="3"/>
      <c r="F835" s="3"/>
      <c r="G835" s="3"/>
      <c r="H835" s="3"/>
      <c r="I835" s="3"/>
    </row>
    <row r="836" spans="1:9" ht="15.75" customHeight="1" x14ac:dyDescent="0.2">
      <c r="A836" s="9"/>
      <c r="B836" s="9"/>
      <c r="C836" s="3"/>
      <c r="D836" s="3"/>
      <c r="E836" s="3"/>
      <c r="F836" s="3"/>
      <c r="G836" s="3"/>
      <c r="H836" s="3"/>
      <c r="I836" s="3"/>
    </row>
    <row r="837" spans="1:9" ht="15.75" customHeight="1" x14ac:dyDescent="0.2">
      <c r="A837" s="9"/>
      <c r="B837" s="9"/>
      <c r="C837" s="3"/>
      <c r="D837" s="3"/>
      <c r="E837" s="3"/>
      <c r="F837" s="3"/>
      <c r="G837" s="3"/>
      <c r="H837" s="3"/>
      <c r="I837" s="3"/>
    </row>
    <row r="838" spans="1:9" ht="15.75" customHeight="1" x14ac:dyDescent="0.2">
      <c r="A838" s="9"/>
      <c r="B838" s="9"/>
      <c r="C838" s="3"/>
      <c r="D838" s="3"/>
      <c r="E838" s="3"/>
      <c r="F838" s="3"/>
      <c r="G838" s="3"/>
      <c r="H838" s="3"/>
      <c r="I838" s="3"/>
    </row>
    <row r="839" spans="1:9" ht="15.75" customHeight="1" x14ac:dyDescent="0.2">
      <c r="A839" s="9"/>
      <c r="B839" s="9"/>
      <c r="C839" s="3"/>
      <c r="D839" s="3"/>
      <c r="E839" s="3"/>
      <c r="F839" s="3"/>
      <c r="G839" s="3"/>
      <c r="H839" s="3"/>
      <c r="I839" s="3"/>
    </row>
    <row r="840" spans="1:9" ht="15.75" customHeight="1" x14ac:dyDescent="0.2">
      <c r="A840" s="9"/>
      <c r="B840" s="9"/>
      <c r="C840" s="3"/>
      <c r="D840" s="3"/>
      <c r="E840" s="3"/>
      <c r="F840" s="3"/>
      <c r="G840" s="3"/>
      <c r="H840" s="3"/>
      <c r="I840" s="3"/>
    </row>
    <row r="841" spans="1:9" ht="15.75" customHeight="1" x14ac:dyDescent="0.2">
      <c r="A841" s="9"/>
      <c r="B841" s="9"/>
      <c r="C841" s="3"/>
      <c r="D841" s="3"/>
      <c r="E841" s="3"/>
      <c r="F841" s="3"/>
      <c r="G841" s="3"/>
      <c r="H841" s="3"/>
      <c r="I841" s="3"/>
    </row>
    <row r="842" spans="1:9" ht="15.75" customHeight="1" x14ac:dyDescent="0.2">
      <c r="A842" s="9"/>
      <c r="B842" s="9"/>
      <c r="C842" s="3"/>
      <c r="D842" s="3"/>
      <c r="E842" s="3"/>
      <c r="F842" s="3"/>
      <c r="G842" s="3"/>
      <c r="H842" s="3"/>
      <c r="I842" s="3"/>
    </row>
    <row r="843" spans="1:9" ht="15.75" customHeight="1" x14ac:dyDescent="0.2">
      <c r="A843" s="9"/>
      <c r="B843" s="9"/>
      <c r="C843" s="3"/>
      <c r="D843" s="3"/>
      <c r="E843" s="3"/>
      <c r="F843" s="3"/>
      <c r="G843" s="3"/>
      <c r="H843" s="3"/>
      <c r="I843" s="3"/>
    </row>
    <row r="844" spans="1:9" ht="15.75" customHeight="1" x14ac:dyDescent="0.2">
      <c r="A844" s="9"/>
      <c r="B844" s="9"/>
      <c r="C844" s="3"/>
      <c r="D844" s="3"/>
      <c r="E844" s="3"/>
      <c r="F844" s="3"/>
      <c r="G844" s="3"/>
      <c r="H844" s="3"/>
      <c r="I844" s="3"/>
    </row>
    <row r="845" spans="1:9" ht="15.75" customHeight="1" x14ac:dyDescent="0.2">
      <c r="A845" s="9"/>
      <c r="B845" s="9"/>
      <c r="C845" s="3"/>
      <c r="D845" s="3"/>
      <c r="E845" s="3"/>
      <c r="F845" s="3"/>
      <c r="G845" s="3"/>
      <c r="H845" s="3"/>
      <c r="I845" s="3"/>
    </row>
    <row r="846" spans="1:9" ht="15.75" customHeight="1" x14ac:dyDescent="0.2">
      <c r="A846" s="9"/>
      <c r="B846" s="9"/>
      <c r="C846" s="3"/>
      <c r="D846" s="3"/>
      <c r="E846" s="3"/>
      <c r="F846" s="3"/>
      <c r="G846" s="3"/>
      <c r="H846" s="3"/>
      <c r="I846" s="3"/>
    </row>
    <row r="847" spans="1:9" ht="15.75" customHeight="1" x14ac:dyDescent="0.2">
      <c r="A847" s="9"/>
      <c r="B847" s="9"/>
      <c r="C847" s="3"/>
      <c r="D847" s="3"/>
      <c r="E847" s="3"/>
      <c r="F847" s="3"/>
      <c r="G847" s="3"/>
      <c r="H847" s="3"/>
      <c r="I847" s="3"/>
    </row>
    <row r="848" spans="1:9" ht="15.75" customHeight="1" x14ac:dyDescent="0.2">
      <c r="A848" s="9"/>
      <c r="B848" s="9"/>
      <c r="C848" s="3"/>
      <c r="D848" s="3"/>
      <c r="E848" s="3"/>
      <c r="F848" s="3"/>
      <c r="G848" s="3"/>
      <c r="H848" s="3"/>
      <c r="I848" s="3"/>
    </row>
    <row r="849" spans="1:9" ht="15.75" customHeight="1" x14ac:dyDescent="0.2">
      <c r="A849" s="9"/>
      <c r="B849" s="9"/>
      <c r="C849" s="3"/>
      <c r="D849" s="3"/>
      <c r="E849" s="3"/>
      <c r="F849" s="3"/>
      <c r="G849" s="3"/>
      <c r="H849" s="3"/>
      <c r="I849" s="3"/>
    </row>
    <row r="850" spans="1:9" ht="15.75" customHeight="1" x14ac:dyDescent="0.2">
      <c r="A850" s="9"/>
      <c r="B850" s="9"/>
      <c r="C850" s="3"/>
      <c r="D850" s="3"/>
      <c r="E850" s="3"/>
      <c r="F850" s="3"/>
      <c r="G850" s="3"/>
      <c r="H850" s="3"/>
      <c r="I850" s="3"/>
    </row>
    <row r="851" spans="1:9" ht="15.75" customHeight="1" x14ac:dyDescent="0.2">
      <c r="A851" s="9"/>
      <c r="B851" s="9"/>
      <c r="C851" s="3"/>
      <c r="D851" s="3"/>
      <c r="E851" s="3"/>
      <c r="F851" s="3"/>
      <c r="G851" s="3"/>
      <c r="H851" s="3"/>
      <c r="I851" s="3"/>
    </row>
    <row r="852" spans="1:9" ht="15.75" customHeight="1" x14ac:dyDescent="0.2">
      <c r="A852" s="9"/>
      <c r="B852" s="9"/>
      <c r="C852" s="3"/>
      <c r="D852" s="3"/>
      <c r="E852" s="3"/>
      <c r="F852" s="3"/>
      <c r="G852" s="3"/>
      <c r="H852" s="3"/>
      <c r="I852" s="3"/>
    </row>
    <row r="853" spans="1:9" ht="15.75" customHeight="1" x14ac:dyDescent="0.2">
      <c r="A853" s="9"/>
      <c r="B853" s="9"/>
      <c r="C853" s="3"/>
      <c r="D853" s="3"/>
      <c r="E853" s="3"/>
      <c r="F853" s="3"/>
      <c r="G853" s="3"/>
      <c r="H853" s="3"/>
      <c r="I853" s="3"/>
    </row>
    <row r="854" spans="1:9" ht="15.75" customHeight="1" x14ac:dyDescent="0.2">
      <c r="A854" s="9"/>
      <c r="B854" s="9"/>
      <c r="C854" s="3"/>
      <c r="D854" s="3"/>
      <c r="E854" s="3"/>
      <c r="F854" s="3"/>
      <c r="G854" s="3"/>
      <c r="H854" s="3"/>
      <c r="I854" s="3"/>
    </row>
    <row r="855" spans="1:9" ht="15.75" customHeight="1" x14ac:dyDescent="0.2">
      <c r="A855" s="9"/>
      <c r="B855" s="9"/>
      <c r="C855" s="3"/>
      <c r="D855" s="3"/>
      <c r="E855" s="3"/>
      <c r="F855" s="3"/>
      <c r="G855" s="3"/>
      <c r="H855" s="3"/>
      <c r="I855" s="3"/>
    </row>
    <row r="856" spans="1:9" ht="15.75" customHeight="1" x14ac:dyDescent="0.2">
      <c r="A856" s="9"/>
      <c r="B856" s="9"/>
      <c r="C856" s="3"/>
      <c r="D856" s="3"/>
      <c r="E856" s="3"/>
      <c r="F856" s="3"/>
      <c r="G856" s="3"/>
      <c r="H856" s="3"/>
      <c r="I856" s="3"/>
    </row>
    <row r="857" spans="1:9" ht="15.75" customHeight="1" x14ac:dyDescent="0.2">
      <c r="A857" s="9"/>
      <c r="B857" s="9"/>
      <c r="C857" s="3"/>
      <c r="D857" s="3"/>
      <c r="E857" s="3"/>
      <c r="F857" s="3"/>
      <c r="G857" s="3"/>
      <c r="H857" s="3"/>
      <c r="I857" s="3"/>
    </row>
    <row r="858" spans="1:9" ht="15.75" customHeight="1" x14ac:dyDescent="0.2">
      <c r="A858" s="9"/>
      <c r="B858" s="9"/>
      <c r="C858" s="3"/>
      <c r="D858" s="3"/>
      <c r="E858" s="3"/>
      <c r="F858" s="3"/>
      <c r="G858" s="3"/>
      <c r="H858" s="3"/>
      <c r="I858" s="3"/>
    </row>
    <row r="859" spans="1:9" ht="15.75" customHeight="1" x14ac:dyDescent="0.2">
      <c r="A859" s="9"/>
      <c r="B859" s="9"/>
      <c r="C859" s="3"/>
      <c r="D859" s="3"/>
      <c r="E859" s="3"/>
      <c r="F859" s="3"/>
      <c r="G859" s="3"/>
      <c r="H859" s="3"/>
      <c r="I859" s="3"/>
    </row>
    <row r="860" spans="1:9" ht="15.75" customHeight="1" x14ac:dyDescent="0.2">
      <c r="A860" s="9"/>
      <c r="B860" s="9"/>
      <c r="C860" s="3"/>
      <c r="D860" s="3"/>
      <c r="E860" s="3"/>
      <c r="F860" s="3"/>
      <c r="G860" s="3"/>
      <c r="H860" s="3"/>
      <c r="I860" s="3"/>
    </row>
    <row r="861" spans="1:9" ht="15.75" customHeight="1" x14ac:dyDescent="0.2">
      <c r="A861" s="9"/>
      <c r="B861" s="9"/>
      <c r="C861" s="3"/>
      <c r="D861" s="3"/>
      <c r="E861" s="3"/>
      <c r="F861" s="3"/>
      <c r="G861" s="3"/>
      <c r="H861" s="3"/>
      <c r="I861" s="3"/>
    </row>
    <row r="862" spans="1:9" ht="15.75" customHeight="1" x14ac:dyDescent="0.2">
      <c r="A862" s="9"/>
      <c r="B862" s="9"/>
      <c r="C862" s="3"/>
      <c r="D862" s="3"/>
      <c r="E862" s="3"/>
      <c r="F862" s="3"/>
      <c r="G862" s="3"/>
      <c r="H862" s="3"/>
      <c r="I862" s="3"/>
    </row>
    <row r="863" spans="1:9" ht="15.75" customHeight="1" x14ac:dyDescent="0.2">
      <c r="A863" s="9"/>
      <c r="B863" s="9"/>
      <c r="C863" s="3"/>
      <c r="D863" s="3"/>
      <c r="E863" s="3"/>
      <c r="F863" s="3"/>
      <c r="G863" s="3"/>
      <c r="H863" s="3"/>
      <c r="I863" s="3"/>
    </row>
    <row r="864" spans="1:9" ht="15.75" customHeight="1" x14ac:dyDescent="0.2">
      <c r="A864" s="9"/>
      <c r="B864" s="9"/>
      <c r="C864" s="3"/>
      <c r="D864" s="3"/>
      <c r="E864" s="3"/>
      <c r="F864" s="3"/>
      <c r="G864" s="3"/>
      <c r="H864" s="3"/>
      <c r="I864" s="3"/>
    </row>
    <row r="865" spans="1:9" ht="15.75" customHeight="1" x14ac:dyDescent="0.2">
      <c r="A865" s="9"/>
      <c r="B865" s="9"/>
      <c r="C865" s="3"/>
      <c r="D865" s="3"/>
      <c r="E865" s="3"/>
      <c r="F865" s="3"/>
      <c r="G865" s="3"/>
      <c r="H865" s="3"/>
      <c r="I865" s="3"/>
    </row>
    <row r="866" spans="1:9" ht="15.75" customHeight="1" x14ac:dyDescent="0.2">
      <c r="A866" s="9"/>
      <c r="B866" s="9"/>
      <c r="C866" s="3"/>
      <c r="D866" s="3"/>
      <c r="E866" s="3"/>
      <c r="F866" s="3"/>
      <c r="G866" s="3"/>
      <c r="H866" s="3"/>
      <c r="I866" s="3"/>
    </row>
    <row r="867" spans="1:9" ht="15.75" customHeight="1" x14ac:dyDescent="0.2">
      <c r="A867" s="9"/>
      <c r="B867" s="9"/>
      <c r="C867" s="3"/>
      <c r="D867" s="3"/>
      <c r="E867" s="3"/>
      <c r="F867" s="3"/>
      <c r="G867" s="3"/>
      <c r="H867" s="3"/>
      <c r="I867" s="3"/>
    </row>
    <row r="868" spans="1:9" ht="15.75" customHeight="1" x14ac:dyDescent="0.2">
      <c r="A868" s="9"/>
      <c r="B868" s="9"/>
      <c r="C868" s="3"/>
      <c r="D868" s="3"/>
      <c r="E868" s="3"/>
      <c r="F868" s="3"/>
      <c r="G868" s="3"/>
      <c r="H868" s="3"/>
      <c r="I868" s="3"/>
    </row>
    <row r="869" spans="1:9" ht="15.75" customHeight="1" x14ac:dyDescent="0.2">
      <c r="A869" s="9"/>
      <c r="B869" s="9"/>
      <c r="C869" s="3"/>
      <c r="D869" s="3"/>
      <c r="E869" s="3"/>
      <c r="F869" s="3"/>
      <c r="G869" s="3"/>
      <c r="H869" s="3"/>
      <c r="I869" s="3"/>
    </row>
    <row r="870" spans="1:9" ht="15.75" customHeight="1" x14ac:dyDescent="0.2">
      <c r="A870" s="9"/>
      <c r="B870" s="9"/>
      <c r="C870" s="3"/>
      <c r="D870" s="3"/>
      <c r="E870" s="3"/>
      <c r="F870" s="3"/>
      <c r="G870" s="3"/>
      <c r="H870" s="3"/>
      <c r="I870" s="3"/>
    </row>
    <row r="871" spans="1:9" ht="15.75" customHeight="1" x14ac:dyDescent="0.2">
      <c r="A871" s="9"/>
      <c r="B871" s="9"/>
      <c r="C871" s="3"/>
      <c r="D871" s="3"/>
      <c r="E871" s="3"/>
      <c r="F871" s="3"/>
      <c r="G871" s="3"/>
      <c r="H871" s="3"/>
      <c r="I871" s="3"/>
    </row>
    <row r="872" spans="1:9" ht="15.75" customHeight="1" x14ac:dyDescent="0.2">
      <c r="A872" s="9"/>
      <c r="B872" s="9"/>
      <c r="C872" s="3"/>
      <c r="D872" s="3"/>
      <c r="E872" s="3"/>
      <c r="F872" s="3"/>
      <c r="G872" s="3"/>
      <c r="H872" s="3"/>
      <c r="I872" s="3"/>
    </row>
    <row r="873" spans="1:9" ht="15.75" customHeight="1" x14ac:dyDescent="0.2">
      <c r="A873" s="9"/>
      <c r="B873" s="9"/>
      <c r="C873" s="3"/>
      <c r="D873" s="3"/>
      <c r="E873" s="3"/>
      <c r="F873" s="3"/>
      <c r="G873" s="3"/>
      <c r="H873" s="3"/>
      <c r="I873" s="3"/>
    </row>
    <row r="874" spans="1:9" ht="15.75" customHeight="1" x14ac:dyDescent="0.2">
      <c r="A874" s="9"/>
      <c r="B874" s="9"/>
      <c r="C874" s="3"/>
      <c r="D874" s="3"/>
      <c r="E874" s="3"/>
      <c r="F874" s="3"/>
      <c r="G874" s="3"/>
      <c r="H874" s="3"/>
      <c r="I874" s="3"/>
    </row>
    <row r="875" spans="1:9" ht="15.75" customHeight="1" x14ac:dyDescent="0.2">
      <c r="A875" s="9"/>
      <c r="B875" s="9"/>
      <c r="C875" s="3"/>
      <c r="D875" s="3"/>
      <c r="E875" s="3"/>
      <c r="F875" s="3"/>
      <c r="G875" s="3"/>
      <c r="H875" s="3"/>
      <c r="I875" s="3"/>
    </row>
    <row r="876" spans="1:9" ht="15.75" customHeight="1" x14ac:dyDescent="0.2">
      <c r="A876" s="9"/>
      <c r="B876" s="9"/>
      <c r="C876" s="3"/>
      <c r="D876" s="3"/>
      <c r="E876" s="3"/>
      <c r="F876" s="3"/>
      <c r="G876" s="3"/>
      <c r="H876" s="3"/>
      <c r="I876" s="3"/>
    </row>
    <row r="877" spans="1:9" ht="15.75" customHeight="1" x14ac:dyDescent="0.2">
      <c r="A877" s="9"/>
      <c r="B877" s="9"/>
      <c r="C877" s="3"/>
      <c r="D877" s="3"/>
      <c r="E877" s="3"/>
      <c r="F877" s="3"/>
      <c r="G877" s="3"/>
      <c r="H877" s="3"/>
      <c r="I877" s="3"/>
    </row>
    <row r="878" spans="1:9" ht="15.75" customHeight="1" x14ac:dyDescent="0.2">
      <c r="A878" s="9"/>
      <c r="B878" s="9"/>
      <c r="C878" s="3"/>
      <c r="D878" s="3"/>
      <c r="E878" s="3"/>
      <c r="F878" s="3"/>
      <c r="G878" s="3"/>
      <c r="H878" s="3"/>
      <c r="I878" s="3"/>
    </row>
    <row r="879" spans="1:9" ht="15.75" customHeight="1" x14ac:dyDescent="0.2">
      <c r="A879" s="9"/>
      <c r="B879" s="9"/>
      <c r="C879" s="3"/>
      <c r="D879" s="3"/>
      <c r="E879" s="3"/>
      <c r="F879" s="3"/>
      <c r="G879" s="3"/>
      <c r="H879" s="3"/>
      <c r="I879" s="3"/>
    </row>
    <row r="880" spans="1:9" ht="15.75" customHeight="1" x14ac:dyDescent="0.2">
      <c r="A880" s="9"/>
      <c r="B880" s="9"/>
      <c r="C880" s="3"/>
      <c r="D880" s="3"/>
      <c r="E880" s="3"/>
      <c r="F880" s="3"/>
      <c r="G880" s="3"/>
      <c r="H880" s="3"/>
      <c r="I880" s="3"/>
    </row>
    <row r="881" spans="1:9" ht="15.75" customHeight="1" x14ac:dyDescent="0.2">
      <c r="A881" s="9"/>
      <c r="B881" s="9"/>
      <c r="C881" s="3"/>
      <c r="D881" s="3"/>
      <c r="E881" s="3"/>
      <c r="F881" s="3"/>
      <c r="G881" s="3"/>
      <c r="H881" s="3"/>
      <c r="I881" s="3"/>
    </row>
    <row r="882" spans="1:9" ht="15.75" customHeight="1" x14ac:dyDescent="0.2">
      <c r="A882" s="9"/>
      <c r="B882" s="9"/>
      <c r="C882" s="3"/>
      <c r="D882" s="3"/>
      <c r="E882" s="3"/>
      <c r="F882" s="3"/>
      <c r="G882" s="3"/>
      <c r="H882" s="3"/>
      <c r="I882" s="3"/>
    </row>
    <row r="883" spans="1:9" ht="15.75" customHeight="1" x14ac:dyDescent="0.2">
      <c r="A883" s="9"/>
      <c r="B883" s="9"/>
      <c r="C883" s="3"/>
      <c r="D883" s="3"/>
      <c r="E883" s="3"/>
      <c r="F883" s="3"/>
      <c r="G883" s="3"/>
      <c r="H883" s="3"/>
      <c r="I883" s="3"/>
    </row>
    <row r="884" spans="1:9" ht="15.75" customHeight="1" x14ac:dyDescent="0.2">
      <c r="A884" s="9"/>
      <c r="B884" s="9"/>
      <c r="C884" s="3"/>
      <c r="D884" s="3"/>
      <c r="E884" s="3"/>
      <c r="F884" s="3"/>
      <c r="G884" s="3"/>
      <c r="H884" s="3"/>
      <c r="I884" s="3"/>
    </row>
    <row r="885" spans="1:9" ht="15.75" customHeight="1" x14ac:dyDescent="0.2">
      <c r="A885" s="9"/>
      <c r="B885" s="9"/>
      <c r="C885" s="3"/>
      <c r="D885" s="3"/>
      <c r="E885" s="3"/>
      <c r="F885" s="3"/>
      <c r="G885" s="3"/>
      <c r="H885" s="3"/>
      <c r="I885" s="3"/>
    </row>
    <row r="886" spans="1:9" ht="15.75" customHeight="1" x14ac:dyDescent="0.2">
      <c r="A886" s="9"/>
      <c r="B886" s="9"/>
      <c r="C886" s="3"/>
      <c r="D886" s="3"/>
      <c r="E886" s="3"/>
      <c r="F886" s="3"/>
      <c r="G886" s="3"/>
      <c r="H886" s="3"/>
      <c r="I886" s="3"/>
    </row>
    <row r="887" spans="1:9" ht="15.75" customHeight="1" x14ac:dyDescent="0.2">
      <c r="A887" s="9"/>
      <c r="B887" s="9"/>
      <c r="C887" s="3"/>
      <c r="D887" s="3"/>
      <c r="E887" s="3"/>
      <c r="F887" s="3"/>
      <c r="G887" s="3"/>
      <c r="H887" s="3"/>
      <c r="I887" s="3"/>
    </row>
    <row r="888" spans="1:9" ht="15.75" customHeight="1" x14ac:dyDescent="0.2">
      <c r="A888" s="9"/>
      <c r="B888" s="9"/>
      <c r="C888" s="3"/>
      <c r="D888" s="3"/>
      <c r="E888" s="3"/>
      <c r="F888" s="3"/>
      <c r="G888" s="3"/>
      <c r="H888" s="3"/>
      <c r="I888" s="3"/>
    </row>
    <row r="889" spans="1:9" ht="15.75" customHeight="1" x14ac:dyDescent="0.2">
      <c r="A889" s="9"/>
      <c r="B889" s="9"/>
      <c r="C889" s="3"/>
      <c r="D889" s="3"/>
      <c r="E889" s="3"/>
      <c r="F889" s="3"/>
      <c r="G889" s="3"/>
      <c r="H889" s="3"/>
      <c r="I889" s="3"/>
    </row>
    <row r="890" spans="1:9" ht="15.75" customHeight="1" x14ac:dyDescent="0.2">
      <c r="A890" s="9"/>
      <c r="B890" s="9"/>
      <c r="C890" s="3"/>
      <c r="D890" s="3"/>
      <c r="E890" s="3"/>
      <c r="F890" s="3"/>
      <c r="G890" s="3"/>
      <c r="H890" s="3"/>
      <c r="I890" s="3"/>
    </row>
    <row r="891" spans="1:9" ht="15.75" customHeight="1" x14ac:dyDescent="0.2">
      <c r="A891" s="9"/>
      <c r="B891" s="9"/>
      <c r="C891" s="3"/>
      <c r="D891" s="3"/>
      <c r="E891" s="3"/>
      <c r="F891" s="3"/>
      <c r="G891" s="3"/>
      <c r="H891" s="3"/>
      <c r="I891" s="3"/>
    </row>
    <row r="892" spans="1:9" ht="15.75" customHeight="1" x14ac:dyDescent="0.2">
      <c r="A892" s="9"/>
      <c r="B892" s="9"/>
      <c r="C892" s="3"/>
      <c r="D892" s="3"/>
      <c r="E892" s="3"/>
      <c r="F892" s="3"/>
      <c r="G892" s="3"/>
      <c r="H892" s="3"/>
      <c r="I892" s="3"/>
    </row>
    <row r="893" spans="1:9" ht="15.75" customHeight="1" x14ac:dyDescent="0.2">
      <c r="A893" s="9"/>
      <c r="B893" s="9"/>
      <c r="C893" s="3"/>
      <c r="D893" s="3"/>
      <c r="E893" s="3"/>
      <c r="F893" s="3"/>
      <c r="G893" s="3"/>
      <c r="H893" s="3"/>
      <c r="I893" s="3"/>
    </row>
    <row r="894" spans="1:9" ht="15.75" customHeight="1" x14ac:dyDescent="0.2">
      <c r="A894" s="9"/>
      <c r="B894" s="9"/>
      <c r="C894" s="3"/>
      <c r="D894" s="3"/>
      <c r="E894" s="3"/>
      <c r="F894" s="3"/>
      <c r="G894" s="3"/>
      <c r="H894" s="3"/>
      <c r="I894" s="3"/>
    </row>
    <row r="895" spans="1:9" ht="15.75" customHeight="1" x14ac:dyDescent="0.2">
      <c r="A895" s="9"/>
      <c r="B895" s="9"/>
      <c r="C895" s="3"/>
      <c r="D895" s="3"/>
      <c r="E895" s="3"/>
      <c r="F895" s="3"/>
      <c r="G895" s="3"/>
      <c r="H895" s="3"/>
      <c r="I895" s="3"/>
    </row>
    <row r="896" spans="1:9" ht="15.75" customHeight="1" x14ac:dyDescent="0.2">
      <c r="A896" s="9"/>
      <c r="B896" s="9"/>
      <c r="C896" s="3"/>
      <c r="D896" s="3"/>
      <c r="E896" s="3"/>
      <c r="F896" s="3"/>
      <c r="G896" s="3"/>
      <c r="H896" s="3"/>
      <c r="I896" s="3"/>
    </row>
    <row r="897" spans="1:9" ht="15.75" customHeight="1" x14ac:dyDescent="0.2">
      <c r="A897" s="9"/>
      <c r="B897" s="9"/>
      <c r="C897" s="3"/>
      <c r="D897" s="3"/>
      <c r="E897" s="3"/>
      <c r="F897" s="3"/>
      <c r="G897" s="3"/>
      <c r="H897" s="3"/>
      <c r="I897" s="3"/>
    </row>
    <row r="898" spans="1:9" ht="15.75" customHeight="1" x14ac:dyDescent="0.2">
      <c r="A898" s="9"/>
      <c r="B898" s="9"/>
      <c r="C898" s="3"/>
      <c r="D898" s="3"/>
      <c r="E898" s="3"/>
      <c r="F898" s="3"/>
      <c r="G898" s="3"/>
      <c r="H898" s="3"/>
      <c r="I898" s="3"/>
    </row>
    <row r="899" spans="1:9" ht="15.75" customHeight="1" x14ac:dyDescent="0.2">
      <c r="A899" s="9"/>
      <c r="B899" s="9"/>
      <c r="C899" s="3"/>
      <c r="D899" s="3"/>
      <c r="E899" s="3"/>
      <c r="F899" s="3"/>
      <c r="G899" s="3"/>
      <c r="H899" s="3"/>
      <c r="I899" s="3"/>
    </row>
    <row r="900" spans="1:9" ht="15.75" customHeight="1" x14ac:dyDescent="0.2">
      <c r="A900" s="9"/>
      <c r="B900" s="9"/>
      <c r="C900" s="3"/>
      <c r="D900" s="3"/>
      <c r="E900" s="3"/>
      <c r="F900" s="3"/>
      <c r="G900" s="3"/>
      <c r="H900" s="3"/>
      <c r="I900" s="3"/>
    </row>
    <row r="901" spans="1:9" ht="15.75" customHeight="1" x14ac:dyDescent="0.2">
      <c r="A901" s="9"/>
      <c r="B901" s="9"/>
      <c r="C901" s="3"/>
      <c r="D901" s="3"/>
      <c r="E901" s="3"/>
      <c r="F901" s="3"/>
      <c r="G901" s="3"/>
      <c r="H901" s="3"/>
      <c r="I901" s="3"/>
    </row>
    <row r="902" spans="1:9" ht="15.75" customHeight="1" x14ac:dyDescent="0.2">
      <c r="A902" s="9"/>
      <c r="B902" s="9"/>
      <c r="C902" s="3"/>
      <c r="D902" s="3"/>
      <c r="E902" s="3"/>
      <c r="F902" s="3"/>
      <c r="G902" s="3"/>
      <c r="H902" s="3"/>
      <c r="I902" s="3"/>
    </row>
    <row r="903" spans="1:9" ht="15.75" customHeight="1" x14ac:dyDescent="0.2">
      <c r="A903" s="9"/>
      <c r="B903" s="9"/>
      <c r="C903" s="3"/>
      <c r="D903" s="3"/>
      <c r="E903" s="3"/>
      <c r="F903" s="3"/>
      <c r="G903" s="3"/>
      <c r="H903" s="3"/>
      <c r="I903" s="3"/>
    </row>
    <row r="904" spans="1:9" ht="15.75" customHeight="1" x14ac:dyDescent="0.2">
      <c r="A904" s="9"/>
      <c r="B904" s="9"/>
      <c r="C904" s="3"/>
      <c r="D904" s="3"/>
      <c r="E904" s="3"/>
      <c r="F904" s="3"/>
      <c r="G904" s="3"/>
      <c r="H904" s="3"/>
      <c r="I904" s="3"/>
    </row>
    <row r="905" spans="1:9" ht="15.75" customHeight="1" x14ac:dyDescent="0.2">
      <c r="A905" s="9"/>
      <c r="B905" s="9"/>
      <c r="C905" s="3"/>
      <c r="D905" s="3"/>
      <c r="E905" s="3"/>
      <c r="F905" s="3"/>
      <c r="G905" s="3"/>
      <c r="H905" s="3"/>
      <c r="I905" s="3"/>
    </row>
    <row r="906" spans="1:9" ht="15.75" customHeight="1" x14ac:dyDescent="0.2">
      <c r="A906" s="9"/>
      <c r="B906" s="9"/>
      <c r="C906" s="3"/>
      <c r="D906" s="3"/>
      <c r="E906" s="3"/>
      <c r="F906" s="3"/>
      <c r="G906" s="3"/>
      <c r="H906" s="3"/>
      <c r="I906" s="3"/>
    </row>
    <row r="907" spans="1:9" ht="15.75" customHeight="1" x14ac:dyDescent="0.2">
      <c r="A907" s="9"/>
      <c r="B907" s="9"/>
      <c r="C907" s="3"/>
      <c r="D907" s="3"/>
      <c r="E907" s="3"/>
      <c r="F907" s="3"/>
      <c r="G907" s="3"/>
      <c r="H907" s="3"/>
      <c r="I907" s="3"/>
    </row>
    <row r="908" spans="1:9" ht="15.75" customHeight="1" x14ac:dyDescent="0.2">
      <c r="A908" s="9"/>
      <c r="B908" s="9"/>
      <c r="C908" s="3"/>
      <c r="D908" s="3"/>
      <c r="E908" s="3"/>
      <c r="F908" s="3"/>
      <c r="G908" s="3"/>
      <c r="H908" s="3"/>
      <c r="I908" s="3"/>
    </row>
    <row r="909" spans="1:9" ht="15.75" customHeight="1" x14ac:dyDescent="0.2">
      <c r="A909" s="9"/>
      <c r="B909" s="9"/>
      <c r="C909" s="3"/>
      <c r="D909" s="3"/>
      <c r="E909" s="3"/>
      <c r="F909" s="3"/>
      <c r="G909" s="3"/>
      <c r="H909" s="3"/>
      <c r="I909" s="3"/>
    </row>
    <row r="910" spans="1:9" ht="15.75" customHeight="1" x14ac:dyDescent="0.2">
      <c r="A910" s="9"/>
      <c r="B910" s="9"/>
      <c r="C910" s="3"/>
      <c r="D910" s="3"/>
      <c r="E910" s="3"/>
      <c r="F910" s="3"/>
      <c r="G910" s="3"/>
      <c r="H910" s="3"/>
      <c r="I910" s="3"/>
    </row>
    <row r="911" spans="1:9" ht="15.75" customHeight="1" x14ac:dyDescent="0.2">
      <c r="A911" s="9"/>
      <c r="B911" s="9"/>
      <c r="C911" s="3"/>
      <c r="D911" s="3"/>
      <c r="E911" s="3"/>
      <c r="F911" s="3"/>
      <c r="G911" s="3"/>
      <c r="H911" s="3"/>
      <c r="I911" s="3"/>
    </row>
    <row r="912" spans="1:9" ht="15.75" customHeight="1" x14ac:dyDescent="0.2">
      <c r="A912" s="9"/>
      <c r="B912" s="9"/>
      <c r="C912" s="3"/>
      <c r="D912" s="3"/>
      <c r="E912" s="3"/>
      <c r="F912" s="3"/>
      <c r="G912" s="3"/>
      <c r="H912" s="3"/>
      <c r="I912" s="3"/>
    </row>
    <row r="913" spans="1:9" ht="15.75" customHeight="1" x14ac:dyDescent="0.2">
      <c r="A913" s="9"/>
      <c r="B913" s="9"/>
      <c r="C913" s="3"/>
      <c r="D913" s="3"/>
      <c r="E913" s="3"/>
      <c r="F913" s="3"/>
      <c r="G913" s="3"/>
      <c r="H913" s="3"/>
      <c r="I913" s="3"/>
    </row>
    <row r="914" spans="1:9" ht="15.75" customHeight="1" x14ac:dyDescent="0.2">
      <c r="A914" s="9"/>
      <c r="B914" s="9"/>
      <c r="C914" s="3"/>
      <c r="D914" s="3"/>
      <c r="E914" s="3"/>
      <c r="F914" s="3"/>
      <c r="G914" s="3"/>
      <c r="H914" s="3"/>
      <c r="I914" s="3"/>
    </row>
    <row r="915" spans="1:9" ht="15.75" customHeight="1" x14ac:dyDescent="0.2">
      <c r="A915" s="9"/>
      <c r="B915" s="9"/>
      <c r="C915" s="3"/>
      <c r="D915" s="3"/>
      <c r="E915" s="3"/>
      <c r="F915" s="3"/>
      <c r="G915" s="3"/>
      <c r="H915" s="3"/>
      <c r="I915" s="3"/>
    </row>
    <row r="916" spans="1:9" ht="15.75" customHeight="1" x14ac:dyDescent="0.2">
      <c r="A916" s="9"/>
      <c r="B916" s="9"/>
      <c r="C916" s="3"/>
      <c r="D916" s="3"/>
      <c r="E916" s="3"/>
      <c r="F916" s="3"/>
      <c r="G916" s="3"/>
      <c r="H916" s="3"/>
      <c r="I916" s="3"/>
    </row>
    <row r="917" spans="1:9" ht="15.75" customHeight="1" x14ac:dyDescent="0.2">
      <c r="A917" s="9"/>
      <c r="B917" s="9"/>
      <c r="C917" s="3"/>
      <c r="D917" s="3"/>
      <c r="E917" s="3"/>
      <c r="F917" s="3"/>
      <c r="G917" s="3"/>
      <c r="H917" s="3"/>
      <c r="I917" s="3"/>
    </row>
    <row r="918" spans="1:9" ht="15.75" customHeight="1" x14ac:dyDescent="0.2">
      <c r="A918" s="9"/>
      <c r="B918" s="9"/>
      <c r="C918" s="3"/>
      <c r="D918" s="3"/>
      <c r="E918" s="3"/>
      <c r="F918" s="3"/>
      <c r="G918" s="3"/>
      <c r="H918" s="3"/>
      <c r="I918" s="3"/>
    </row>
    <row r="919" spans="1:9" ht="15.75" customHeight="1" x14ac:dyDescent="0.2">
      <c r="A919" s="9"/>
      <c r="B919" s="9"/>
      <c r="C919" s="3"/>
      <c r="D919" s="3"/>
      <c r="E919" s="3"/>
      <c r="F919" s="3"/>
      <c r="G919" s="3"/>
      <c r="H919" s="3"/>
      <c r="I919" s="3"/>
    </row>
    <row r="920" spans="1:9" ht="15.75" customHeight="1" x14ac:dyDescent="0.2">
      <c r="A920" s="9"/>
      <c r="B920" s="9"/>
      <c r="C920" s="3"/>
      <c r="D920" s="3"/>
      <c r="E920" s="3"/>
      <c r="F920" s="3"/>
      <c r="G920" s="3"/>
      <c r="H920" s="3"/>
      <c r="I920" s="3"/>
    </row>
    <row r="921" spans="1:9" ht="15.75" customHeight="1" x14ac:dyDescent="0.2">
      <c r="A921" s="9"/>
      <c r="B921" s="9"/>
      <c r="C921" s="3"/>
      <c r="D921" s="3"/>
      <c r="E921" s="3"/>
      <c r="F921" s="3"/>
      <c r="G921" s="3"/>
      <c r="H921" s="3"/>
      <c r="I921" s="3"/>
    </row>
    <row r="922" spans="1:9" ht="15.75" customHeight="1" x14ac:dyDescent="0.2">
      <c r="A922" s="9"/>
      <c r="B922" s="9"/>
      <c r="C922" s="3"/>
      <c r="D922" s="3"/>
      <c r="E922" s="3"/>
      <c r="F922" s="3"/>
      <c r="G922" s="3"/>
      <c r="H922" s="3"/>
      <c r="I922" s="3"/>
    </row>
    <row r="923" spans="1:9" ht="15.75" customHeight="1" x14ac:dyDescent="0.2">
      <c r="A923" s="9"/>
      <c r="B923" s="9"/>
      <c r="C923" s="3"/>
      <c r="D923" s="3"/>
      <c r="E923" s="3"/>
      <c r="F923" s="3"/>
      <c r="G923" s="3"/>
      <c r="H923" s="3"/>
      <c r="I923" s="3"/>
    </row>
    <row r="924" spans="1:9" ht="15.75" customHeight="1" x14ac:dyDescent="0.2">
      <c r="A924" s="9"/>
      <c r="B924" s="9"/>
      <c r="C924" s="3"/>
      <c r="D924" s="3"/>
      <c r="E924" s="3"/>
      <c r="F924" s="3"/>
      <c r="G924" s="3"/>
      <c r="H924" s="3"/>
      <c r="I924" s="3"/>
    </row>
    <row r="925" spans="1:9" ht="15.75" customHeight="1" x14ac:dyDescent="0.2">
      <c r="A925" s="9"/>
      <c r="B925" s="9"/>
      <c r="C925" s="3"/>
      <c r="D925" s="3"/>
      <c r="E925" s="3"/>
      <c r="F925" s="3"/>
      <c r="G925" s="3"/>
      <c r="H925" s="3"/>
      <c r="I925" s="3"/>
    </row>
    <row r="926" spans="1:9" ht="15.75" customHeight="1" x14ac:dyDescent="0.2">
      <c r="A926" s="9"/>
      <c r="B926" s="9"/>
      <c r="C926" s="3"/>
      <c r="D926" s="3"/>
      <c r="E926" s="3"/>
      <c r="F926" s="3"/>
      <c r="G926" s="3"/>
      <c r="H926" s="3"/>
      <c r="I926" s="3"/>
    </row>
    <row r="927" spans="1:9" ht="15.75" customHeight="1" x14ac:dyDescent="0.2">
      <c r="A927" s="9"/>
      <c r="B927" s="9"/>
      <c r="C927" s="3"/>
      <c r="D927" s="3"/>
      <c r="E927" s="3"/>
      <c r="F927" s="3"/>
      <c r="G927" s="3"/>
      <c r="H927" s="3"/>
      <c r="I927" s="3"/>
    </row>
    <row r="928" spans="1:9" ht="15.75" customHeight="1" x14ac:dyDescent="0.2">
      <c r="A928" s="9"/>
      <c r="B928" s="9"/>
      <c r="C928" s="3"/>
      <c r="D928" s="3"/>
      <c r="E928" s="3"/>
      <c r="F928" s="3"/>
      <c r="G928" s="3"/>
      <c r="H928" s="3"/>
      <c r="I928" s="3"/>
    </row>
    <row r="929" spans="1:9" ht="15.75" customHeight="1" x14ac:dyDescent="0.2">
      <c r="A929" s="9"/>
      <c r="B929" s="9"/>
      <c r="C929" s="3"/>
      <c r="D929" s="3"/>
      <c r="E929" s="3"/>
      <c r="F929" s="3"/>
      <c r="G929" s="3"/>
      <c r="H929" s="3"/>
      <c r="I929" s="3"/>
    </row>
    <row r="930" spans="1:9" ht="15.75" customHeight="1" x14ac:dyDescent="0.2">
      <c r="A930" s="9"/>
      <c r="B930" s="9"/>
      <c r="C930" s="3"/>
      <c r="D930" s="3"/>
      <c r="E930" s="3"/>
      <c r="F930" s="3"/>
      <c r="G930" s="3"/>
      <c r="H930" s="3"/>
      <c r="I930" s="3"/>
    </row>
    <row r="931" spans="1:9" ht="15.75" customHeight="1" x14ac:dyDescent="0.2">
      <c r="A931" s="9"/>
      <c r="B931" s="9"/>
      <c r="C931" s="3"/>
      <c r="D931" s="3"/>
      <c r="E931" s="3"/>
      <c r="F931" s="3"/>
      <c r="G931" s="3"/>
      <c r="H931" s="3"/>
      <c r="I931" s="3"/>
    </row>
    <row r="932" spans="1:9" ht="15.75" customHeight="1" x14ac:dyDescent="0.2">
      <c r="A932" s="9"/>
      <c r="B932" s="9"/>
      <c r="C932" s="3"/>
      <c r="D932" s="3"/>
      <c r="E932" s="3"/>
      <c r="F932" s="3"/>
      <c r="G932" s="3"/>
      <c r="H932" s="3"/>
      <c r="I932" s="3"/>
    </row>
    <row r="933" spans="1:9" ht="15.75" customHeight="1" x14ac:dyDescent="0.2">
      <c r="A933" s="9"/>
      <c r="B933" s="9"/>
      <c r="C933" s="3"/>
      <c r="D933" s="3"/>
      <c r="E933" s="3"/>
      <c r="F933" s="3"/>
      <c r="G933" s="3"/>
      <c r="H933" s="3"/>
      <c r="I933" s="3"/>
    </row>
    <row r="934" spans="1:9" ht="15.75" customHeight="1" x14ac:dyDescent="0.2">
      <c r="A934" s="9"/>
      <c r="B934" s="9"/>
      <c r="C934" s="3"/>
      <c r="D934" s="3"/>
      <c r="E934" s="3"/>
      <c r="F934" s="3"/>
      <c r="G934" s="3"/>
      <c r="H934" s="3"/>
      <c r="I934" s="3"/>
    </row>
    <row r="935" spans="1:9" ht="15.75" customHeight="1" x14ac:dyDescent="0.2">
      <c r="A935" s="9"/>
      <c r="B935" s="9"/>
      <c r="C935" s="3"/>
      <c r="D935" s="3"/>
      <c r="E935" s="3"/>
      <c r="F935" s="3"/>
      <c r="G935" s="3"/>
      <c r="H935" s="3"/>
      <c r="I935" s="3"/>
    </row>
    <row r="936" spans="1:9" ht="15.75" customHeight="1" x14ac:dyDescent="0.2">
      <c r="A936" s="9"/>
      <c r="B936" s="9"/>
      <c r="C936" s="3"/>
      <c r="D936" s="3"/>
      <c r="E936" s="3"/>
      <c r="F936" s="3"/>
      <c r="G936" s="3"/>
      <c r="H936" s="3"/>
      <c r="I936" s="3"/>
    </row>
    <row r="937" spans="1:9" ht="15.75" customHeight="1" x14ac:dyDescent="0.2">
      <c r="A937" s="9"/>
      <c r="B937" s="9"/>
      <c r="C937" s="3"/>
      <c r="D937" s="3"/>
      <c r="E937" s="3"/>
      <c r="F937" s="3"/>
      <c r="G937" s="3"/>
      <c r="H937" s="3"/>
      <c r="I937" s="3"/>
    </row>
    <row r="938" spans="1:9" ht="15.75" customHeight="1" x14ac:dyDescent="0.2">
      <c r="A938" s="9"/>
      <c r="B938" s="9"/>
      <c r="C938" s="3"/>
      <c r="D938" s="3"/>
      <c r="E938" s="3"/>
      <c r="F938" s="3"/>
      <c r="G938" s="3"/>
      <c r="H938" s="3"/>
      <c r="I938" s="3"/>
    </row>
    <row r="939" spans="1:9" ht="15.75" customHeight="1" x14ac:dyDescent="0.2">
      <c r="A939" s="9"/>
      <c r="B939" s="9"/>
      <c r="C939" s="3"/>
      <c r="D939" s="3"/>
      <c r="E939" s="3"/>
      <c r="F939" s="3"/>
      <c r="G939" s="3"/>
      <c r="H939" s="3"/>
      <c r="I939" s="3"/>
    </row>
    <row r="940" spans="1:9" ht="15.75" customHeight="1" x14ac:dyDescent="0.2">
      <c r="A940" s="9"/>
      <c r="B940" s="9"/>
      <c r="C940" s="3"/>
      <c r="D940" s="3"/>
      <c r="E940" s="3"/>
      <c r="F940" s="3"/>
      <c r="G940" s="3"/>
      <c r="H940" s="3"/>
      <c r="I940" s="3"/>
    </row>
    <row r="941" spans="1:9" ht="15.75" customHeight="1" x14ac:dyDescent="0.2">
      <c r="A941" s="9"/>
      <c r="B941" s="9"/>
      <c r="C941" s="3"/>
      <c r="D941" s="3"/>
      <c r="E941" s="3"/>
      <c r="F941" s="3"/>
      <c r="G941" s="3"/>
      <c r="H941" s="3"/>
      <c r="I941" s="3"/>
    </row>
    <row r="942" spans="1:9" ht="15.75" customHeight="1" x14ac:dyDescent="0.2">
      <c r="A942" s="9"/>
      <c r="B942" s="9"/>
      <c r="C942" s="3"/>
      <c r="D942" s="3"/>
      <c r="E942" s="3"/>
      <c r="F942" s="3"/>
      <c r="G942" s="3"/>
      <c r="H942" s="3"/>
      <c r="I942" s="3"/>
    </row>
    <row r="943" spans="1:9" ht="15.75" customHeight="1" x14ac:dyDescent="0.2">
      <c r="A943" s="9"/>
      <c r="B943" s="9"/>
      <c r="C943" s="3"/>
      <c r="D943" s="3"/>
      <c r="E943" s="3"/>
      <c r="F943" s="3"/>
      <c r="G943" s="3"/>
      <c r="H943" s="3"/>
      <c r="I943" s="3"/>
    </row>
    <row r="944" spans="1:9" ht="15.75" customHeight="1" x14ac:dyDescent="0.2">
      <c r="A944" s="9"/>
      <c r="B944" s="9"/>
      <c r="C944" s="3"/>
      <c r="D944" s="3"/>
      <c r="E944" s="3"/>
      <c r="F944" s="3"/>
      <c r="G944" s="3"/>
      <c r="H944" s="3"/>
      <c r="I944" s="3"/>
    </row>
    <row r="945" spans="1:9" ht="15.75" customHeight="1" x14ac:dyDescent="0.2">
      <c r="A945" s="9"/>
      <c r="B945" s="9"/>
      <c r="C945" s="3"/>
      <c r="D945" s="3"/>
      <c r="E945" s="3"/>
      <c r="F945" s="3"/>
      <c r="G945" s="3"/>
      <c r="H945" s="3"/>
      <c r="I945" s="3"/>
    </row>
    <row r="946" spans="1:9" ht="15.75" customHeight="1" x14ac:dyDescent="0.2">
      <c r="A946" s="9"/>
      <c r="B946" s="9"/>
      <c r="C946" s="3"/>
      <c r="D946" s="3"/>
      <c r="E946" s="3"/>
      <c r="F946" s="3"/>
      <c r="G946" s="3"/>
      <c r="H946" s="3"/>
      <c r="I946" s="3"/>
    </row>
    <row r="947" spans="1:9" ht="15.75" customHeight="1" x14ac:dyDescent="0.2">
      <c r="A947" s="9"/>
      <c r="B947" s="9"/>
      <c r="C947" s="3"/>
      <c r="D947" s="3"/>
      <c r="E947" s="3"/>
      <c r="F947" s="3"/>
      <c r="G947" s="3"/>
      <c r="H947" s="3"/>
      <c r="I947" s="3"/>
    </row>
    <row r="948" spans="1:9" ht="15.75" customHeight="1" x14ac:dyDescent="0.2">
      <c r="A948" s="9"/>
      <c r="B948" s="9"/>
      <c r="C948" s="3"/>
      <c r="D948" s="3"/>
      <c r="E948" s="3"/>
      <c r="F948" s="3"/>
      <c r="G948" s="3"/>
      <c r="H948" s="3"/>
      <c r="I948" s="3"/>
    </row>
    <row r="949" spans="1:9" ht="15.75" customHeight="1" x14ac:dyDescent="0.2">
      <c r="A949" s="9"/>
      <c r="B949" s="9"/>
      <c r="C949" s="3"/>
      <c r="D949" s="3"/>
      <c r="E949" s="3"/>
      <c r="F949" s="3"/>
      <c r="G949" s="3"/>
      <c r="H949" s="3"/>
      <c r="I949" s="3"/>
    </row>
    <row r="950" spans="1:9" ht="15.75" customHeight="1" x14ac:dyDescent="0.2">
      <c r="A950" s="9"/>
      <c r="B950" s="9"/>
      <c r="C950" s="3"/>
      <c r="D950" s="3"/>
      <c r="E950" s="3"/>
      <c r="F950" s="3"/>
      <c r="G950" s="3"/>
      <c r="H950" s="3"/>
      <c r="I950" s="3"/>
    </row>
    <row r="951" spans="1:9" ht="15.75" customHeight="1" x14ac:dyDescent="0.2">
      <c r="A951" s="9"/>
      <c r="B951" s="9"/>
      <c r="C951" s="3"/>
      <c r="D951" s="3"/>
      <c r="E951" s="3"/>
      <c r="F951" s="3"/>
      <c r="G951" s="3"/>
      <c r="H951" s="3"/>
      <c r="I951" s="3"/>
    </row>
    <row r="952" spans="1:9" ht="15.75" customHeight="1" x14ac:dyDescent="0.2">
      <c r="A952" s="9"/>
      <c r="B952" s="9"/>
      <c r="C952" s="3"/>
      <c r="D952" s="3"/>
      <c r="E952" s="3"/>
      <c r="F952" s="3"/>
      <c r="G952" s="3"/>
      <c r="H952" s="3"/>
      <c r="I952" s="3"/>
    </row>
    <row r="953" spans="1:9" ht="15.75" customHeight="1" x14ac:dyDescent="0.2">
      <c r="A953" s="9"/>
      <c r="B953" s="9"/>
      <c r="C953" s="3"/>
      <c r="D953" s="3"/>
      <c r="E953" s="3"/>
      <c r="F953" s="3"/>
      <c r="G953" s="3"/>
      <c r="H953" s="3"/>
      <c r="I953" s="3"/>
    </row>
    <row r="954" spans="1:9" ht="15.75" customHeight="1" x14ac:dyDescent="0.2">
      <c r="A954" s="9"/>
      <c r="B954" s="9"/>
      <c r="C954" s="3"/>
      <c r="D954" s="3"/>
      <c r="E954" s="3"/>
      <c r="F954" s="3"/>
      <c r="G954" s="3"/>
      <c r="H954" s="3"/>
      <c r="I954" s="3"/>
    </row>
    <row r="955" spans="1:9" ht="15.75" customHeight="1" x14ac:dyDescent="0.2">
      <c r="A955" s="9"/>
      <c r="B955" s="9"/>
      <c r="C955" s="3"/>
      <c r="D955" s="3"/>
      <c r="E955" s="3"/>
      <c r="F955" s="3"/>
      <c r="G955" s="3"/>
      <c r="H955" s="3"/>
      <c r="I955" s="3"/>
    </row>
    <row r="956" spans="1:9" ht="15.75" customHeight="1" x14ac:dyDescent="0.2">
      <c r="A956" s="9"/>
      <c r="B956" s="9"/>
      <c r="C956" s="3"/>
      <c r="D956" s="3"/>
      <c r="E956" s="3"/>
      <c r="F956" s="3"/>
      <c r="G956" s="3"/>
      <c r="H956" s="3"/>
      <c r="I956" s="3"/>
    </row>
    <row r="957" spans="1:9" ht="15.75" customHeight="1" x14ac:dyDescent="0.2">
      <c r="A957" s="9"/>
      <c r="B957" s="9"/>
      <c r="C957" s="3"/>
      <c r="D957" s="3"/>
      <c r="E957" s="3"/>
      <c r="F957" s="3"/>
      <c r="G957" s="3"/>
      <c r="H957" s="3"/>
      <c r="I957" s="3"/>
    </row>
    <row r="958" spans="1:9" ht="15.75" customHeight="1" x14ac:dyDescent="0.2">
      <c r="A958" s="9"/>
      <c r="B958" s="9"/>
      <c r="C958" s="3"/>
      <c r="D958" s="3"/>
      <c r="E958" s="3"/>
      <c r="F958" s="3"/>
      <c r="G958" s="3"/>
      <c r="H958" s="3"/>
      <c r="I958" s="3"/>
    </row>
    <row r="959" spans="1:9" ht="15.75" customHeight="1" x14ac:dyDescent="0.2">
      <c r="A959" s="9"/>
      <c r="B959" s="9"/>
      <c r="C959" s="3"/>
      <c r="D959" s="3"/>
      <c r="E959" s="3"/>
      <c r="F959" s="3"/>
      <c r="G959" s="3"/>
      <c r="H959" s="3"/>
      <c r="I959" s="3"/>
    </row>
    <row r="960" spans="1:9" ht="15.75" customHeight="1" x14ac:dyDescent="0.2">
      <c r="A960" s="9"/>
      <c r="B960" s="9"/>
      <c r="C960" s="3"/>
      <c r="D960" s="3"/>
      <c r="E960" s="3"/>
      <c r="F960" s="3"/>
      <c r="G960" s="3"/>
      <c r="H960" s="3"/>
      <c r="I960" s="3"/>
    </row>
    <row r="961" spans="1:9" ht="15.75" customHeight="1" x14ac:dyDescent="0.2">
      <c r="A961" s="9"/>
      <c r="B961" s="9"/>
      <c r="C961" s="3"/>
      <c r="D961" s="3"/>
      <c r="E961" s="3"/>
      <c r="F961" s="3"/>
      <c r="G961" s="3"/>
      <c r="H961" s="3"/>
      <c r="I961" s="3"/>
    </row>
    <row r="962" spans="1:9" ht="15.75" customHeight="1" x14ac:dyDescent="0.2">
      <c r="A962" s="9"/>
      <c r="B962" s="9"/>
      <c r="C962" s="3"/>
      <c r="D962" s="3"/>
      <c r="E962" s="3"/>
      <c r="F962" s="3"/>
      <c r="G962" s="3"/>
      <c r="H962" s="3"/>
      <c r="I962" s="3"/>
    </row>
    <row r="963" spans="1:9" ht="15.75" customHeight="1" x14ac:dyDescent="0.2">
      <c r="A963" s="9"/>
      <c r="B963" s="9"/>
      <c r="C963" s="3"/>
      <c r="D963" s="3"/>
      <c r="E963" s="3"/>
      <c r="F963" s="3"/>
      <c r="G963" s="3"/>
      <c r="H963" s="3"/>
      <c r="I963" s="3"/>
    </row>
    <row r="964" spans="1:9" ht="15.75" customHeight="1" x14ac:dyDescent="0.2">
      <c r="A964" s="9"/>
      <c r="B964" s="9"/>
      <c r="C964" s="3"/>
      <c r="D964" s="3"/>
      <c r="E964" s="3"/>
      <c r="F964" s="3"/>
      <c r="G964" s="3"/>
      <c r="H964" s="3"/>
      <c r="I964" s="3"/>
    </row>
    <row r="965" spans="1:9" ht="15.75" customHeight="1" x14ac:dyDescent="0.2">
      <c r="A965" s="9"/>
      <c r="B965" s="9"/>
      <c r="C965" s="3"/>
      <c r="D965" s="3"/>
      <c r="E965" s="3"/>
      <c r="F965" s="3"/>
      <c r="G965" s="3"/>
      <c r="H965" s="3"/>
      <c r="I965" s="3"/>
    </row>
    <row r="966" spans="1:9" ht="15.75" customHeight="1" x14ac:dyDescent="0.2">
      <c r="A966" s="9"/>
      <c r="B966" s="9"/>
      <c r="C966" s="3"/>
      <c r="D966" s="3"/>
      <c r="E966" s="3"/>
      <c r="F966" s="3"/>
      <c r="G966" s="3"/>
      <c r="H966" s="3"/>
      <c r="I966" s="3"/>
    </row>
    <row r="967" spans="1:9" ht="15.75" customHeight="1" x14ac:dyDescent="0.2">
      <c r="A967" s="9"/>
      <c r="B967" s="9"/>
      <c r="C967" s="3"/>
      <c r="D967" s="3"/>
      <c r="E967" s="3"/>
      <c r="F967" s="3"/>
      <c r="G967" s="3"/>
      <c r="H967" s="3"/>
      <c r="I967" s="3"/>
    </row>
    <row r="968" spans="1:9" ht="15.75" customHeight="1" x14ac:dyDescent="0.2">
      <c r="A968" s="9"/>
      <c r="B968" s="9"/>
      <c r="C968" s="3"/>
      <c r="D968" s="3"/>
      <c r="E968" s="3"/>
      <c r="F968" s="3"/>
      <c r="G968" s="3"/>
      <c r="H968" s="3"/>
      <c r="I968" s="3"/>
    </row>
    <row r="969" spans="1:9" ht="15.75" customHeight="1" x14ac:dyDescent="0.2">
      <c r="A969" s="9"/>
      <c r="B969" s="9"/>
      <c r="C969" s="3"/>
      <c r="D969" s="3"/>
      <c r="E969" s="3"/>
      <c r="F969" s="3"/>
      <c r="G969" s="3"/>
      <c r="H969" s="3"/>
      <c r="I969" s="3"/>
    </row>
    <row r="970" spans="1:9" ht="15.75" customHeight="1" x14ac:dyDescent="0.2">
      <c r="A970" s="9"/>
      <c r="B970" s="9"/>
      <c r="C970" s="3"/>
      <c r="D970" s="3"/>
      <c r="E970" s="3"/>
      <c r="F970" s="3"/>
      <c r="G970" s="3"/>
      <c r="H970" s="3"/>
      <c r="I970" s="3"/>
    </row>
    <row r="971" spans="1:9" ht="15.75" customHeight="1" x14ac:dyDescent="0.2">
      <c r="A971" s="9"/>
      <c r="B971" s="9"/>
      <c r="C971" s="3"/>
      <c r="D971" s="3"/>
      <c r="E971" s="3"/>
      <c r="F971" s="3"/>
      <c r="G971" s="3"/>
      <c r="H971" s="3"/>
      <c r="I971" s="3"/>
    </row>
    <row r="972" spans="1:9" ht="15.75" customHeight="1" x14ac:dyDescent="0.2">
      <c r="A972" s="9"/>
      <c r="B972" s="9"/>
      <c r="C972" s="3"/>
      <c r="D972" s="3"/>
      <c r="E972" s="3"/>
      <c r="F972" s="3"/>
      <c r="G972" s="3"/>
      <c r="H972" s="3"/>
      <c r="I972" s="3"/>
    </row>
    <row r="973" spans="1:9" ht="15.75" customHeight="1" x14ac:dyDescent="0.2">
      <c r="A973" s="9"/>
      <c r="B973" s="9"/>
      <c r="C973" s="3"/>
      <c r="D973" s="3"/>
      <c r="E973" s="3"/>
      <c r="F973" s="3"/>
      <c r="G973" s="3"/>
      <c r="H973" s="3"/>
      <c r="I973" s="3"/>
    </row>
    <row r="974" spans="1:9" ht="15.75" customHeight="1" x14ac:dyDescent="0.2">
      <c r="A974" s="9"/>
      <c r="B974" s="9"/>
      <c r="C974" s="3"/>
      <c r="D974" s="3"/>
      <c r="E974" s="3"/>
      <c r="F974" s="3"/>
      <c r="G974" s="3"/>
      <c r="H974" s="3"/>
      <c r="I974" s="3"/>
    </row>
    <row r="975" spans="1:9" ht="15.75" customHeight="1" x14ac:dyDescent="0.2">
      <c r="A975" s="9"/>
      <c r="B975" s="9"/>
      <c r="C975" s="3"/>
      <c r="D975" s="3"/>
      <c r="E975" s="3"/>
      <c r="F975" s="3"/>
      <c r="G975" s="3"/>
      <c r="H975" s="3"/>
      <c r="I975" s="3"/>
    </row>
    <row r="976" spans="1:9" ht="15.75" customHeight="1" x14ac:dyDescent="0.2">
      <c r="A976" s="9"/>
      <c r="B976" s="9"/>
      <c r="C976" s="3"/>
      <c r="D976" s="3"/>
      <c r="E976" s="3"/>
      <c r="F976" s="3"/>
      <c r="G976" s="3"/>
      <c r="H976" s="3"/>
      <c r="I976" s="3"/>
    </row>
    <row r="977" spans="1:9" ht="15.75" customHeight="1" x14ac:dyDescent="0.2">
      <c r="A977" s="9"/>
      <c r="B977" s="9"/>
      <c r="C977" s="3"/>
      <c r="D977" s="3"/>
      <c r="E977" s="3"/>
      <c r="F977" s="3"/>
      <c r="G977" s="3"/>
      <c r="H977" s="3"/>
      <c r="I977" s="3"/>
    </row>
    <row r="978" spans="1:9" ht="15.75" customHeight="1" x14ac:dyDescent="0.2">
      <c r="A978" s="9"/>
      <c r="B978" s="9"/>
      <c r="C978" s="3"/>
      <c r="D978" s="3"/>
      <c r="E978" s="3"/>
      <c r="F978" s="3"/>
      <c r="G978" s="3"/>
      <c r="H978" s="3"/>
      <c r="I978" s="3"/>
    </row>
    <row r="979" spans="1:9" ht="15.75" customHeight="1" x14ac:dyDescent="0.2">
      <c r="A979" s="9"/>
      <c r="B979" s="9"/>
      <c r="C979" s="3"/>
      <c r="D979" s="3"/>
      <c r="E979" s="3"/>
      <c r="F979" s="3"/>
      <c r="G979" s="3"/>
      <c r="H979" s="3"/>
      <c r="I979" s="3"/>
    </row>
    <row r="980" spans="1:9" ht="15.75" customHeight="1" x14ac:dyDescent="0.2">
      <c r="A980" s="9"/>
      <c r="B980" s="9"/>
      <c r="C980" s="3"/>
      <c r="D980" s="3"/>
      <c r="E980" s="3"/>
      <c r="F980" s="3"/>
      <c r="G980" s="3"/>
      <c r="H980" s="3"/>
      <c r="I980" s="3"/>
    </row>
    <row r="981" spans="1:9" ht="15.75" customHeight="1" x14ac:dyDescent="0.2">
      <c r="A981" s="9"/>
      <c r="B981" s="9"/>
      <c r="C981" s="3"/>
      <c r="D981" s="3"/>
      <c r="E981" s="3"/>
      <c r="F981" s="3"/>
      <c r="G981" s="3"/>
      <c r="H981" s="3"/>
      <c r="I981" s="3"/>
    </row>
    <row r="982" spans="1:9" ht="15.75" customHeight="1" x14ac:dyDescent="0.2">
      <c r="A982" s="9"/>
      <c r="B982" s="9"/>
      <c r="C982" s="3"/>
      <c r="D982" s="3"/>
      <c r="E982" s="3"/>
      <c r="F982" s="3"/>
      <c r="G982" s="3"/>
      <c r="H982" s="3"/>
      <c r="I982" s="3"/>
    </row>
    <row r="983" spans="1:9" ht="15.75" customHeight="1" x14ac:dyDescent="0.2">
      <c r="A983" s="9"/>
      <c r="B983" s="9"/>
      <c r="C983" s="3"/>
      <c r="D983" s="3"/>
      <c r="E983" s="3"/>
      <c r="F983" s="3"/>
      <c r="G983" s="3"/>
      <c r="H983" s="3"/>
      <c r="I983" s="3"/>
    </row>
    <row r="984" spans="1:9" ht="15.75" customHeight="1" x14ac:dyDescent="0.2">
      <c r="A984" s="9"/>
      <c r="B984" s="9"/>
      <c r="C984" s="3"/>
      <c r="D984" s="3"/>
      <c r="E984" s="3"/>
      <c r="F984" s="3"/>
      <c r="G984" s="3"/>
      <c r="H984" s="3"/>
      <c r="I984" s="3"/>
    </row>
    <row r="985" spans="1:9" ht="15.75" customHeight="1" x14ac:dyDescent="0.2">
      <c r="A985" s="9"/>
      <c r="B985" s="9"/>
      <c r="C985" s="3"/>
      <c r="D985" s="3"/>
      <c r="E985" s="3"/>
      <c r="F985" s="3"/>
      <c r="G985" s="3"/>
      <c r="H985" s="3"/>
      <c r="I985" s="3"/>
    </row>
    <row r="986" spans="1:9" ht="15.75" customHeight="1" x14ac:dyDescent="0.2">
      <c r="A986" s="9"/>
      <c r="B986" s="9"/>
      <c r="C986" s="3"/>
      <c r="D986" s="3"/>
      <c r="E986" s="3"/>
      <c r="F986" s="3"/>
      <c r="G986" s="3"/>
      <c r="H986" s="3"/>
      <c r="I986" s="3"/>
    </row>
    <row r="987" spans="1:9" ht="15.75" customHeight="1" x14ac:dyDescent="0.2">
      <c r="A987" s="9"/>
      <c r="B987" s="9"/>
      <c r="C987" s="3"/>
      <c r="D987" s="3"/>
      <c r="E987" s="3"/>
      <c r="F987" s="3"/>
      <c r="G987" s="3"/>
      <c r="H987" s="3"/>
      <c r="I987" s="3"/>
    </row>
    <row r="988" spans="1:9" ht="15.75" customHeight="1" x14ac:dyDescent="0.2">
      <c r="A988" s="9"/>
      <c r="B988" s="9"/>
      <c r="C988" s="3"/>
      <c r="D988" s="3"/>
      <c r="E988" s="3"/>
      <c r="F988" s="3"/>
      <c r="G988" s="3"/>
      <c r="H988" s="3"/>
      <c r="I988" s="3"/>
    </row>
    <row r="989" spans="1:9" ht="15.75" customHeight="1" x14ac:dyDescent="0.2">
      <c r="A989" s="9"/>
      <c r="B989" s="9"/>
      <c r="C989" s="3"/>
      <c r="D989" s="3"/>
      <c r="E989" s="3"/>
      <c r="F989" s="3"/>
      <c r="G989" s="3"/>
      <c r="H989" s="3"/>
      <c r="I989" s="3"/>
    </row>
    <row r="990" spans="1:9" ht="15.75" customHeight="1" x14ac:dyDescent="0.2">
      <c r="A990" s="9"/>
      <c r="B990" s="9"/>
      <c r="C990" s="3"/>
      <c r="D990" s="3"/>
      <c r="E990" s="3"/>
      <c r="F990" s="3"/>
      <c r="G990" s="3"/>
      <c r="H990" s="3"/>
      <c r="I990" s="3"/>
    </row>
    <row r="991" spans="1:9" ht="15.75" customHeight="1" x14ac:dyDescent="0.2">
      <c r="A991" s="9"/>
      <c r="B991" s="9"/>
      <c r="C991" s="3"/>
      <c r="D991" s="3"/>
      <c r="E991" s="3"/>
      <c r="F991" s="3"/>
      <c r="G991" s="3"/>
      <c r="H991" s="3"/>
      <c r="I991" s="3"/>
    </row>
    <row r="992" spans="1:9" ht="15.75" customHeight="1" x14ac:dyDescent="0.2">
      <c r="A992" s="9"/>
      <c r="B992" s="9"/>
      <c r="C992" s="3"/>
      <c r="D992" s="3"/>
      <c r="E992" s="3"/>
      <c r="F992" s="3"/>
      <c r="G992" s="3"/>
      <c r="H992" s="3"/>
      <c r="I992" s="3"/>
    </row>
    <row r="993" spans="1:9" ht="15.75" customHeight="1" x14ac:dyDescent="0.2">
      <c r="A993" s="9"/>
      <c r="B993" s="9"/>
      <c r="C993" s="3"/>
      <c r="D993" s="3"/>
      <c r="E993" s="3"/>
      <c r="F993" s="3"/>
      <c r="G993" s="3"/>
      <c r="H993" s="3"/>
      <c r="I993" s="3"/>
    </row>
    <row r="994" spans="1:9" ht="15.75" customHeight="1" x14ac:dyDescent="0.2">
      <c r="A994" s="9"/>
      <c r="B994" s="9"/>
      <c r="C994" s="3"/>
      <c r="D994" s="3"/>
      <c r="E994" s="3"/>
      <c r="F994" s="3"/>
      <c r="G994" s="3"/>
      <c r="H994" s="3"/>
      <c r="I994" s="3"/>
    </row>
    <row r="995" spans="1:9" ht="15.75" customHeight="1" x14ac:dyDescent="0.2">
      <c r="A995" s="9"/>
      <c r="B995" s="9"/>
      <c r="C995" s="3"/>
      <c r="D995" s="3"/>
      <c r="E995" s="3"/>
      <c r="F995" s="3"/>
      <c r="G995" s="3"/>
      <c r="H995" s="3"/>
      <c r="I995" s="3"/>
    </row>
    <row r="996" spans="1:9" ht="15.75" customHeight="1" x14ac:dyDescent="0.2">
      <c r="A996" s="9"/>
      <c r="B996" s="9"/>
      <c r="C996" s="3"/>
      <c r="D996" s="3"/>
      <c r="E996" s="3"/>
      <c r="F996" s="3"/>
      <c r="G996" s="3"/>
      <c r="H996" s="3"/>
      <c r="I996" s="3"/>
    </row>
    <row r="997" spans="1:9" ht="15.75" customHeight="1" x14ac:dyDescent="0.2">
      <c r="A997" s="9"/>
      <c r="B997" s="9"/>
      <c r="C997" s="3"/>
      <c r="D997" s="3"/>
      <c r="E997" s="3"/>
      <c r="F997" s="3"/>
      <c r="G997" s="3"/>
      <c r="H997" s="3"/>
      <c r="I997" s="3"/>
    </row>
    <row r="998" spans="1:9" ht="15.75" customHeight="1" x14ac:dyDescent="0.2">
      <c r="A998" s="9"/>
      <c r="B998" s="9"/>
      <c r="C998" s="3"/>
      <c r="D998" s="3"/>
      <c r="E998" s="3"/>
      <c r="F998" s="3"/>
      <c r="G998" s="3"/>
      <c r="H998" s="3"/>
      <c r="I998" s="3"/>
    </row>
    <row r="999" spans="1:9" ht="15.75" customHeight="1" x14ac:dyDescent="0.2">
      <c r="A999" s="9"/>
      <c r="B999" s="9"/>
      <c r="C999" s="3"/>
      <c r="D999" s="3"/>
      <c r="E999" s="3"/>
      <c r="F999" s="3"/>
      <c r="G999" s="3"/>
      <c r="H999" s="3"/>
      <c r="I999" s="3"/>
    </row>
    <row r="1000" spans="1:9" ht="15.75" customHeight="1" x14ac:dyDescent="0.2">
      <c r="A1000" s="9"/>
      <c r="B1000" s="9"/>
      <c r="C1000" s="3"/>
      <c r="D1000" s="3"/>
      <c r="E1000" s="3"/>
      <c r="F1000" s="3"/>
      <c r="G1000" s="3"/>
      <c r="H1000" s="3"/>
      <c r="I1000" s="3"/>
    </row>
    <row r="1001" spans="1:9" ht="15.75" customHeight="1" x14ac:dyDescent="0.2">
      <c r="A1001" s="9"/>
      <c r="B1001" s="9"/>
      <c r="C1001" s="3"/>
      <c r="D1001" s="3"/>
      <c r="E1001" s="3"/>
      <c r="F1001" s="3"/>
      <c r="G1001" s="3"/>
      <c r="H1001" s="3"/>
      <c r="I1001" s="3"/>
    </row>
    <row r="1002" spans="1:9" ht="15.75" customHeight="1" x14ac:dyDescent="0.2">
      <c r="A1002" s="9"/>
      <c r="B1002" s="9"/>
      <c r="C1002" s="3"/>
      <c r="D1002" s="3"/>
      <c r="E1002" s="3"/>
      <c r="F1002" s="3"/>
      <c r="G1002" s="3"/>
      <c r="H1002" s="3"/>
      <c r="I1002" s="3"/>
    </row>
    <row r="1003" spans="1:9" ht="15.75" customHeight="1" x14ac:dyDescent="0.2">
      <c r="A1003" s="9"/>
      <c r="B1003" s="9"/>
      <c r="C1003" s="3"/>
      <c r="D1003" s="3"/>
      <c r="E1003" s="3"/>
      <c r="F1003" s="3"/>
      <c r="G1003" s="3"/>
      <c r="H1003" s="3"/>
      <c r="I1003" s="3"/>
    </row>
    <row r="1004" spans="1:9" ht="15.75" customHeight="1" x14ac:dyDescent="0.2">
      <c r="A1004" s="9"/>
      <c r="B1004" s="9"/>
      <c r="C1004" s="3"/>
      <c r="D1004" s="3"/>
      <c r="E1004" s="3"/>
      <c r="F1004" s="3"/>
      <c r="G1004" s="3"/>
      <c r="H1004" s="3"/>
      <c r="I1004" s="3"/>
    </row>
    <row r="1005" spans="1:9" ht="15.75" customHeight="1" x14ac:dyDescent="0.2">
      <c r="A1005" s="9"/>
      <c r="B1005" s="9"/>
      <c r="C1005" s="3"/>
      <c r="D1005" s="3"/>
      <c r="E1005" s="3"/>
      <c r="F1005" s="3"/>
      <c r="G1005" s="3"/>
      <c r="H1005" s="3"/>
      <c r="I1005" s="3"/>
    </row>
    <row r="1006" spans="1:9" ht="15.75" customHeight="1" x14ac:dyDescent="0.2">
      <c r="A1006" s="9"/>
      <c r="B1006" s="9"/>
      <c r="C1006" s="3"/>
      <c r="D1006" s="3"/>
      <c r="E1006" s="3"/>
      <c r="F1006" s="3"/>
      <c r="G1006" s="3"/>
      <c r="H1006" s="3"/>
      <c r="I1006" s="3"/>
    </row>
    <row r="1007" spans="1:9" ht="15.75" customHeight="1" x14ac:dyDescent="0.2">
      <c r="A1007" s="9"/>
      <c r="B1007" s="9"/>
      <c r="C1007" s="3"/>
      <c r="D1007" s="3"/>
      <c r="E1007" s="3"/>
      <c r="F1007" s="3"/>
      <c r="G1007" s="3"/>
      <c r="H1007" s="3"/>
      <c r="I1007" s="3"/>
    </row>
    <row r="1008" spans="1:9" ht="15.75" customHeight="1" x14ac:dyDescent="0.2">
      <c r="A1008" s="9"/>
      <c r="B1008" s="9"/>
      <c r="C1008" s="3"/>
      <c r="D1008" s="3"/>
      <c r="E1008" s="3"/>
      <c r="F1008" s="3"/>
      <c r="G1008" s="3"/>
      <c r="H1008" s="3"/>
      <c r="I1008" s="3"/>
    </row>
    <row r="1009" spans="1:9" ht="15.75" customHeight="1" x14ac:dyDescent="0.2">
      <c r="A1009" s="9"/>
      <c r="B1009" s="9"/>
      <c r="C1009" s="3"/>
      <c r="D1009" s="3"/>
      <c r="E1009" s="3"/>
      <c r="F1009" s="3"/>
      <c r="G1009" s="3"/>
      <c r="H1009" s="3"/>
      <c r="I1009" s="3"/>
    </row>
    <row r="1010" spans="1:9" ht="15.75" customHeight="1" x14ac:dyDescent="0.2">
      <c r="A1010" s="9"/>
      <c r="B1010" s="9"/>
      <c r="C1010" s="3"/>
      <c r="D1010" s="3"/>
      <c r="E1010" s="3"/>
      <c r="F1010" s="3"/>
      <c r="G1010" s="3"/>
      <c r="H1010" s="3"/>
      <c r="I1010" s="3"/>
    </row>
    <row r="1011" spans="1:9" ht="15.75" customHeight="1" x14ac:dyDescent="0.2">
      <c r="A1011" s="9"/>
      <c r="B1011" s="9"/>
      <c r="C1011" s="3"/>
      <c r="D1011" s="3"/>
      <c r="E1011" s="3"/>
      <c r="F1011" s="3"/>
      <c r="G1011" s="3"/>
      <c r="H1011" s="3"/>
      <c r="I1011" s="3"/>
    </row>
    <row r="1012" spans="1:9" ht="15.75" customHeight="1" x14ac:dyDescent="0.2">
      <c r="A1012" s="9"/>
      <c r="B1012" s="9"/>
      <c r="C1012" s="3"/>
      <c r="D1012" s="3"/>
      <c r="E1012" s="3"/>
      <c r="F1012" s="3"/>
      <c r="G1012" s="3"/>
      <c r="H1012" s="3"/>
      <c r="I1012" s="3"/>
    </row>
    <row r="1013" spans="1:9" ht="15.75" customHeight="1" x14ac:dyDescent="0.2">
      <c r="A1013" s="9"/>
      <c r="B1013" s="9"/>
      <c r="C1013" s="3"/>
      <c r="D1013" s="3"/>
      <c r="E1013" s="3"/>
      <c r="F1013" s="3"/>
      <c r="G1013" s="3"/>
      <c r="H1013" s="3"/>
      <c r="I1013" s="3"/>
    </row>
    <row r="1014" spans="1:9" ht="15.75" customHeight="1" x14ac:dyDescent="0.2">
      <c r="A1014" s="9"/>
      <c r="B1014" s="9"/>
      <c r="C1014" s="3"/>
      <c r="D1014" s="3"/>
      <c r="E1014" s="3"/>
      <c r="F1014" s="3"/>
      <c r="G1014" s="3"/>
      <c r="H1014" s="3"/>
      <c r="I1014" s="3"/>
    </row>
    <row r="1015" spans="1:9" ht="15.75" customHeight="1" x14ac:dyDescent="0.2">
      <c r="A1015" s="9"/>
      <c r="B1015" s="9"/>
      <c r="C1015" s="3"/>
      <c r="D1015" s="3"/>
      <c r="E1015" s="3"/>
      <c r="F1015" s="3"/>
      <c r="G1015" s="3"/>
      <c r="H1015" s="3"/>
      <c r="I1015" s="3"/>
    </row>
    <row r="1016" spans="1:9" ht="15.75" customHeight="1" x14ac:dyDescent="0.2">
      <c r="A1016" s="9"/>
      <c r="B1016" s="9"/>
      <c r="C1016" s="3"/>
      <c r="D1016" s="3"/>
      <c r="E1016" s="3"/>
      <c r="F1016" s="3"/>
      <c r="G1016" s="3"/>
      <c r="H1016" s="3"/>
      <c r="I1016" s="3"/>
    </row>
    <row r="1017" spans="1:9" ht="15.75" customHeight="1" x14ac:dyDescent="0.2">
      <c r="A1017" s="9"/>
      <c r="B1017" s="9"/>
      <c r="C1017" s="3"/>
      <c r="D1017" s="3"/>
      <c r="E1017" s="3"/>
      <c r="F1017" s="3"/>
      <c r="G1017" s="3"/>
      <c r="H1017" s="3"/>
      <c r="I1017" s="3"/>
    </row>
    <row r="1018" spans="1:9" ht="15.75" customHeight="1" x14ac:dyDescent="0.2">
      <c r="A1018" s="9"/>
      <c r="B1018" s="9"/>
      <c r="C1018" s="3"/>
      <c r="D1018" s="3"/>
      <c r="E1018" s="3"/>
      <c r="F1018" s="3"/>
      <c r="G1018" s="3"/>
      <c r="H1018" s="3"/>
      <c r="I1018" s="3"/>
    </row>
    <row r="1019" spans="1:9" ht="15.75" customHeight="1" x14ac:dyDescent="0.2">
      <c r="A1019" s="9"/>
      <c r="B1019" s="9"/>
      <c r="C1019" s="3"/>
      <c r="D1019" s="3"/>
      <c r="E1019" s="3"/>
      <c r="F1019" s="3"/>
      <c r="G1019" s="3"/>
      <c r="H1019" s="3"/>
      <c r="I1019" s="3"/>
    </row>
    <row r="1020" spans="1:9" ht="15.75" customHeight="1" x14ac:dyDescent="0.2">
      <c r="A1020" s="9"/>
      <c r="B1020" s="9"/>
      <c r="C1020" s="3"/>
      <c r="D1020" s="3"/>
      <c r="E1020" s="3"/>
      <c r="F1020" s="3"/>
      <c r="G1020" s="3"/>
      <c r="H1020" s="3"/>
      <c r="I1020" s="3"/>
    </row>
    <row r="1021" spans="1:9" ht="15.75" customHeight="1" x14ac:dyDescent="0.2">
      <c r="A1021" s="9"/>
      <c r="B1021" s="9"/>
      <c r="C1021" s="3"/>
      <c r="D1021" s="3"/>
      <c r="E1021" s="3"/>
      <c r="F1021" s="3"/>
      <c r="G1021" s="3"/>
      <c r="H1021" s="3"/>
      <c r="I1021" s="3"/>
    </row>
    <row r="1022" spans="1:9" ht="15.75" customHeight="1" x14ac:dyDescent="0.2">
      <c r="A1022" s="9"/>
      <c r="B1022" s="9"/>
      <c r="C1022" s="3"/>
      <c r="D1022" s="3"/>
      <c r="E1022" s="3"/>
      <c r="F1022" s="3"/>
      <c r="G1022" s="3"/>
      <c r="H1022" s="3"/>
      <c r="I1022" s="3"/>
    </row>
    <row r="1023" spans="1:9" ht="15.75" customHeight="1" x14ac:dyDescent="0.2">
      <c r="A1023" s="9"/>
      <c r="B1023" s="9"/>
      <c r="C1023" s="3"/>
      <c r="D1023" s="3"/>
      <c r="E1023" s="3"/>
      <c r="F1023" s="3"/>
      <c r="G1023" s="3"/>
      <c r="H1023" s="3"/>
      <c r="I1023" s="3"/>
    </row>
    <row r="1024" spans="1:9" ht="15.75" customHeight="1" x14ac:dyDescent="0.2">
      <c r="A1024" s="9"/>
      <c r="B1024" s="9"/>
      <c r="C1024" s="3"/>
      <c r="D1024" s="3"/>
      <c r="E1024" s="3"/>
      <c r="F1024" s="3"/>
      <c r="G1024" s="3"/>
      <c r="H1024" s="3"/>
      <c r="I1024" s="3"/>
    </row>
    <row r="1025" spans="1:9" ht="15.75" customHeight="1" x14ac:dyDescent="0.2">
      <c r="A1025" s="9"/>
      <c r="B1025" s="9"/>
      <c r="C1025" s="3"/>
      <c r="D1025" s="3"/>
      <c r="E1025" s="3"/>
      <c r="F1025" s="3"/>
      <c r="G1025" s="3"/>
      <c r="H1025" s="3"/>
      <c r="I1025" s="3"/>
    </row>
    <row r="1026" spans="1:9" ht="15.75" customHeight="1" x14ac:dyDescent="0.2">
      <c r="A1026" s="9"/>
      <c r="B1026" s="9"/>
      <c r="C1026" s="3"/>
      <c r="D1026" s="3"/>
      <c r="E1026" s="3"/>
      <c r="F1026" s="3"/>
      <c r="G1026" s="3"/>
      <c r="H1026" s="3"/>
      <c r="I1026" s="3"/>
    </row>
    <row r="1027" spans="1:9" ht="15.75" customHeight="1" x14ac:dyDescent="0.2">
      <c r="A1027" s="9"/>
      <c r="B1027" s="9"/>
      <c r="C1027" s="3"/>
      <c r="D1027" s="3"/>
      <c r="E1027" s="3"/>
      <c r="F1027" s="3"/>
      <c r="G1027" s="3"/>
      <c r="H1027" s="3"/>
      <c r="I1027" s="3"/>
    </row>
    <row r="1028" spans="1:9" ht="15.75" customHeight="1" x14ac:dyDescent="0.2">
      <c r="A1028" s="9"/>
      <c r="B1028" s="9"/>
      <c r="C1028" s="3"/>
      <c r="D1028" s="3"/>
      <c r="E1028" s="3"/>
      <c r="F1028" s="3"/>
      <c r="G1028" s="3"/>
      <c r="H1028" s="3"/>
      <c r="I1028" s="3"/>
    </row>
    <row r="1029" spans="1:9" ht="15.75" customHeight="1" x14ac:dyDescent="0.2">
      <c r="A1029" s="9"/>
      <c r="B1029" s="9"/>
      <c r="C1029" s="3"/>
      <c r="D1029" s="3"/>
      <c r="E1029" s="3"/>
      <c r="F1029" s="3"/>
      <c r="G1029" s="3"/>
      <c r="H1029" s="3"/>
      <c r="I1029" s="3"/>
    </row>
    <row r="1030" spans="1:9" ht="15.75" customHeight="1" x14ac:dyDescent="0.2">
      <c r="A1030" s="9"/>
      <c r="B1030" s="9"/>
      <c r="C1030" s="3"/>
      <c r="D1030" s="3"/>
      <c r="E1030" s="3"/>
      <c r="F1030" s="3"/>
      <c r="G1030" s="3"/>
      <c r="H1030" s="3"/>
      <c r="I1030" s="3"/>
    </row>
    <row r="1031" spans="1:9" ht="15.75" customHeight="1" x14ac:dyDescent="0.2">
      <c r="A1031" s="9"/>
      <c r="B1031" s="9"/>
      <c r="C1031" s="3"/>
      <c r="D1031" s="3"/>
      <c r="E1031" s="3"/>
      <c r="F1031" s="3"/>
      <c r="G1031" s="3"/>
      <c r="H1031" s="3"/>
      <c r="I1031" s="3"/>
    </row>
    <row r="1032" spans="1:9" ht="15.75" customHeight="1" x14ac:dyDescent="0.2">
      <c r="A1032" s="9"/>
      <c r="B1032" s="9"/>
      <c r="C1032" s="3"/>
      <c r="D1032" s="3"/>
      <c r="E1032" s="3"/>
      <c r="F1032" s="3"/>
      <c r="G1032" s="3"/>
      <c r="H1032" s="3"/>
      <c r="I1032" s="3"/>
    </row>
    <row r="1033" spans="1:9" ht="15.75" customHeight="1" x14ac:dyDescent="0.2">
      <c r="A1033" s="9"/>
      <c r="B1033" s="9"/>
      <c r="C1033" s="3"/>
      <c r="D1033" s="3"/>
      <c r="E1033" s="3"/>
      <c r="F1033" s="3"/>
      <c r="G1033" s="3"/>
      <c r="H1033" s="3"/>
      <c r="I1033" s="3"/>
    </row>
    <row r="1034" spans="1:9" ht="15.75" customHeight="1" x14ac:dyDescent="0.2">
      <c r="A1034" s="9"/>
      <c r="B1034" s="9"/>
      <c r="C1034" s="3"/>
      <c r="D1034" s="3"/>
      <c r="E1034" s="3"/>
      <c r="F1034" s="3"/>
      <c r="G1034" s="3"/>
      <c r="H1034" s="3"/>
      <c r="I1034" s="3"/>
    </row>
    <row r="1035" spans="1:9" ht="15.75" customHeight="1" x14ac:dyDescent="0.2">
      <c r="A1035" s="9"/>
      <c r="B1035" s="9"/>
      <c r="C1035" s="3"/>
      <c r="D1035" s="3"/>
      <c r="E1035" s="3"/>
      <c r="F1035" s="3"/>
      <c r="G1035" s="3"/>
      <c r="H1035" s="3"/>
      <c r="I1035" s="3"/>
    </row>
    <row r="1036" spans="1:9" ht="15.75" customHeight="1" x14ac:dyDescent="0.2">
      <c r="A1036" s="9"/>
      <c r="B1036" s="9"/>
      <c r="C1036" s="3"/>
      <c r="D1036" s="3"/>
      <c r="E1036" s="3"/>
      <c r="F1036" s="3"/>
      <c r="G1036" s="3"/>
      <c r="H1036" s="3"/>
      <c r="I1036" s="3"/>
    </row>
    <row r="1037" spans="1:9" ht="15.75" customHeight="1" x14ac:dyDescent="0.2">
      <c r="A1037" s="9"/>
      <c r="B1037" s="9"/>
      <c r="C1037" s="3"/>
      <c r="D1037" s="3"/>
      <c r="E1037" s="3"/>
      <c r="F1037" s="3"/>
      <c r="G1037" s="3"/>
      <c r="H1037" s="3"/>
      <c r="I1037" s="3"/>
    </row>
    <row r="1038" spans="1:9" ht="15.75" customHeight="1" x14ac:dyDescent="0.2">
      <c r="A1038" s="9"/>
      <c r="B1038" s="9"/>
      <c r="C1038" s="3"/>
      <c r="D1038" s="3"/>
      <c r="E1038" s="3"/>
      <c r="F1038" s="3"/>
      <c r="G1038" s="3"/>
      <c r="H1038" s="3"/>
      <c r="I1038" s="3"/>
    </row>
    <row r="1039" spans="1:9" ht="15.75" customHeight="1" x14ac:dyDescent="0.2">
      <c r="A1039" s="9"/>
      <c r="B1039" s="9"/>
      <c r="C1039" s="3"/>
      <c r="D1039" s="3"/>
      <c r="E1039" s="3"/>
      <c r="F1039" s="3"/>
      <c r="G1039" s="3"/>
      <c r="H1039" s="3"/>
      <c r="I1039" s="3"/>
    </row>
    <row r="1040" spans="1:9" ht="15.75" customHeight="1" x14ac:dyDescent="0.2">
      <c r="A1040" s="9"/>
      <c r="B1040" s="9"/>
      <c r="C1040" s="3"/>
      <c r="D1040" s="3"/>
      <c r="E1040" s="3"/>
      <c r="F1040" s="3"/>
      <c r="G1040" s="3"/>
      <c r="H1040" s="3"/>
      <c r="I1040" s="3"/>
    </row>
    <row r="1041" spans="1:9" ht="15.75" customHeight="1" x14ac:dyDescent="0.2">
      <c r="A1041" s="9"/>
      <c r="B1041" s="9"/>
      <c r="C1041" s="3"/>
      <c r="D1041" s="3"/>
      <c r="E1041" s="3"/>
      <c r="F1041" s="3"/>
      <c r="G1041" s="3"/>
      <c r="H1041" s="3"/>
      <c r="I1041" s="3"/>
    </row>
    <row r="1042" spans="1:9" ht="15.75" customHeight="1" x14ac:dyDescent="0.2">
      <c r="A1042" s="9"/>
      <c r="B1042" s="9"/>
      <c r="C1042" s="3"/>
      <c r="D1042" s="3"/>
      <c r="E1042" s="3"/>
      <c r="F1042" s="3"/>
      <c r="G1042" s="3"/>
      <c r="H1042" s="3"/>
      <c r="I1042" s="3"/>
    </row>
    <row r="1043" spans="1:9" ht="15.75" customHeight="1" x14ac:dyDescent="0.2">
      <c r="A1043" s="9"/>
      <c r="B1043" s="9"/>
      <c r="C1043" s="3"/>
      <c r="D1043" s="3"/>
      <c r="E1043" s="3"/>
      <c r="F1043" s="3"/>
      <c r="G1043" s="3"/>
      <c r="H1043" s="3"/>
      <c r="I1043" s="3"/>
    </row>
    <row r="1044" spans="1:9" ht="15.75" customHeight="1" x14ac:dyDescent="0.2">
      <c r="A1044" s="9"/>
      <c r="B1044" s="9"/>
      <c r="C1044" s="3"/>
      <c r="D1044" s="3"/>
      <c r="E1044" s="3"/>
      <c r="F1044" s="3"/>
      <c r="G1044" s="3"/>
      <c r="H1044" s="3"/>
      <c r="I1044" s="3"/>
    </row>
    <row r="1045" spans="1:9" ht="15.75" customHeight="1" x14ac:dyDescent="0.2">
      <c r="A1045" s="9"/>
      <c r="B1045" s="9"/>
      <c r="C1045" s="3"/>
      <c r="D1045" s="3"/>
      <c r="E1045" s="3"/>
      <c r="F1045" s="3"/>
      <c r="G1045" s="3"/>
      <c r="H1045" s="3"/>
      <c r="I1045" s="3"/>
    </row>
    <row r="1046" spans="1:9" ht="15.75" customHeight="1" x14ac:dyDescent="0.2">
      <c r="A1046" s="9"/>
      <c r="B1046" s="9"/>
      <c r="C1046" s="3"/>
      <c r="D1046" s="3"/>
      <c r="E1046" s="3"/>
      <c r="F1046" s="3"/>
      <c r="G1046" s="3"/>
      <c r="H1046" s="3"/>
      <c r="I1046" s="3"/>
    </row>
    <row r="1047" spans="1:9" ht="15.75" customHeight="1" x14ac:dyDescent="0.2">
      <c r="A1047" s="9"/>
      <c r="B1047" s="9"/>
      <c r="C1047" s="3"/>
      <c r="D1047" s="3"/>
      <c r="E1047" s="3"/>
      <c r="F1047" s="3"/>
      <c r="G1047" s="3"/>
      <c r="H1047" s="3"/>
      <c r="I1047" s="3"/>
    </row>
    <row r="1048" spans="1:9" ht="15.75" customHeight="1" x14ac:dyDescent="0.2">
      <c r="A1048" s="9"/>
      <c r="B1048" s="9"/>
      <c r="C1048" s="3"/>
      <c r="D1048" s="3"/>
      <c r="E1048" s="3"/>
      <c r="F1048" s="3"/>
      <c r="G1048" s="3"/>
      <c r="H1048" s="3"/>
      <c r="I1048" s="3"/>
    </row>
    <row r="1049" spans="1:9" ht="15.75" customHeight="1" x14ac:dyDescent="0.2">
      <c r="A1049" s="9"/>
      <c r="B1049" s="9"/>
      <c r="C1049" s="3"/>
      <c r="D1049" s="3"/>
      <c r="E1049" s="3"/>
      <c r="F1049" s="3"/>
      <c r="G1049" s="3"/>
      <c r="H1049" s="3"/>
      <c r="I1049" s="3"/>
    </row>
    <row r="1050" spans="1:9" ht="15.75" customHeight="1" x14ac:dyDescent="0.2">
      <c r="A1050" s="9"/>
      <c r="B1050" s="9"/>
      <c r="C1050" s="3"/>
      <c r="D1050" s="3"/>
      <c r="E1050" s="3"/>
      <c r="F1050" s="3"/>
      <c r="G1050" s="3"/>
      <c r="H1050" s="3"/>
      <c r="I1050" s="3"/>
    </row>
    <row r="1051" spans="1:9" ht="15.75" customHeight="1" x14ac:dyDescent="0.2">
      <c r="A1051" s="9"/>
      <c r="B1051" s="9"/>
      <c r="C1051" s="3"/>
      <c r="D1051" s="3"/>
      <c r="E1051" s="3"/>
      <c r="F1051" s="3"/>
      <c r="G1051" s="3"/>
      <c r="H1051" s="3"/>
      <c r="I1051" s="3"/>
    </row>
    <row r="1052" spans="1:9" ht="15.75" customHeight="1" x14ac:dyDescent="0.2">
      <c r="A1052" s="9"/>
      <c r="B1052" s="9"/>
      <c r="C1052" s="3"/>
      <c r="D1052" s="3"/>
      <c r="E1052" s="3"/>
      <c r="F1052" s="3"/>
      <c r="G1052" s="3"/>
      <c r="H1052" s="3"/>
      <c r="I1052" s="3"/>
    </row>
    <row r="1053" spans="1:9" ht="15.75" customHeight="1" x14ac:dyDescent="0.2">
      <c r="A1053" s="9"/>
      <c r="B1053" s="9"/>
      <c r="C1053" s="3"/>
      <c r="D1053" s="3"/>
      <c r="E1053" s="3"/>
      <c r="F1053" s="3"/>
      <c r="G1053" s="3"/>
      <c r="H1053" s="3"/>
      <c r="I1053" s="3"/>
    </row>
    <row r="1054" spans="1:9" ht="15.75" customHeight="1" x14ac:dyDescent="0.2">
      <c r="A1054" s="9"/>
      <c r="B1054" s="9"/>
      <c r="C1054" s="3"/>
      <c r="D1054" s="3"/>
      <c r="E1054" s="3"/>
      <c r="F1054" s="3"/>
      <c r="G1054" s="3"/>
      <c r="H1054" s="3"/>
      <c r="I1054" s="3"/>
    </row>
    <row r="1055" spans="1:9" ht="15.75" customHeight="1" x14ac:dyDescent="0.2">
      <c r="A1055" s="9"/>
      <c r="B1055" s="9"/>
      <c r="C1055" s="3"/>
      <c r="D1055" s="3"/>
      <c r="E1055" s="3"/>
      <c r="F1055" s="3"/>
      <c r="G1055" s="3"/>
      <c r="H1055" s="3"/>
      <c r="I1055" s="3"/>
    </row>
    <row r="1056" spans="1:9" ht="15.75" customHeight="1" x14ac:dyDescent="0.2">
      <c r="A1056" s="9"/>
      <c r="B1056" s="9"/>
      <c r="C1056" s="3"/>
      <c r="D1056" s="3"/>
      <c r="E1056" s="3"/>
      <c r="F1056" s="3"/>
      <c r="G1056" s="3"/>
      <c r="H1056" s="3"/>
      <c r="I1056" s="3"/>
    </row>
    <row r="1057" spans="1:9" ht="15.75" customHeight="1" x14ac:dyDescent="0.2">
      <c r="A1057" s="9"/>
      <c r="B1057" s="9"/>
      <c r="C1057" s="3"/>
      <c r="D1057" s="3"/>
      <c r="E1057" s="3"/>
      <c r="F1057" s="3"/>
      <c r="G1057" s="3"/>
      <c r="H1057" s="3"/>
      <c r="I1057" s="3"/>
    </row>
    <row r="1058" spans="1:9" ht="15.75" customHeight="1" x14ac:dyDescent="0.2">
      <c r="A1058" s="9"/>
      <c r="B1058" s="9"/>
      <c r="C1058" s="3"/>
      <c r="D1058" s="3"/>
      <c r="E1058" s="3"/>
      <c r="F1058" s="3"/>
      <c r="G1058" s="3"/>
      <c r="H1058" s="3"/>
      <c r="I1058" s="3"/>
    </row>
    <row r="1059" spans="1:9" ht="15.75" customHeight="1" x14ac:dyDescent="0.2">
      <c r="A1059" s="9"/>
      <c r="B1059" s="9"/>
      <c r="C1059" s="3"/>
      <c r="D1059" s="3"/>
      <c r="E1059" s="3"/>
      <c r="F1059" s="3"/>
      <c r="G1059" s="3"/>
      <c r="H1059" s="3"/>
      <c r="I1059" s="3"/>
    </row>
    <row r="1060" spans="1:9" ht="15.75" customHeight="1" x14ac:dyDescent="0.2">
      <c r="A1060" s="9"/>
      <c r="B1060" s="9"/>
      <c r="C1060" s="3"/>
      <c r="D1060" s="3"/>
      <c r="E1060" s="3"/>
      <c r="F1060" s="3"/>
      <c r="G1060" s="3"/>
      <c r="H1060" s="3"/>
      <c r="I1060" s="3"/>
    </row>
    <row r="1061" spans="1:9" ht="15.75" customHeight="1" x14ac:dyDescent="0.2">
      <c r="A1061" s="9"/>
      <c r="B1061" s="9"/>
      <c r="C1061" s="3"/>
      <c r="D1061" s="3"/>
      <c r="E1061" s="3"/>
      <c r="F1061" s="3"/>
      <c r="G1061" s="3"/>
      <c r="H1061" s="3"/>
      <c r="I1061" s="3"/>
    </row>
    <row r="1062" spans="1:9" ht="15.75" customHeight="1" x14ac:dyDescent="0.2">
      <c r="A1062" s="9"/>
      <c r="B1062" s="9"/>
      <c r="C1062" s="3"/>
      <c r="D1062" s="3"/>
      <c r="E1062" s="3"/>
      <c r="F1062" s="3"/>
      <c r="G1062" s="3"/>
      <c r="H1062" s="3"/>
      <c r="I1062" s="3"/>
    </row>
    <row r="1063" spans="1:9" ht="15.75" customHeight="1" x14ac:dyDescent="0.2">
      <c r="A1063" s="9"/>
      <c r="B1063" s="9"/>
      <c r="C1063" s="3"/>
      <c r="D1063" s="3"/>
      <c r="E1063" s="3"/>
      <c r="F1063" s="3"/>
      <c r="G1063" s="3"/>
      <c r="H1063" s="3"/>
      <c r="I1063" s="3"/>
    </row>
    <row r="1064" spans="1:9" ht="15.75" customHeight="1" x14ac:dyDescent="0.2">
      <c r="A1064" s="9"/>
      <c r="B1064" s="9"/>
      <c r="C1064" s="3"/>
      <c r="D1064" s="3"/>
      <c r="E1064" s="3"/>
      <c r="F1064" s="3"/>
      <c r="G1064" s="3"/>
      <c r="H1064" s="3"/>
      <c r="I1064" s="3"/>
    </row>
    <row r="1065" spans="1:9" ht="15.75" customHeight="1" x14ac:dyDescent="0.2">
      <c r="A1065" s="9"/>
      <c r="B1065" s="9"/>
      <c r="C1065" s="3"/>
      <c r="D1065" s="3"/>
      <c r="E1065" s="3"/>
      <c r="F1065" s="3"/>
      <c r="G1065" s="3"/>
      <c r="H1065" s="3"/>
      <c r="I1065" s="3"/>
    </row>
    <row r="1066" spans="1:9" ht="15.75" customHeight="1" x14ac:dyDescent="0.2">
      <c r="A1066" s="9"/>
      <c r="B1066" s="9"/>
      <c r="C1066" s="3"/>
      <c r="D1066" s="3"/>
      <c r="E1066" s="3"/>
      <c r="F1066" s="3"/>
      <c r="G1066" s="3"/>
      <c r="H1066" s="3"/>
      <c r="I1066" s="3"/>
    </row>
    <row r="1067" spans="1:9" ht="15.75" customHeight="1" x14ac:dyDescent="0.2">
      <c r="A1067" s="9"/>
      <c r="B1067" s="9"/>
      <c r="C1067" s="3"/>
      <c r="D1067" s="3"/>
      <c r="E1067" s="3"/>
      <c r="F1067" s="3"/>
      <c r="G1067" s="3"/>
      <c r="H1067" s="3"/>
      <c r="I1067" s="3"/>
    </row>
    <row r="1068" spans="1:9" ht="15.75" customHeight="1" x14ac:dyDescent="0.2">
      <c r="A1068" s="9"/>
      <c r="B1068" s="9"/>
      <c r="C1068" s="3"/>
      <c r="D1068" s="3"/>
      <c r="E1068" s="3"/>
      <c r="F1068" s="3"/>
      <c r="G1068" s="3"/>
      <c r="H1068" s="3"/>
      <c r="I1068" s="3"/>
    </row>
    <row r="1069" spans="1:9" ht="15.75" customHeight="1" x14ac:dyDescent="0.2">
      <c r="A1069" s="9"/>
      <c r="B1069" s="9"/>
      <c r="C1069" s="3"/>
      <c r="D1069" s="3"/>
      <c r="E1069" s="3"/>
      <c r="F1069" s="3"/>
      <c r="G1069" s="3"/>
      <c r="H1069" s="3"/>
      <c r="I1069" s="3"/>
    </row>
    <row r="1070" spans="1:9" ht="15.75" customHeight="1" x14ac:dyDescent="0.2">
      <c r="A1070" s="9"/>
      <c r="B1070" s="9"/>
      <c r="C1070" s="3"/>
      <c r="D1070" s="3"/>
      <c r="E1070" s="3"/>
      <c r="F1070" s="3"/>
      <c r="G1070" s="3"/>
      <c r="H1070" s="3"/>
      <c r="I1070" s="3"/>
    </row>
    <row r="1071" spans="1:9" ht="15.75" customHeight="1" x14ac:dyDescent="0.2">
      <c r="A1071" s="9"/>
      <c r="B1071" s="9"/>
      <c r="C1071" s="3"/>
      <c r="D1071" s="3"/>
      <c r="E1071" s="3"/>
      <c r="F1071" s="3"/>
      <c r="G1071" s="3"/>
      <c r="H1071" s="3"/>
      <c r="I1071" s="3"/>
    </row>
    <row r="1072" spans="1:9" ht="15.75" customHeight="1" x14ac:dyDescent="0.2">
      <c r="A1072" s="9"/>
      <c r="B1072" s="9"/>
      <c r="C1072" s="3"/>
      <c r="D1072" s="3"/>
      <c r="E1072" s="3"/>
      <c r="F1072" s="3"/>
      <c r="G1072" s="3"/>
      <c r="H1072" s="3"/>
      <c r="I1072" s="3"/>
    </row>
    <row r="1073" spans="1:9" ht="15.75" customHeight="1" x14ac:dyDescent="0.2">
      <c r="A1073" s="9"/>
      <c r="B1073" s="9"/>
      <c r="C1073" s="3"/>
      <c r="D1073" s="3"/>
      <c r="E1073" s="3"/>
      <c r="F1073" s="3"/>
      <c r="G1073" s="3"/>
      <c r="H1073" s="3"/>
      <c r="I1073" s="3"/>
    </row>
    <row r="1074" spans="1:9" ht="15.75" customHeight="1" x14ac:dyDescent="0.2">
      <c r="A1074" s="9"/>
      <c r="B1074" s="9"/>
      <c r="C1074" s="3"/>
      <c r="D1074" s="3"/>
      <c r="E1074" s="3"/>
      <c r="F1074" s="3"/>
      <c r="G1074" s="3"/>
      <c r="H1074" s="3"/>
      <c r="I1074" s="3"/>
    </row>
    <row r="1075" spans="1:9" ht="15.75" customHeight="1" x14ac:dyDescent="0.2">
      <c r="A1075" s="9"/>
      <c r="B1075" s="9"/>
      <c r="C1075" s="3"/>
      <c r="D1075" s="3"/>
      <c r="E1075" s="3"/>
      <c r="F1075" s="3"/>
      <c r="G1075" s="3"/>
      <c r="H1075" s="3"/>
      <c r="I1075" s="3"/>
    </row>
    <row r="1076" spans="1:9" ht="15.75" customHeight="1" x14ac:dyDescent="0.2">
      <c r="A1076" s="9"/>
      <c r="B1076" s="9"/>
      <c r="C1076" s="3"/>
      <c r="D1076" s="3"/>
      <c r="E1076" s="3"/>
      <c r="F1076" s="3"/>
      <c r="G1076" s="3"/>
      <c r="H1076" s="3"/>
      <c r="I1076" s="3"/>
    </row>
    <row r="1077" spans="1:9" ht="15.75" customHeight="1" x14ac:dyDescent="0.2">
      <c r="A1077" s="9"/>
      <c r="B1077" s="9"/>
      <c r="C1077" s="3"/>
      <c r="D1077" s="3"/>
      <c r="E1077" s="3"/>
      <c r="F1077" s="3"/>
      <c r="G1077" s="3"/>
      <c r="H1077" s="3"/>
      <c r="I1077" s="3"/>
    </row>
    <row r="1078" spans="1:9" ht="15.75" customHeight="1" x14ac:dyDescent="0.2">
      <c r="A1078" s="9"/>
      <c r="B1078" s="9"/>
      <c r="C1078" s="3"/>
      <c r="D1078" s="3"/>
      <c r="E1078" s="3"/>
      <c r="F1078" s="3"/>
      <c r="G1078" s="3"/>
      <c r="H1078" s="3"/>
      <c r="I1078" s="3"/>
    </row>
    <row r="1079" spans="1:9" ht="15.75" customHeight="1" x14ac:dyDescent="0.2">
      <c r="A1079" s="9"/>
      <c r="B1079" s="9"/>
      <c r="C1079" s="3"/>
      <c r="D1079" s="3"/>
      <c r="E1079" s="3"/>
      <c r="F1079" s="3"/>
      <c r="G1079" s="3"/>
      <c r="H1079" s="3"/>
      <c r="I1079" s="3"/>
    </row>
    <row r="1080" spans="1:9" ht="15.75" customHeight="1" x14ac:dyDescent="0.2">
      <c r="A1080" s="9"/>
      <c r="B1080" s="9"/>
      <c r="C1080" s="3"/>
      <c r="D1080" s="3"/>
      <c r="E1080" s="3"/>
      <c r="F1080" s="3"/>
      <c r="G1080" s="3"/>
      <c r="H1080" s="3"/>
      <c r="I1080" s="3"/>
    </row>
    <row r="1081" spans="1:9" ht="15.75" customHeight="1" x14ac:dyDescent="0.2">
      <c r="A1081" s="9"/>
      <c r="B1081" s="9"/>
      <c r="C1081" s="3"/>
      <c r="D1081" s="3"/>
      <c r="E1081" s="3"/>
      <c r="F1081" s="3"/>
      <c r="G1081" s="3"/>
      <c r="H1081" s="3"/>
      <c r="I1081" s="3"/>
    </row>
    <row r="1082" spans="1:9" ht="15.75" customHeight="1" x14ac:dyDescent="0.2">
      <c r="A1082" s="9"/>
      <c r="B1082" s="9"/>
      <c r="C1082" s="3"/>
      <c r="D1082" s="3"/>
      <c r="E1082" s="3"/>
      <c r="F1082" s="3"/>
      <c r="G1082" s="3"/>
      <c r="H1082" s="3"/>
      <c r="I1082" s="3"/>
    </row>
    <row r="1083" spans="1:9" ht="15.75" customHeight="1" x14ac:dyDescent="0.2">
      <c r="A1083" s="9"/>
      <c r="B1083" s="9"/>
      <c r="C1083" s="3"/>
      <c r="D1083" s="3"/>
      <c r="E1083" s="3"/>
      <c r="F1083" s="3"/>
      <c r="G1083" s="3"/>
      <c r="H1083" s="3"/>
      <c r="I1083" s="3"/>
    </row>
    <row r="1084" spans="1:9" ht="15.75" customHeight="1" x14ac:dyDescent="0.2">
      <c r="A1084" s="9"/>
      <c r="B1084" s="9"/>
      <c r="C1084" s="3"/>
      <c r="D1084" s="3"/>
      <c r="E1084" s="3"/>
      <c r="F1084" s="3"/>
      <c r="G1084" s="3"/>
      <c r="H1084" s="3"/>
      <c r="I1084" s="3"/>
    </row>
    <row r="1085" spans="1:9" ht="15.75" customHeight="1" x14ac:dyDescent="0.2">
      <c r="A1085" s="9"/>
      <c r="B1085" s="9"/>
      <c r="C1085" s="3"/>
      <c r="D1085" s="3"/>
      <c r="E1085" s="3"/>
      <c r="F1085" s="3"/>
      <c r="G1085" s="3"/>
      <c r="H1085" s="3"/>
      <c r="I1085" s="3"/>
    </row>
    <row r="1086" spans="1:9" ht="15.75" customHeight="1" x14ac:dyDescent="0.2">
      <c r="A1086" s="9"/>
      <c r="B1086" s="9"/>
      <c r="C1086" s="3"/>
      <c r="D1086" s="3"/>
      <c r="E1086" s="3"/>
      <c r="F1086" s="3"/>
      <c r="G1086" s="3"/>
      <c r="H1086" s="3"/>
      <c r="I1086" s="3"/>
    </row>
    <row r="1087" spans="1:9" ht="15.75" customHeight="1" x14ac:dyDescent="0.2">
      <c r="A1087" s="9"/>
      <c r="B1087" s="9"/>
      <c r="C1087" s="3"/>
      <c r="D1087" s="3"/>
      <c r="E1087" s="3"/>
      <c r="F1087" s="3"/>
      <c r="G1087" s="3"/>
      <c r="H1087" s="3"/>
      <c r="I1087" s="3"/>
    </row>
    <row r="1088" spans="1:9" ht="15.75" customHeight="1" x14ac:dyDescent="0.2">
      <c r="A1088" s="9"/>
      <c r="B1088" s="9"/>
      <c r="C1088" s="3"/>
      <c r="D1088" s="3"/>
      <c r="E1088" s="3"/>
      <c r="F1088" s="3"/>
      <c r="G1088" s="3"/>
      <c r="H1088" s="3"/>
      <c r="I1088" s="3"/>
    </row>
    <row r="1089" spans="1:9" ht="15.75" customHeight="1" x14ac:dyDescent="0.2">
      <c r="A1089" s="9"/>
      <c r="B1089" s="9"/>
      <c r="C1089" s="3"/>
      <c r="D1089" s="3"/>
      <c r="E1089" s="3"/>
      <c r="F1089" s="3"/>
      <c r="G1089" s="3"/>
      <c r="H1089" s="3"/>
      <c r="I1089" s="3"/>
    </row>
    <row r="1090" spans="1:9" ht="15.75" customHeight="1" x14ac:dyDescent="0.2">
      <c r="A1090" s="9"/>
      <c r="B1090" s="9"/>
      <c r="C1090" s="3"/>
      <c r="D1090" s="3"/>
      <c r="E1090" s="3"/>
      <c r="F1090" s="3"/>
      <c r="G1090" s="3"/>
      <c r="H1090" s="3"/>
      <c r="I1090" s="3"/>
    </row>
    <row r="1091" spans="1:9" ht="15.75" customHeight="1" x14ac:dyDescent="0.2">
      <c r="A1091" s="9"/>
      <c r="B1091" s="9"/>
      <c r="C1091" s="3"/>
      <c r="D1091" s="3"/>
      <c r="E1091" s="3"/>
      <c r="F1091" s="3"/>
      <c r="G1091" s="3"/>
      <c r="H1091" s="3"/>
      <c r="I1091" s="3"/>
    </row>
    <row r="1092" spans="1:9" ht="15.75" customHeight="1" x14ac:dyDescent="0.2">
      <c r="A1092" s="9"/>
      <c r="B1092" s="9"/>
      <c r="C1092" s="3"/>
      <c r="D1092" s="3"/>
      <c r="E1092" s="3"/>
      <c r="F1092" s="3"/>
      <c r="G1092" s="3"/>
      <c r="H1092" s="3"/>
      <c r="I1092" s="3"/>
    </row>
    <row r="1093" spans="1:9" ht="15.75" customHeight="1" x14ac:dyDescent="0.2">
      <c r="A1093" s="9"/>
      <c r="B1093" s="9"/>
      <c r="C1093" s="3"/>
      <c r="D1093" s="3"/>
      <c r="E1093" s="3"/>
      <c r="F1093" s="3"/>
      <c r="G1093" s="3"/>
      <c r="H1093" s="3"/>
      <c r="I1093" s="3"/>
    </row>
    <row r="1094" spans="1:9" ht="15.75" customHeight="1" x14ac:dyDescent="0.2">
      <c r="A1094" s="9"/>
      <c r="B1094" s="9"/>
      <c r="C1094" s="3"/>
      <c r="D1094" s="3"/>
      <c r="E1094" s="3"/>
      <c r="F1094" s="3"/>
      <c r="G1094" s="3"/>
      <c r="H1094" s="3"/>
      <c r="I1094" s="3"/>
    </row>
    <row r="1095" spans="1:9" ht="15.75" customHeight="1" x14ac:dyDescent="0.2">
      <c r="A1095" s="9"/>
      <c r="B1095" s="9"/>
      <c r="C1095" s="3"/>
      <c r="D1095" s="3"/>
      <c r="E1095" s="3"/>
      <c r="F1095" s="3"/>
      <c r="G1095" s="3"/>
      <c r="H1095" s="3"/>
      <c r="I1095" s="3"/>
    </row>
    <row r="1096" spans="1:9" ht="15.75" customHeight="1" x14ac:dyDescent="0.2">
      <c r="A1096" s="9"/>
      <c r="B1096" s="9"/>
      <c r="C1096" s="3"/>
      <c r="D1096" s="3"/>
      <c r="E1096" s="3"/>
      <c r="F1096" s="3"/>
      <c r="G1096" s="3"/>
      <c r="H1096" s="3"/>
      <c r="I1096" s="3"/>
    </row>
    <row r="1097" spans="1:9" ht="15.75" customHeight="1" x14ac:dyDescent="0.2">
      <c r="A1097" s="9"/>
      <c r="B1097" s="9"/>
      <c r="C1097" s="3"/>
      <c r="D1097" s="3"/>
      <c r="E1097" s="3"/>
      <c r="F1097" s="3"/>
      <c r="G1097" s="3"/>
      <c r="H1097" s="3"/>
      <c r="I1097" s="3"/>
    </row>
    <row r="1098" spans="1:9" ht="15.75" customHeight="1" x14ac:dyDescent="0.2">
      <c r="A1098" s="9"/>
      <c r="B1098" s="9"/>
      <c r="C1098" s="3"/>
      <c r="D1098" s="3"/>
      <c r="E1098" s="3"/>
      <c r="F1098" s="3"/>
      <c r="G1098" s="3"/>
      <c r="H1098" s="3"/>
      <c r="I1098" s="3"/>
    </row>
    <row r="1099" spans="1:9" ht="15.75" customHeight="1" x14ac:dyDescent="0.2">
      <c r="A1099" s="9"/>
      <c r="B1099" s="9"/>
      <c r="C1099" s="3"/>
      <c r="D1099" s="3"/>
      <c r="E1099" s="3"/>
      <c r="F1099" s="3"/>
      <c r="G1099" s="3"/>
      <c r="H1099" s="3"/>
      <c r="I1099" s="3"/>
    </row>
    <row r="1100" spans="1:9" ht="15.75" customHeight="1" x14ac:dyDescent="0.2">
      <c r="A1100" s="9"/>
      <c r="B1100" s="9"/>
      <c r="C1100" s="3"/>
      <c r="D1100" s="3"/>
      <c r="E1100" s="3"/>
      <c r="F1100" s="3"/>
      <c r="G1100" s="3"/>
      <c r="H1100" s="3"/>
      <c r="I1100" s="3"/>
    </row>
    <row r="1101" spans="1:9" ht="15.75" customHeight="1" x14ac:dyDescent="0.2">
      <c r="A1101" s="9"/>
      <c r="B1101" s="9"/>
      <c r="C1101" s="3"/>
      <c r="D1101" s="3"/>
      <c r="E1101" s="3"/>
      <c r="F1101" s="3"/>
      <c r="G1101" s="3"/>
      <c r="H1101" s="3"/>
      <c r="I1101" s="3"/>
    </row>
    <row r="1102" spans="1:9" ht="15.75" customHeight="1" x14ac:dyDescent="0.2">
      <c r="A1102" s="9"/>
      <c r="B1102" s="9"/>
      <c r="C1102" s="3"/>
      <c r="D1102" s="3"/>
      <c r="E1102" s="3"/>
      <c r="F1102" s="3"/>
      <c r="G1102" s="3"/>
      <c r="H1102" s="3"/>
      <c r="I1102" s="3"/>
    </row>
    <row r="1103" spans="1:9" ht="15.75" customHeight="1" x14ac:dyDescent="0.2">
      <c r="A1103" s="9"/>
      <c r="B1103" s="9"/>
      <c r="C1103" s="3"/>
      <c r="D1103" s="3"/>
      <c r="E1103" s="3"/>
      <c r="F1103" s="3"/>
      <c r="G1103" s="3"/>
      <c r="H1103" s="3"/>
      <c r="I1103" s="3"/>
    </row>
    <row r="1104" spans="1:9" ht="15.75" customHeight="1" x14ac:dyDescent="0.2">
      <c r="A1104" s="9"/>
      <c r="B1104" s="9"/>
      <c r="C1104" s="3"/>
      <c r="D1104" s="3"/>
      <c r="E1104" s="3"/>
      <c r="F1104" s="3"/>
      <c r="G1104" s="3"/>
      <c r="H1104" s="3"/>
      <c r="I1104" s="3"/>
    </row>
    <row r="1105" spans="1:9" ht="15.75" customHeight="1" x14ac:dyDescent="0.2">
      <c r="A1105" s="9"/>
      <c r="B1105" s="9"/>
      <c r="C1105" s="3"/>
      <c r="D1105" s="3"/>
      <c r="E1105" s="3"/>
      <c r="F1105" s="3"/>
      <c r="G1105" s="3"/>
      <c r="H1105" s="3"/>
      <c r="I1105" s="3"/>
    </row>
    <row r="1106" spans="1:9" ht="15.75" customHeight="1" x14ac:dyDescent="0.2">
      <c r="A1106" s="9"/>
      <c r="B1106" s="9"/>
      <c r="C1106" s="3"/>
      <c r="D1106" s="3"/>
      <c r="E1106" s="3"/>
      <c r="F1106" s="3"/>
      <c r="G1106" s="3"/>
      <c r="H1106" s="3"/>
      <c r="I1106" s="3"/>
    </row>
    <row r="1107" spans="1:9" ht="15.75" customHeight="1" x14ac:dyDescent="0.2">
      <c r="A1107" s="9"/>
      <c r="B1107" s="9"/>
      <c r="C1107" s="3"/>
      <c r="D1107" s="3"/>
      <c r="E1107" s="3"/>
      <c r="F1107" s="3"/>
      <c r="G1107" s="3"/>
      <c r="H1107" s="3"/>
      <c r="I1107" s="3"/>
    </row>
    <row r="1108" spans="1:9" ht="15.75" customHeight="1" x14ac:dyDescent="0.2">
      <c r="A1108" s="9"/>
      <c r="B1108" s="9"/>
      <c r="C1108" s="3"/>
      <c r="D1108" s="3"/>
      <c r="E1108" s="3"/>
      <c r="F1108" s="3"/>
      <c r="G1108" s="3"/>
      <c r="H1108" s="3"/>
      <c r="I1108" s="3"/>
    </row>
    <row r="1109" spans="1:9" ht="15.75" customHeight="1" x14ac:dyDescent="0.2">
      <c r="A1109" s="9"/>
      <c r="B1109" s="9"/>
      <c r="C1109" s="3"/>
      <c r="D1109" s="3"/>
      <c r="E1109" s="3"/>
      <c r="F1109" s="3"/>
      <c r="G1109" s="3"/>
      <c r="H1109" s="3"/>
      <c r="I1109" s="3"/>
    </row>
    <row r="1110" spans="1:9" ht="15.75" customHeight="1" x14ac:dyDescent="0.2">
      <c r="A1110" s="9"/>
      <c r="B1110" s="9"/>
      <c r="C1110" s="3"/>
      <c r="D1110" s="3"/>
      <c r="E1110" s="3"/>
      <c r="F1110" s="3"/>
      <c r="G1110" s="3"/>
      <c r="H1110" s="3"/>
      <c r="I1110" s="3"/>
    </row>
    <row r="1111" spans="1:9" ht="15.75" customHeight="1" x14ac:dyDescent="0.2">
      <c r="A1111" s="9"/>
      <c r="B1111" s="9"/>
      <c r="C1111" s="3"/>
      <c r="D1111" s="3"/>
      <c r="E1111" s="3"/>
      <c r="F1111" s="3"/>
      <c r="G1111" s="3"/>
      <c r="H1111" s="3"/>
      <c r="I1111" s="3"/>
    </row>
    <row r="1112" spans="1:9" ht="15.75" customHeight="1" x14ac:dyDescent="0.2">
      <c r="A1112" s="9"/>
      <c r="B1112" s="9"/>
      <c r="C1112" s="3"/>
      <c r="D1112" s="3"/>
      <c r="E1112" s="3"/>
      <c r="F1112" s="3"/>
      <c r="G1112" s="3"/>
      <c r="H1112" s="3"/>
      <c r="I1112" s="3"/>
    </row>
    <row r="1113" spans="1:9" ht="15.75" customHeight="1" x14ac:dyDescent="0.2">
      <c r="A1113" s="9"/>
      <c r="B1113" s="9"/>
      <c r="C1113" s="3"/>
      <c r="D1113" s="3"/>
      <c r="E1113" s="3"/>
      <c r="F1113" s="3"/>
      <c r="G1113" s="3"/>
      <c r="H1113" s="3"/>
      <c r="I1113" s="3"/>
    </row>
    <row r="1114" spans="1:9" ht="15.75" customHeight="1" x14ac:dyDescent="0.2">
      <c r="A1114" s="9"/>
      <c r="B1114" s="9"/>
      <c r="C1114" s="3"/>
      <c r="D1114" s="3"/>
      <c r="E1114" s="3"/>
      <c r="F1114" s="3"/>
      <c r="G1114" s="3"/>
      <c r="H1114" s="3"/>
      <c r="I1114" s="3"/>
    </row>
    <row r="1115" spans="1:9" ht="15.75" customHeight="1" x14ac:dyDescent="0.2">
      <c r="A1115" s="9"/>
      <c r="B1115" s="9"/>
      <c r="C1115" s="3"/>
      <c r="D1115" s="3"/>
      <c r="E1115" s="3"/>
      <c r="F1115" s="3"/>
      <c r="G1115" s="3"/>
      <c r="H1115" s="3"/>
      <c r="I1115" s="3"/>
    </row>
    <row r="1116" spans="1:9" ht="15.75" customHeight="1" x14ac:dyDescent="0.2">
      <c r="A1116" s="9"/>
      <c r="B1116" s="9"/>
      <c r="C1116" s="3"/>
      <c r="D1116" s="3"/>
      <c r="E1116" s="3"/>
      <c r="F1116" s="3"/>
      <c r="G1116" s="3"/>
      <c r="H1116" s="3"/>
      <c r="I1116" s="3"/>
    </row>
    <row r="1117" spans="1:9" ht="15.75" customHeight="1" x14ac:dyDescent="0.2">
      <c r="A1117" s="9"/>
      <c r="B1117" s="9"/>
      <c r="C1117" s="3"/>
      <c r="D1117" s="3"/>
      <c r="E1117" s="3"/>
      <c r="F1117" s="3"/>
      <c r="G1117" s="3"/>
      <c r="H1117" s="3"/>
      <c r="I1117" s="3"/>
    </row>
    <row r="1118" spans="1:9" ht="15.75" customHeight="1" x14ac:dyDescent="0.2">
      <c r="A1118" s="9"/>
      <c r="B1118" s="9"/>
      <c r="C1118" s="3"/>
      <c r="D1118" s="3"/>
      <c r="E1118" s="3"/>
      <c r="F1118" s="3"/>
      <c r="G1118" s="3"/>
      <c r="H1118" s="3"/>
      <c r="I1118" s="3"/>
    </row>
    <row r="1119" spans="1:9" ht="15.75" customHeight="1" x14ac:dyDescent="0.2">
      <c r="A1119" s="9"/>
      <c r="B1119" s="9"/>
      <c r="C1119" s="3"/>
      <c r="D1119" s="3"/>
      <c r="E1119" s="3"/>
      <c r="F1119" s="3"/>
      <c r="G1119" s="3"/>
      <c r="H1119" s="3"/>
      <c r="I1119" s="3"/>
    </row>
    <row r="1120" spans="1:9" ht="15.75" customHeight="1" x14ac:dyDescent="0.2">
      <c r="A1120" s="9"/>
      <c r="B1120" s="9"/>
      <c r="C1120" s="3"/>
      <c r="D1120" s="3"/>
      <c r="E1120" s="3"/>
      <c r="F1120" s="3"/>
      <c r="G1120" s="3"/>
      <c r="H1120" s="3"/>
      <c r="I1120" s="3"/>
    </row>
    <row r="1121" spans="1:9" ht="15.75" customHeight="1" x14ac:dyDescent="0.2">
      <c r="A1121" s="9"/>
      <c r="B1121" s="9"/>
      <c r="C1121" s="3"/>
      <c r="D1121" s="3"/>
      <c r="E1121" s="3"/>
      <c r="F1121" s="3"/>
      <c r="G1121" s="3"/>
      <c r="H1121" s="3"/>
      <c r="I1121" s="3"/>
    </row>
    <row r="1122" spans="1:9" ht="15.75" customHeight="1" x14ac:dyDescent="0.2">
      <c r="A1122" s="9"/>
      <c r="B1122" s="9"/>
      <c r="C1122" s="3"/>
      <c r="D1122" s="3"/>
      <c r="E1122" s="3"/>
      <c r="F1122" s="3"/>
      <c r="G1122" s="3"/>
      <c r="H1122" s="3"/>
      <c r="I1122" s="3"/>
    </row>
    <row r="1123" spans="1:9" ht="15.75" customHeight="1" x14ac:dyDescent="0.2">
      <c r="A1123" s="9"/>
      <c r="B1123" s="9"/>
      <c r="C1123" s="3"/>
      <c r="D1123" s="3"/>
      <c r="E1123" s="3"/>
      <c r="F1123" s="3"/>
      <c r="G1123" s="3"/>
      <c r="H1123" s="3"/>
      <c r="I1123" s="3"/>
    </row>
    <row r="1124" spans="1:9" ht="15.75" customHeight="1" x14ac:dyDescent="0.2">
      <c r="A1124" s="9"/>
      <c r="B1124" s="9"/>
      <c r="C1124" s="3"/>
      <c r="D1124" s="3"/>
      <c r="E1124" s="3"/>
      <c r="F1124" s="3"/>
      <c r="G1124" s="3"/>
      <c r="H1124" s="3"/>
      <c r="I1124" s="3"/>
    </row>
    <row r="1125" spans="1:9" ht="15.75" customHeight="1" x14ac:dyDescent="0.2">
      <c r="A1125" s="9"/>
      <c r="B1125" s="9"/>
      <c r="C1125" s="3"/>
      <c r="D1125" s="3"/>
      <c r="E1125" s="3"/>
      <c r="F1125" s="3"/>
      <c r="G1125" s="3"/>
      <c r="H1125" s="3"/>
      <c r="I1125" s="3"/>
    </row>
    <row r="1126" spans="1:9" ht="15.75" customHeight="1" x14ac:dyDescent="0.2">
      <c r="A1126" s="9"/>
      <c r="B1126" s="9"/>
      <c r="C1126" s="3"/>
      <c r="D1126" s="3"/>
      <c r="E1126" s="3"/>
      <c r="F1126" s="3"/>
      <c r="G1126" s="3"/>
      <c r="H1126" s="3"/>
      <c r="I1126" s="3"/>
    </row>
    <row r="1127" spans="1:9" ht="15.75" customHeight="1" x14ac:dyDescent="0.2">
      <c r="A1127" s="9"/>
      <c r="B1127" s="9"/>
      <c r="C1127" s="3"/>
      <c r="D1127" s="3"/>
      <c r="E1127" s="3"/>
      <c r="F1127" s="3"/>
      <c r="G1127" s="3"/>
      <c r="H1127" s="3"/>
      <c r="I1127" s="3"/>
    </row>
    <row r="1128" spans="1:9" ht="15.75" customHeight="1" x14ac:dyDescent="0.2">
      <c r="A1128" s="9"/>
      <c r="B1128" s="9"/>
      <c r="C1128" s="3"/>
      <c r="D1128" s="3"/>
      <c r="E1128" s="3"/>
      <c r="F1128" s="3"/>
      <c r="G1128" s="3"/>
      <c r="H1128" s="3"/>
      <c r="I1128" s="3"/>
    </row>
    <row r="1129" spans="1:9" ht="15.75" customHeight="1" x14ac:dyDescent="0.2">
      <c r="A1129" s="9"/>
      <c r="B1129" s="9"/>
      <c r="C1129" s="3"/>
      <c r="D1129" s="3"/>
      <c r="E1129" s="3"/>
      <c r="F1129" s="3"/>
      <c r="G1129" s="3"/>
      <c r="H1129" s="3"/>
      <c r="I1129" s="3"/>
    </row>
    <row r="1130" spans="1:9" ht="15.75" customHeight="1" x14ac:dyDescent="0.2">
      <c r="A1130" s="9"/>
      <c r="B1130" s="9"/>
      <c r="C1130" s="3"/>
      <c r="D1130" s="3"/>
      <c r="E1130" s="3"/>
      <c r="F1130" s="3"/>
      <c r="G1130" s="3"/>
      <c r="H1130" s="3"/>
      <c r="I1130" s="3"/>
    </row>
    <row r="1131" spans="1:9" ht="15.75" customHeight="1" x14ac:dyDescent="0.2">
      <c r="A1131" s="9"/>
      <c r="B1131" s="9"/>
      <c r="C1131" s="3"/>
      <c r="D1131" s="3"/>
      <c r="E1131" s="3"/>
      <c r="F1131" s="3"/>
      <c r="G1131" s="3"/>
      <c r="H1131" s="3"/>
      <c r="I1131" s="3"/>
    </row>
    <row r="1132" spans="1:9" ht="15.75" customHeight="1" x14ac:dyDescent="0.2">
      <c r="A1132" s="9"/>
      <c r="B1132" s="9"/>
      <c r="C1132" s="3"/>
      <c r="D1132" s="3"/>
      <c r="E1132" s="3"/>
      <c r="F1132" s="3"/>
      <c r="G1132" s="3"/>
      <c r="H1132" s="3"/>
      <c r="I1132" s="3"/>
    </row>
    <row r="1133" spans="1:9" ht="15.75" customHeight="1" x14ac:dyDescent="0.2">
      <c r="A1133" s="9"/>
      <c r="B1133" s="9"/>
      <c r="C1133" s="3"/>
      <c r="D1133" s="3"/>
      <c r="E1133" s="3"/>
      <c r="F1133" s="3"/>
      <c r="G1133" s="3"/>
      <c r="H1133" s="3"/>
      <c r="I1133" s="3"/>
    </row>
    <row r="1134" spans="1:9" ht="15.75" customHeight="1" x14ac:dyDescent="0.2">
      <c r="A1134" s="9"/>
      <c r="B1134" s="9"/>
      <c r="C1134" s="3"/>
      <c r="D1134" s="3"/>
      <c r="E1134" s="3"/>
      <c r="F1134" s="3"/>
      <c r="G1134" s="3"/>
      <c r="H1134" s="3"/>
      <c r="I1134" s="3"/>
    </row>
    <row r="1135" spans="1:9" ht="15.75" customHeight="1" x14ac:dyDescent="0.2">
      <c r="A1135" s="9"/>
      <c r="B1135" s="9"/>
      <c r="C1135" s="3"/>
      <c r="D1135" s="3"/>
      <c r="E1135" s="3"/>
      <c r="F1135" s="3"/>
      <c r="G1135" s="3"/>
      <c r="H1135" s="3"/>
      <c r="I1135" s="3"/>
    </row>
    <row r="1136" spans="1:9" ht="15.75" customHeight="1" x14ac:dyDescent="0.2">
      <c r="A1136" s="9"/>
      <c r="B1136" s="9"/>
      <c r="C1136" s="3"/>
      <c r="D1136" s="3"/>
      <c r="E1136" s="3"/>
      <c r="F1136" s="3"/>
      <c r="G1136" s="3"/>
      <c r="H1136" s="3"/>
      <c r="I1136" s="3"/>
    </row>
    <row r="1137" spans="1:9" ht="15.75" customHeight="1" x14ac:dyDescent="0.2">
      <c r="A1137" s="9"/>
      <c r="B1137" s="9"/>
      <c r="C1137" s="3"/>
      <c r="D1137" s="3"/>
      <c r="E1137" s="3"/>
      <c r="F1137" s="3"/>
      <c r="G1137" s="3"/>
      <c r="H1137" s="3"/>
      <c r="I1137" s="3"/>
    </row>
    <row r="1138" spans="1:9" ht="15.75" customHeight="1" x14ac:dyDescent="0.2">
      <c r="A1138" s="9"/>
      <c r="B1138" s="9"/>
      <c r="C1138" s="3"/>
      <c r="D1138" s="3"/>
      <c r="E1138" s="3"/>
      <c r="F1138" s="3"/>
      <c r="G1138" s="3"/>
      <c r="H1138" s="3"/>
      <c r="I1138" s="3"/>
    </row>
    <row r="1139" spans="1:9" ht="15.75" customHeight="1" x14ac:dyDescent="0.2">
      <c r="A1139" s="9"/>
      <c r="B1139" s="9"/>
      <c r="C1139" s="3"/>
      <c r="D1139" s="3"/>
      <c r="E1139" s="3"/>
      <c r="F1139" s="3"/>
      <c r="G1139" s="3"/>
      <c r="H1139" s="3"/>
      <c r="I1139" s="3"/>
    </row>
    <row r="1140" spans="1:9" ht="15.75" customHeight="1" x14ac:dyDescent="0.2">
      <c r="A1140" s="9"/>
      <c r="B1140" s="9"/>
      <c r="C1140" s="3"/>
      <c r="D1140" s="3"/>
      <c r="E1140" s="3"/>
      <c r="F1140" s="3"/>
      <c r="G1140" s="3"/>
      <c r="H1140" s="3"/>
      <c r="I1140" s="3"/>
    </row>
    <row r="1141" spans="1:9" ht="15.75" customHeight="1" x14ac:dyDescent="0.2">
      <c r="A1141" s="9"/>
      <c r="B1141" s="9"/>
      <c r="C1141" s="3"/>
      <c r="D1141" s="3"/>
      <c r="E1141" s="3"/>
      <c r="F1141" s="3"/>
      <c r="G1141" s="3"/>
      <c r="H1141" s="3"/>
      <c r="I1141" s="3"/>
    </row>
    <row r="1142" spans="1:9" ht="15.75" customHeight="1" x14ac:dyDescent="0.2">
      <c r="A1142" s="9"/>
      <c r="B1142" s="9"/>
      <c r="C1142" s="3"/>
      <c r="D1142" s="3"/>
      <c r="E1142" s="3"/>
      <c r="F1142" s="3"/>
      <c r="G1142" s="3"/>
      <c r="H1142" s="3"/>
      <c r="I1142" s="3"/>
    </row>
    <row r="1143" spans="1:9" ht="15.75" customHeight="1" x14ac:dyDescent="0.2">
      <c r="A1143" s="9"/>
      <c r="B1143" s="9"/>
      <c r="C1143" s="3"/>
      <c r="D1143" s="3"/>
      <c r="E1143" s="3"/>
      <c r="F1143" s="3"/>
      <c r="G1143" s="3"/>
      <c r="H1143" s="3"/>
      <c r="I1143" s="3"/>
    </row>
    <row r="1144" spans="1:9" ht="15.75" customHeight="1" x14ac:dyDescent="0.2">
      <c r="A1144" s="9"/>
      <c r="B1144" s="9"/>
      <c r="C1144" s="3"/>
      <c r="D1144" s="3"/>
      <c r="E1144" s="3"/>
      <c r="F1144" s="3"/>
      <c r="G1144" s="3"/>
      <c r="H1144" s="3"/>
      <c r="I1144" s="3"/>
    </row>
    <row r="1145" spans="1:9" ht="15.75" customHeight="1" x14ac:dyDescent="0.2">
      <c r="A1145" s="9"/>
      <c r="B1145" s="9"/>
      <c r="C1145" s="3"/>
      <c r="D1145" s="3"/>
      <c r="E1145" s="3"/>
      <c r="F1145" s="3"/>
      <c r="G1145" s="3"/>
      <c r="H1145" s="3"/>
      <c r="I1145" s="3"/>
    </row>
    <row r="1146" spans="1:9" ht="15.75" customHeight="1" x14ac:dyDescent="0.2">
      <c r="A1146" s="9"/>
      <c r="B1146" s="9"/>
      <c r="C1146" s="3"/>
      <c r="D1146" s="3"/>
      <c r="E1146" s="3"/>
      <c r="F1146" s="3"/>
      <c r="G1146" s="3"/>
      <c r="H1146" s="3"/>
      <c r="I1146" s="3"/>
    </row>
    <row r="1147" spans="1:9" ht="15.75" customHeight="1" x14ac:dyDescent="0.2">
      <c r="A1147" s="9"/>
      <c r="B1147" s="9"/>
      <c r="C1147" s="3"/>
      <c r="D1147" s="3"/>
      <c r="E1147" s="3"/>
      <c r="F1147" s="3"/>
      <c r="G1147" s="3"/>
      <c r="H1147" s="3"/>
      <c r="I1147" s="3"/>
    </row>
    <row r="1148" spans="1:9" ht="15.75" customHeight="1" x14ac:dyDescent="0.2">
      <c r="A1148" s="9"/>
      <c r="B1148" s="9"/>
      <c r="C1148" s="3"/>
      <c r="D1148" s="3"/>
      <c r="E1148" s="3"/>
      <c r="F1148" s="3"/>
      <c r="G1148" s="3"/>
      <c r="H1148" s="3"/>
      <c r="I1148" s="3"/>
    </row>
    <row r="1149" spans="1:9" ht="15.75" customHeight="1" x14ac:dyDescent="0.2">
      <c r="A1149" s="9"/>
      <c r="B1149" s="9"/>
      <c r="C1149" s="3"/>
      <c r="D1149" s="3"/>
      <c r="E1149" s="3"/>
      <c r="F1149" s="3"/>
      <c r="G1149" s="3"/>
      <c r="H1149" s="3"/>
      <c r="I1149" s="3"/>
    </row>
    <row r="1150" spans="1:9" ht="15.75" customHeight="1" x14ac:dyDescent="0.2">
      <c r="A1150" s="9"/>
      <c r="B1150" s="9"/>
      <c r="C1150" s="3"/>
      <c r="D1150" s="3"/>
      <c r="E1150" s="3"/>
      <c r="F1150" s="3"/>
      <c r="G1150" s="3"/>
      <c r="H1150" s="3"/>
      <c r="I1150" s="3"/>
    </row>
    <row r="1151" spans="1:9" ht="15.75" customHeight="1" x14ac:dyDescent="0.2">
      <c r="A1151" s="9"/>
      <c r="B1151" s="9"/>
      <c r="C1151" s="3"/>
      <c r="D1151" s="3"/>
      <c r="E1151" s="3"/>
      <c r="F1151" s="3"/>
      <c r="G1151" s="3"/>
      <c r="H1151" s="3"/>
      <c r="I1151" s="3"/>
    </row>
    <row r="1152" spans="1:9" ht="15.75" customHeight="1" x14ac:dyDescent="0.2">
      <c r="A1152" s="9"/>
      <c r="B1152" s="9"/>
      <c r="C1152" s="3"/>
      <c r="D1152" s="3"/>
      <c r="E1152" s="3"/>
      <c r="F1152" s="3"/>
      <c r="G1152" s="3"/>
      <c r="H1152" s="3"/>
      <c r="I1152" s="3"/>
    </row>
    <row r="1153" spans="1:9" ht="15.75" customHeight="1" x14ac:dyDescent="0.2">
      <c r="A1153" s="9"/>
      <c r="B1153" s="9"/>
      <c r="C1153" s="3"/>
      <c r="D1153" s="3"/>
      <c r="E1153" s="3"/>
      <c r="F1153" s="3"/>
      <c r="G1153" s="3"/>
      <c r="H1153" s="3"/>
      <c r="I1153" s="3"/>
    </row>
    <row r="1154" spans="1:9" ht="15.75" customHeight="1" x14ac:dyDescent="0.2">
      <c r="A1154" s="9"/>
      <c r="B1154" s="9"/>
      <c r="C1154" s="3"/>
      <c r="D1154" s="3"/>
      <c r="E1154" s="3"/>
      <c r="F1154" s="3"/>
      <c r="G1154" s="3"/>
      <c r="H1154" s="3"/>
      <c r="I1154" s="3"/>
    </row>
    <row r="1155" spans="1:9" ht="15.75" customHeight="1" x14ac:dyDescent="0.2">
      <c r="A1155" s="9"/>
      <c r="B1155" s="9"/>
      <c r="C1155" s="3"/>
      <c r="D1155" s="3"/>
      <c r="E1155" s="3"/>
      <c r="F1155" s="3"/>
      <c r="G1155" s="3"/>
      <c r="H1155" s="3"/>
      <c r="I1155" s="3"/>
    </row>
    <row r="1156" spans="1:9" ht="15.75" customHeight="1" x14ac:dyDescent="0.2">
      <c r="A1156" s="9"/>
      <c r="B1156" s="9"/>
      <c r="C1156" s="3"/>
      <c r="D1156" s="3"/>
      <c r="E1156" s="3"/>
      <c r="F1156" s="3"/>
      <c r="G1156" s="3"/>
      <c r="H1156" s="3"/>
      <c r="I1156" s="3"/>
    </row>
    <row r="1157" spans="1:9" ht="15.75" customHeight="1" x14ac:dyDescent="0.2">
      <c r="A1157" s="9"/>
      <c r="B1157" s="9"/>
      <c r="C1157" s="3"/>
      <c r="D1157" s="3"/>
      <c r="E1157" s="3"/>
      <c r="F1157" s="3"/>
      <c r="G1157" s="3"/>
      <c r="H1157" s="3"/>
      <c r="I1157" s="3"/>
    </row>
    <row r="1158" spans="1:9" ht="15.75" customHeight="1" x14ac:dyDescent="0.2">
      <c r="A1158" s="9"/>
      <c r="B1158" s="9"/>
      <c r="C1158" s="3"/>
      <c r="D1158" s="3"/>
      <c r="E1158" s="3"/>
      <c r="F1158" s="3"/>
      <c r="G1158" s="3"/>
      <c r="H1158" s="3"/>
      <c r="I1158" s="3"/>
    </row>
    <row r="1159" spans="1:9" ht="15.75" customHeight="1" x14ac:dyDescent="0.2">
      <c r="A1159" s="9"/>
      <c r="B1159" s="9"/>
      <c r="C1159" s="3"/>
      <c r="D1159" s="3"/>
      <c r="E1159" s="3"/>
      <c r="F1159" s="3"/>
      <c r="G1159" s="3"/>
      <c r="H1159" s="3"/>
      <c r="I1159" s="3"/>
    </row>
    <row r="1160" spans="1:9" ht="15.75" customHeight="1" x14ac:dyDescent="0.2">
      <c r="A1160" s="9"/>
      <c r="B1160" s="9"/>
      <c r="C1160" s="3"/>
      <c r="D1160" s="3"/>
      <c r="E1160" s="3"/>
      <c r="F1160" s="3"/>
      <c r="G1160" s="3"/>
      <c r="H1160" s="3"/>
      <c r="I1160" s="3"/>
    </row>
    <row r="1161" spans="1:9" ht="15.75" customHeight="1" x14ac:dyDescent="0.2">
      <c r="A1161" s="9"/>
      <c r="B1161" s="9"/>
      <c r="C1161" s="3"/>
      <c r="D1161" s="3"/>
      <c r="E1161" s="3"/>
      <c r="F1161" s="3"/>
      <c r="G1161" s="3"/>
      <c r="H1161" s="3"/>
      <c r="I1161" s="3"/>
    </row>
    <row r="1162" spans="1:9" ht="15.75" customHeight="1" x14ac:dyDescent="0.2">
      <c r="A1162" s="9"/>
      <c r="B1162" s="9"/>
      <c r="C1162" s="3"/>
      <c r="D1162" s="3"/>
      <c r="E1162" s="3"/>
      <c r="F1162" s="3"/>
      <c r="G1162" s="3"/>
      <c r="H1162" s="3"/>
      <c r="I1162" s="3"/>
    </row>
    <row r="1163" spans="1:9" ht="15.75" customHeight="1" x14ac:dyDescent="0.2">
      <c r="A1163" s="9"/>
      <c r="B1163" s="9"/>
      <c r="C1163" s="3"/>
      <c r="D1163" s="3"/>
      <c r="E1163" s="3"/>
      <c r="F1163" s="3"/>
      <c r="G1163" s="3"/>
      <c r="H1163" s="3"/>
      <c r="I1163" s="3"/>
    </row>
    <row r="1164" spans="1:9" ht="15.75" customHeight="1" x14ac:dyDescent="0.2">
      <c r="A1164" s="9"/>
      <c r="B1164" s="9"/>
      <c r="C1164" s="3"/>
      <c r="D1164" s="3"/>
      <c r="E1164" s="3"/>
      <c r="F1164" s="3"/>
      <c r="G1164" s="3"/>
      <c r="H1164" s="3"/>
      <c r="I1164" s="3"/>
    </row>
    <row r="1165" spans="1:9" ht="15.75" customHeight="1" x14ac:dyDescent="0.2">
      <c r="A1165" s="9"/>
      <c r="B1165" s="9"/>
      <c r="C1165" s="3"/>
      <c r="D1165" s="3"/>
      <c r="E1165" s="3"/>
      <c r="F1165" s="3"/>
      <c r="G1165" s="3"/>
      <c r="H1165" s="3"/>
      <c r="I1165" s="3"/>
    </row>
    <row r="1166" spans="1:9" ht="15.75" customHeight="1" x14ac:dyDescent="0.2">
      <c r="A1166" s="9"/>
      <c r="B1166" s="9"/>
      <c r="C1166" s="3"/>
      <c r="D1166" s="3"/>
      <c r="E1166" s="3"/>
      <c r="F1166" s="3"/>
      <c r="G1166" s="3"/>
      <c r="H1166" s="3"/>
      <c r="I1166" s="3"/>
    </row>
    <row r="1167" spans="1:9" ht="15.75" customHeight="1" x14ac:dyDescent="0.2">
      <c r="A1167" s="9"/>
      <c r="B1167" s="9"/>
      <c r="C1167" s="3"/>
      <c r="D1167" s="3"/>
      <c r="E1167" s="3"/>
      <c r="F1167" s="3"/>
      <c r="G1167" s="3"/>
      <c r="H1167" s="3"/>
      <c r="I1167" s="3"/>
    </row>
    <row r="1168" spans="1:9" ht="15.75" customHeight="1" x14ac:dyDescent="0.2">
      <c r="A1168" s="9"/>
      <c r="B1168" s="9"/>
      <c r="C1168" s="3"/>
      <c r="D1168" s="3"/>
      <c r="E1168" s="3"/>
      <c r="F1168" s="3"/>
      <c r="G1168" s="3"/>
      <c r="H1168" s="3"/>
      <c r="I1168" s="3"/>
    </row>
    <row r="1169" spans="1:9" ht="15.75" customHeight="1" x14ac:dyDescent="0.2">
      <c r="A1169" s="9"/>
      <c r="B1169" s="9"/>
      <c r="C1169" s="3"/>
      <c r="D1169" s="3"/>
      <c r="E1169" s="3"/>
      <c r="F1169" s="3"/>
      <c r="G1169" s="3"/>
      <c r="H1169" s="3"/>
      <c r="I1169" s="3"/>
    </row>
    <row r="1170" spans="1:9" ht="15.75" customHeight="1" x14ac:dyDescent="0.2">
      <c r="A1170" s="9"/>
      <c r="B1170" s="9"/>
      <c r="C1170" s="3"/>
      <c r="D1170" s="3"/>
      <c r="E1170" s="3"/>
      <c r="F1170" s="3"/>
      <c r="G1170" s="3"/>
      <c r="H1170" s="3"/>
      <c r="I1170" s="3"/>
    </row>
    <row r="1171" spans="1:9" ht="15.75" customHeight="1" x14ac:dyDescent="0.2">
      <c r="A1171" s="9"/>
      <c r="B1171" s="9"/>
      <c r="C1171" s="3"/>
      <c r="D1171" s="3"/>
      <c r="E1171" s="3"/>
      <c r="F1171" s="3"/>
      <c r="G1171" s="3"/>
      <c r="H1171" s="3"/>
      <c r="I1171" s="3"/>
    </row>
    <row r="1172" spans="1:9" ht="15.75" customHeight="1" x14ac:dyDescent="0.2">
      <c r="A1172" s="9"/>
      <c r="B1172" s="9"/>
      <c r="C1172" s="3"/>
      <c r="D1172" s="3"/>
      <c r="E1172" s="3"/>
      <c r="F1172" s="3"/>
      <c r="G1172" s="3"/>
      <c r="H1172" s="3"/>
      <c r="I1172" s="3"/>
    </row>
    <row r="1173" spans="1:9" ht="15.75" customHeight="1" x14ac:dyDescent="0.2">
      <c r="A1173" s="9"/>
      <c r="B1173" s="9"/>
      <c r="C1173" s="3"/>
      <c r="D1173" s="3"/>
      <c r="E1173" s="3"/>
      <c r="F1173" s="3"/>
      <c r="G1173" s="3"/>
      <c r="H1173" s="3"/>
      <c r="I1173" s="3"/>
    </row>
    <row r="1174" spans="1:9" ht="15.75" customHeight="1" x14ac:dyDescent="0.2">
      <c r="A1174" s="9"/>
      <c r="B1174" s="9"/>
      <c r="C1174" s="3"/>
      <c r="D1174" s="3"/>
      <c r="E1174" s="3"/>
      <c r="F1174" s="3"/>
      <c r="G1174" s="3"/>
      <c r="H1174" s="3"/>
      <c r="I1174" s="3"/>
    </row>
    <row r="1175" spans="1:9" ht="15.75" customHeight="1" x14ac:dyDescent="0.2">
      <c r="A1175" s="9"/>
      <c r="B1175" s="9"/>
      <c r="C1175" s="3"/>
      <c r="D1175" s="3"/>
      <c r="E1175" s="3"/>
      <c r="F1175" s="3"/>
      <c r="G1175" s="3"/>
      <c r="H1175" s="3"/>
      <c r="I1175" s="3"/>
    </row>
    <row r="1176" spans="1:9" ht="15.75" customHeight="1" x14ac:dyDescent="0.2">
      <c r="A1176" s="9"/>
      <c r="B1176" s="9"/>
      <c r="C1176" s="3"/>
      <c r="D1176" s="3"/>
      <c r="E1176" s="3"/>
      <c r="F1176" s="3"/>
      <c r="G1176" s="3"/>
      <c r="H1176" s="3"/>
      <c r="I1176" s="3"/>
    </row>
    <row r="1177" spans="1:9" ht="15.75" customHeight="1" x14ac:dyDescent="0.2">
      <c r="A1177" s="9"/>
      <c r="B1177" s="9"/>
      <c r="C1177" s="3"/>
      <c r="D1177" s="3"/>
      <c r="E1177" s="3"/>
      <c r="F1177" s="3"/>
      <c r="G1177" s="3"/>
      <c r="H1177" s="3"/>
      <c r="I1177" s="3"/>
    </row>
    <row r="1178" spans="1:9" ht="15.75" customHeight="1" x14ac:dyDescent="0.2">
      <c r="A1178" s="9"/>
      <c r="B1178" s="9"/>
      <c r="C1178" s="3"/>
      <c r="D1178" s="3"/>
      <c r="E1178" s="3"/>
      <c r="F1178" s="3"/>
      <c r="G1178" s="3"/>
      <c r="H1178" s="3"/>
      <c r="I1178" s="3"/>
    </row>
    <row r="1179" spans="1:9" ht="15.75" customHeight="1" x14ac:dyDescent="0.2">
      <c r="A1179" s="9"/>
      <c r="B1179" s="9"/>
      <c r="C1179" s="3"/>
      <c r="D1179" s="3"/>
      <c r="E1179" s="3"/>
      <c r="F1179" s="3"/>
      <c r="G1179" s="3"/>
      <c r="H1179" s="3"/>
      <c r="I1179" s="3"/>
    </row>
    <row r="1180" spans="1:9" ht="15.75" customHeight="1" x14ac:dyDescent="0.2">
      <c r="A1180" s="9"/>
      <c r="B1180" s="9"/>
      <c r="C1180" s="3"/>
      <c r="D1180" s="3"/>
      <c r="E1180" s="3"/>
      <c r="F1180" s="3"/>
      <c r="G1180" s="3"/>
      <c r="H1180" s="3"/>
      <c r="I1180" s="3"/>
    </row>
    <row r="1181" spans="1:9" ht="15.75" customHeight="1" x14ac:dyDescent="0.2">
      <c r="A1181" s="9"/>
      <c r="B1181" s="9"/>
      <c r="C1181" s="3"/>
      <c r="D1181" s="3"/>
      <c r="E1181" s="3"/>
      <c r="F1181" s="3"/>
      <c r="G1181" s="3"/>
      <c r="H1181" s="3"/>
      <c r="I1181" s="3"/>
    </row>
    <row r="1182" spans="1:9" ht="15.75" customHeight="1" x14ac:dyDescent="0.2">
      <c r="A1182" s="9"/>
      <c r="B1182" s="9"/>
      <c r="C1182" s="3"/>
      <c r="D1182" s="3"/>
      <c r="E1182" s="3"/>
      <c r="F1182" s="3"/>
      <c r="G1182" s="3"/>
      <c r="H1182" s="3"/>
      <c r="I1182" s="3"/>
    </row>
    <row r="1183" spans="1:9" ht="15.75" customHeight="1" x14ac:dyDescent="0.2">
      <c r="A1183" s="9"/>
      <c r="B1183" s="9"/>
      <c r="C1183" s="3"/>
      <c r="D1183" s="3"/>
      <c r="E1183" s="3"/>
      <c r="F1183" s="3"/>
      <c r="G1183" s="3"/>
      <c r="H1183" s="3"/>
      <c r="I1183" s="3"/>
    </row>
    <row r="1184" spans="1:9" ht="15.75" customHeight="1" x14ac:dyDescent="0.2">
      <c r="A1184" s="9"/>
      <c r="B1184" s="9"/>
      <c r="C1184" s="3"/>
      <c r="D1184" s="3"/>
      <c r="E1184" s="3"/>
      <c r="F1184" s="3"/>
      <c r="G1184" s="3"/>
      <c r="H1184" s="3"/>
      <c r="I1184" s="3"/>
    </row>
    <row r="1185" spans="1:9" ht="15.75" customHeight="1" x14ac:dyDescent="0.2">
      <c r="A1185" s="9"/>
      <c r="B1185" s="9"/>
      <c r="C1185" s="3"/>
      <c r="D1185" s="3"/>
      <c r="E1185" s="3"/>
      <c r="F1185" s="3"/>
      <c r="G1185" s="3"/>
      <c r="H1185" s="3"/>
      <c r="I1185" s="3"/>
    </row>
    <row r="1186" spans="1:9" ht="15.75" customHeight="1" x14ac:dyDescent="0.2">
      <c r="A1186" s="9"/>
      <c r="B1186" s="9"/>
      <c r="C1186" s="3"/>
      <c r="D1186" s="3"/>
      <c r="E1186" s="3"/>
      <c r="F1186" s="3"/>
      <c r="G1186" s="3"/>
      <c r="H1186" s="3"/>
      <c r="I1186" s="3"/>
    </row>
    <row r="1187" spans="1:9" ht="15.75" customHeight="1" x14ac:dyDescent="0.2">
      <c r="A1187" s="9"/>
      <c r="B1187" s="9"/>
      <c r="C1187" s="3"/>
      <c r="D1187" s="3"/>
      <c r="E1187" s="3"/>
      <c r="F1187" s="3"/>
      <c r="G1187" s="3"/>
      <c r="H1187" s="3"/>
      <c r="I1187" s="3"/>
    </row>
    <row r="1188" spans="1:9" ht="15.75" customHeight="1" x14ac:dyDescent="0.2">
      <c r="A1188" s="9"/>
      <c r="B1188" s="9"/>
      <c r="C1188" s="3"/>
      <c r="D1188" s="3"/>
      <c r="E1188" s="3"/>
      <c r="F1188" s="3"/>
      <c r="G1188" s="3"/>
      <c r="H1188" s="3"/>
      <c r="I1188" s="3"/>
    </row>
    <row r="1189" spans="1:9" ht="15.75" customHeight="1" x14ac:dyDescent="0.2">
      <c r="A1189" s="9"/>
      <c r="B1189" s="9"/>
      <c r="C1189" s="3"/>
      <c r="D1189" s="3"/>
      <c r="E1189" s="3"/>
      <c r="F1189" s="3"/>
      <c r="G1189" s="3"/>
      <c r="H1189" s="3"/>
      <c r="I1189" s="3"/>
    </row>
    <row r="1190" spans="1:9" ht="15.75" customHeight="1" x14ac:dyDescent="0.2">
      <c r="A1190" s="9"/>
      <c r="B1190" s="9"/>
      <c r="C1190" s="3"/>
      <c r="D1190" s="3"/>
      <c r="E1190" s="3"/>
      <c r="F1190" s="3"/>
      <c r="G1190" s="3"/>
      <c r="H1190" s="3"/>
      <c r="I1190" s="3"/>
    </row>
    <row r="1191" spans="1:9" ht="15.75" customHeight="1" x14ac:dyDescent="0.2">
      <c r="A1191" s="9"/>
      <c r="B1191" s="9"/>
      <c r="C1191" s="3"/>
      <c r="D1191" s="3"/>
      <c r="E1191" s="3"/>
      <c r="F1191" s="3"/>
      <c r="G1191" s="3"/>
      <c r="H1191" s="3"/>
      <c r="I1191" s="3"/>
    </row>
    <row r="1192" spans="1:9" ht="15.75" customHeight="1" x14ac:dyDescent="0.2">
      <c r="A1192" s="9"/>
      <c r="B1192" s="9"/>
      <c r="C1192" s="3"/>
      <c r="D1192" s="3"/>
      <c r="E1192" s="3"/>
      <c r="F1192" s="3"/>
      <c r="G1192" s="3"/>
      <c r="H1192" s="3"/>
      <c r="I1192" s="3"/>
    </row>
    <row r="1193" spans="1:9" ht="15.75" customHeight="1" x14ac:dyDescent="0.2">
      <c r="A1193" s="9"/>
      <c r="B1193" s="9"/>
      <c r="C1193" s="3"/>
      <c r="D1193" s="3"/>
      <c r="E1193" s="3"/>
      <c r="F1193" s="3"/>
      <c r="G1193" s="3"/>
      <c r="H1193" s="3"/>
      <c r="I1193" s="3"/>
    </row>
    <row r="1194" spans="1:9" ht="15.75" customHeight="1" x14ac:dyDescent="0.2">
      <c r="A1194" s="9"/>
      <c r="B1194" s="9"/>
      <c r="C1194" s="3"/>
      <c r="D1194" s="3"/>
      <c r="E1194" s="3"/>
      <c r="F1194" s="3"/>
      <c r="G1194" s="3"/>
      <c r="H1194" s="3"/>
      <c r="I1194" s="3"/>
    </row>
    <row r="1195" spans="1:9" ht="15.75" customHeight="1" x14ac:dyDescent="0.2">
      <c r="A1195" s="9"/>
      <c r="B1195" s="9"/>
      <c r="C1195" s="3"/>
      <c r="D1195" s="3"/>
      <c r="E1195" s="3"/>
      <c r="F1195" s="3"/>
      <c r="G1195" s="3"/>
      <c r="H1195" s="3"/>
      <c r="I1195" s="3"/>
    </row>
    <row r="1196" spans="1:9" ht="15.75" customHeight="1" x14ac:dyDescent="0.2">
      <c r="A1196" s="9"/>
      <c r="B1196" s="9"/>
      <c r="C1196" s="3"/>
      <c r="D1196" s="3"/>
      <c r="E1196" s="3"/>
      <c r="F1196" s="3"/>
      <c r="G1196" s="3"/>
      <c r="H1196" s="3"/>
      <c r="I1196" s="3"/>
    </row>
    <row r="1197" spans="1:9" ht="15.75" customHeight="1" x14ac:dyDescent="0.2">
      <c r="A1197" s="9"/>
      <c r="B1197" s="9"/>
      <c r="C1197" s="3"/>
      <c r="D1197" s="3"/>
      <c r="E1197" s="3"/>
      <c r="F1197" s="3"/>
      <c r="G1197" s="3"/>
      <c r="H1197" s="3"/>
      <c r="I1197" s="3"/>
    </row>
    <row r="1198" spans="1:9" ht="15.75" customHeight="1" x14ac:dyDescent="0.2">
      <c r="A1198" s="9"/>
      <c r="B1198" s="9"/>
      <c r="C1198" s="3"/>
      <c r="D1198" s="3"/>
      <c r="E1198" s="3"/>
      <c r="F1198" s="3"/>
      <c r="G1198" s="3"/>
      <c r="H1198" s="3"/>
      <c r="I1198" s="3"/>
    </row>
    <row r="1199" spans="1:9" ht="15.75" customHeight="1" x14ac:dyDescent="0.2">
      <c r="A1199" s="9"/>
      <c r="B1199" s="9"/>
      <c r="C1199" s="3"/>
      <c r="D1199" s="3"/>
      <c r="E1199" s="3"/>
      <c r="F1199" s="3"/>
      <c r="G1199" s="3"/>
      <c r="H1199" s="3"/>
      <c r="I1199" s="3"/>
    </row>
    <row r="1200" spans="1:9" ht="15.75" customHeight="1" x14ac:dyDescent="0.2">
      <c r="A1200" s="9"/>
      <c r="B1200" s="9"/>
      <c r="C1200" s="3"/>
      <c r="D1200" s="3"/>
      <c r="E1200" s="3"/>
      <c r="F1200" s="3"/>
      <c r="G1200" s="3"/>
      <c r="H1200" s="3"/>
      <c r="I1200" s="3"/>
    </row>
    <row r="1201" spans="1:9" ht="15.75" customHeight="1" x14ac:dyDescent="0.2">
      <c r="A1201" s="9"/>
      <c r="B1201" s="9"/>
      <c r="C1201" s="3"/>
      <c r="D1201" s="3"/>
      <c r="E1201" s="3"/>
      <c r="F1201" s="3"/>
      <c r="G1201" s="3"/>
      <c r="H1201" s="3"/>
      <c r="I1201" s="3"/>
    </row>
    <row r="1202" spans="1:9" ht="15.75" customHeight="1" x14ac:dyDescent="0.2">
      <c r="A1202" s="9"/>
      <c r="B1202" s="9"/>
      <c r="C1202" s="3"/>
      <c r="D1202" s="3"/>
      <c r="E1202" s="3"/>
      <c r="F1202" s="3"/>
      <c r="G1202" s="3"/>
      <c r="H1202" s="3"/>
      <c r="I1202" s="3"/>
    </row>
    <row r="1203" spans="1:9" ht="15.75" customHeight="1" x14ac:dyDescent="0.2">
      <c r="A1203" s="9"/>
      <c r="B1203" s="9"/>
      <c r="C1203" s="3"/>
      <c r="D1203" s="3"/>
      <c r="E1203" s="3"/>
      <c r="F1203" s="3"/>
      <c r="G1203" s="3"/>
      <c r="H1203" s="3"/>
      <c r="I1203" s="3"/>
    </row>
    <row r="1204" spans="1:9" ht="15.75" customHeight="1" x14ac:dyDescent="0.2">
      <c r="A1204" s="9"/>
      <c r="B1204" s="9"/>
      <c r="C1204" s="3"/>
      <c r="D1204" s="3"/>
      <c r="E1204" s="3"/>
      <c r="F1204" s="3"/>
      <c r="G1204" s="3"/>
      <c r="H1204" s="3"/>
      <c r="I1204" s="3"/>
    </row>
    <row r="1205" spans="1:9" ht="15.75" customHeight="1" x14ac:dyDescent="0.2">
      <c r="A1205" s="9"/>
      <c r="B1205" s="9"/>
      <c r="C1205" s="3"/>
      <c r="D1205" s="3"/>
      <c r="E1205" s="3"/>
      <c r="F1205" s="3"/>
      <c r="G1205" s="3"/>
      <c r="H1205" s="3"/>
      <c r="I1205" s="3"/>
    </row>
    <row r="1206" spans="1:9" ht="15.75" customHeight="1" x14ac:dyDescent="0.2">
      <c r="A1206" s="9"/>
      <c r="B1206" s="9"/>
      <c r="C1206" s="3"/>
      <c r="D1206" s="3"/>
      <c r="E1206" s="3"/>
      <c r="F1206" s="3"/>
      <c r="G1206" s="3"/>
      <c r="H1206" s="3"/>
      <c r="I1206" s="3"/>
    </row>
    <row r="1207" spans="1:9" ht="15.75" customHeight="1" x14ac:dyDescent="0.2">
      <c r="A1207" s="9"/>
      <c r="B1207" s="9"/>
      <c r="C1207" s="3"/>
      <c r="D1207" s="3"/>
      <c r="E1207" s="3"/>
      <c r="F1207" s="3"/>
      <c r="G1207" s="3"/>
      <c r="H1207" s="3"/>
      <c r="I1207" s="3"/>
    </row>
    <row r="1208" spans="1:9" ht="15.75" customHeight="1" x14ac:dyDescent="0.2">
      <c r="A1208" s="9"/>
      <c r="B1208" s="9"/>
      <c r="C1208" s="3"/>
      <c r="D1208" s="3"/>
      <c r="E1208" s="3"/>
      <c r="F1208" s="3"/>
      <c r="G1208" s="3"/>
      <c r="H1208" s="3"/>
      <c r="I1208" s="3"/>
    </row>
    <row r="1209" spans="1:9" ht="15.75" customHeight="1" x14ac:dyDescent="0.2">
      <c r="A1209" s="9"/>
      <c r="B1209" s="9"/>
      <c r="C1209" s="3"/>
      <c r="D1209" s="3"/>
      <c r="E1209" s="3"/>
      <c r="F1209" s="3"/>
      <c r="G1209" s="3"/>
      <c r="H1209" s="3"/>
      <c r="I1209" s="3"/>
    </row>
    <row r="1210" spans="1:9" ht="15.75" customHeight="1" x14ac:dyDescent="0.2">
      <c r="A1210" s="9"/>
      <c r="B1210" s="9"/>
      <c r="C1210" s="3"/>
      <c r="D1210" s="3"/>
      <c r="E1210" s="3"/>
      <c r="F1210" s="3"/>
      <c r="G1210" s="3"/>
      <c r="H1210" s="3"/>
      <c r="I1210" s="3"/>
    </row>
    <row r="1211" spans="1:9" ht="15.75" customHeight="1" x14ac:dyDescent="0.2">
      <c r="A1211" s="9"/>
      <c r="B1211" s="9"/>
      <c r="C1211" s="3"/>
      <c r="D1211" s="3"/>
      <c r="E1211" s="3"/>
      <c r="F1211" s="3"/>
      <c r="G1211" s="3"/>
      <c r="H1211" s="3"/>
      <c r="I1211" s="3"/>
    </row>
    <row r="1212" spans="1:9" ht="15.75" customHeight="1" x14ac:dyDescent="0.2">
      <c r="A1212" s="9"/>
      <c r="B1212" s="9"/>
      <c r="C1212" s="3"/>
      <c r="D1212" s="3"/>
      <c r="E1212" s="3"/>
      <c r="F1212" s="3"/>
      <c r="G1212" s="3"/>
      <c r="H1212" s="3"/>
      <c r="I1212" s="3"/>
    </row>
    <row r="1213" spans="1:9" ht="15.75" customHeight="1" x14ac:dyDescent="0.2">
      <c r="A1213" s="9"/>
      <c r="B1213" s="9"/>
      <c r="C1213" s="3"/>
      <c r="D1213" s="3"/>
      <c r="E1213" s="3"/>
      <c r="F1213" s="3"/>
      <c r="G1213" s="3"/>
      <c r="H1213" s="3"/>
      <c r="I1213" s="3"/>
    </row>
    <row r="1214" spans="1:9" ht="15.75" customHeight="1" x14ac:dyDescent="0.2">
      <c r="A1214" s="9"/>
      <c r="B1214" s="9"/>
      <c r="C1214" s="3"/>
      <c r="D1214" s="3"/>
      <c r="E1214" s="3"/>
      <c r="F1214" s="3"/>
      <c r="G1214" s="3"/>
      <c r="H1214" s="3"/>
      <c r="I1214" s="3"/>
    </row>
    <row r="1215" spans="1:9" ht="15.75" customHeight="1" x14ac:dyDescent="0.2">
      <c r="A1215" s="9"/>
      <c r="B1215" s="9"/>
      <c r="C1215" s="3"/>
      <c r="D1215" s="3"/>
      <c r="E1215" s="3"/>
      <c r="F1215" s="3"/>
      <c r="G1215" s="3"/>
      <c r="H1215" s="3"/>
      <c r="I1215" s="3"/>
    </row>
    <row r="1216" spans="1:9" ht="15.75" customHeight="1" x14ac:dyDescent="0.2">
      <c r="A1216" s="9"/>
      <c r="B1216" s="9"/>
      <c r="C1216" s="3"/>
      <c r="D1216" s="3"/>
      <c r="E1216" s="3"/>
      <c r="F1216" s="3"/>
      <c r="G1216" s="3"/>
      <c r="H1216" s="3"/>
      <c r="I1216" s="3"/>
    </row>
    <row r="1217" spans="1:9" ht="15.75" customHeight="1" x14ac:dyDescent="0.2">
      <c r="A1217" s="9"/>
      <c r="B1217" s="9"/>
      <c r="C1217" s="3"/>
      <c r="D1217" s="3"/>
      <c r="E1217" s="3"/>
      <c r="F1217" s="3"/>
      <c r="G1217" s="3"/>
      <c r="H1217" s="3"/>
      <c r="I1217" s="3"/>
    </row>
    <row r="1218" spans="1:9" ht="15.75" customHeight="1" x14ac:dyDescent="0.2">
      <c r="A1218" s="9"/>
      <c r="B1218" s="9"/>
      <c r="C1218" s="3"/>
      <c r="D1218" s="3"/>
      <c r="E1218" s="3"/>
      <c r="F1218" s="3"/>
      <c r="G1218" s="3"/>
      <c r="H1218" s="3"/>
      <c r="I1218" s="3"/>
    </row>
    <row r="1219" spans="1:9" ht="15.75" customHeight="1" x14ac:dyDescent="0.2">
      <c r="A1219" s="9"/>
      <c r="B1219" s="9"/>
      <c r="C1219" s="3"/>
      <c r="D1219" s="3"/>
      <c r="E1219" s="3"/>
      <c r="F1219" s="3"/>
      <c r="G1219" s="3"/>
      <c r="H1219" s="3"/>
      <c r="I1219" s="3"/>
    </row>
    <row r="1220" spans="1:9" ht="15.75" customHeight="1" x14ac:dyDescent="0.2">
      <c r="A1220" s="9"/>
      <c r="B1220" s="9"/>
      <c r="C1220" s="3"/>
      <c r="D1220" s="3"/>
      <c r="E1220" s="3"/>
      <c r="F1220" s="3"/>
      <c r="G1220" s="3"/>
      <c r="H1220" s="3"/>
      <c r="I1220" s="3"/>
    </row>
    <row r="1221" spans="1:9" ht="15.75" customHeight="1" x14ac:dyDescent="0.2">
      <c r="A1221" s="9"/>
      <c r="B1221" s="9"/>
      <c r="C1221" s="3"/>
      <c r="D1221" s="3"/>
      <c r="E1221" s="3"/>
      <c r="F1221" s="3"/>
      <c r="G1221" s="3"/>
      <c r="H1221" s="3"/>
      <c r="I1221" s="3"/>
    </row>
    <row r="1222" spans="1:9" ht="15.75" customHeight="1" x14ac:dyDescent="0.2">
      <c r="A1222" s="9"/>
      <c r="B1222" s="9"/>
      <c r="C1222" s="3"/>
      <c r="D1222" s="3"/>
      <c r="E1222" s="3"/>
      <c r="F1222" s="3"/>
      <c r="G1222" s="3"/>
      <c r="H1222" s="3"/>
      <c r="I1222" s="3"/>
    </row>
    <row r="1223" spans="1:9" ht="15.75" customHeight="1" x14ac:dyDescent="0.2">
      <c r="A1223" s="9"/>
      <c r="B1223" s="9"/>
      <c r="C1223" s="3"/>
      <c r="D1223" s="3"/>
      <c r="E1223" s="3"/>
      <c r="F1223" s="3"/>
      <c r="G1223" s="3"/>
      <c r="H1223" s="3"/>
      <c r="I1223" s="3"/>
    </row>
    <row r="1224" spans="1:9" ht="15.75" customHeight="1" x14ac:dyDescent="0.2">
      <c r="A1224" s="9"/>
      <c r="B1224" s="9"/>
      <c r="C1224" s="3"/>
      <c r="D1224" s="3"/>
      <c r="E1224" s="3"/>
      <c r="F1224" s="3"/>
      <c r="G1224" s="3"/>
      <c r="H1224" s="3"/>
      <c r="I1224" s="3"/>
    </row>
    <row r="1225" spans="1:9" ht="15.75" customHeight="1" x14ac:dyDescent="0.2">
      <c r="A1225" s="9"/>
      <c r="B1225" s="9"/>
      <c r="C1225" s="3"/>
      <c r="D1225" s="3"/>
      <c r="E1225" s="3"/>
      <c r="F1225" s="3"/>
      <c r="G1225" s="3"/>
      <c r="H1225" s="3"/>
      <c r="I1225" s="3"/>
    </row>
    <row r="1226" spans="1:9" ht="15.75" customHeight="1" x14ac:dyDescent="0.2">
      <c r="A1226" s="9"/>
      <c r="B1226" s="9"/>
      <c r="C1226" s="3"/>
      <c r="D1226" s="3"/>
      <c r="E1226" s="3"/>
      <c r="F1226" s="3"/>
      <c r="G1226" s="3"/>
      <c r="H1226" s="3"/>
      <c r="I1226" s="3"/>
    </row>
    <row r="1227" spans="1:9" ht="15.75" customHeight="1" x14ac:dyDescent="0.2">
      <c r="A1227" s="9"/>
      <c r="B1227" s="9"/>
      <c r="C1227" s="3"/>
      <c r="D1227" s="3"/>
      <c r="E1227" s="3"/>
      <c r="F1227" s="3"/>
      <c r="G1227" s="3"/>
      <c r="H1227" s="3"/>
      <c r="I1227" s="3"/>
    </row>
    <row r="1228" spans="1:9" ht="15.75" customHeight="1" x14ac:dyDescent="0.2">
      <c r="A1228" s="9"/>
      <c r="B1228" s="9"/>
      <c r="C1228" s="3"/>
      <c r="D1228" s="3"/>
      <c r="E1228" s="3"/>
      <c r="F1228" s="3"/>
      <c r="G1228" s="3"/>
      <c r="H1228" s="3"/>
      <c r="I1228" s="3"/>
    </row>
    <row r="1229" spans="1:9" ht="15.75" customHeight="1" x14ac:dyDescent="0.2">
      <c r="A1229" s="9"/>
      <c r="B1229" s="9"/>
      <c r="C1229" s="3"/>
      <c r="D1229" s="3"/>
      <c r="E1229" s="3"/>
      <c r="F1229" s="3"/>
      <c r="G1229" s="3"/>
      <c r="H1229" s="3"/>
      <c r="I1229" s="3"/>
    </row>
    <row r="1230" spans="1:9" ht="15.75" customHeight="1" x14ac:dyDescent="0.2">
      <c r="A1230" s="9"/>
      <c r="B1230" s="9"/>
      <c r="C1230" s="3"/>
      <c r="D1230" s="3"/>
      <c r="E1230" s="3"/>
      <c r="F1230" s="3"/>
      <c r="G1230" s="3"/>
      <c r="H1230" s="3"/>
      <c r="I1230" s="3"/>
    </row>
    <row r="1231" spans="1:9" ht="15.75" customHeight="1" x14ac:dyDescent="0.2">
      <c r="A1231" s="9"/>
      <c r="B1231" s="9"/>
      <c r="C1231" s="3"/>
      <c r="D1231" s="3"/>
      <c r="E1231" s="3"/>
      <c r="F1231" s="3"/>
      <c r="G1231" s="3"/>
      <c r="H1231" s="3"/>
      <c r="I1231" s="3"/>
    </row>
    <row r="1232" spans="1:9" ht="15.75" customHeight="1" x14ac:dyDescent="0.2">
      <c r="A1232" s="9"/>
      <c r="B1232" s="9"/>
      <c r="C1232" s="3"/>
      <c r="D1232" s="3"/>
      <c r="E1232" s="3"/>
      <c r="F1232" s="3"/>
      <c r="G1232" s="3"/>
      <c r="H1232" s="3"/>
      <c r="I1232" s="3"/>
    </row>
    <row r="1233" spans="1:9" ht="15.75" customHeight="1" x14ac:dyDescent="0.2">
      <c r="A1233" s="9"/>
      <c r="B1233" s="9"/>
      <c r="C1233" s="3"/>
      <c r="D1233" s="3"/>
      <c r="E1233" s="3"/>
      <c r="F1233" s="3"/>
      <c r="G1233" s="3"/>
      <c r="H1233" s="3"/>
      <c r="I1233" s="3"/>
    </row>
    <row r="1234" spans="1:9" ht="15.75" customHeight="1" x14ac:dyDescent="0.2">
      <c r="A1234" s="9"/>
      <c r="B1234" s="9"/>
      <c r="C1234" s="3"/>
      <c r="D1234" s="3"/>
      <c r="E1234" s="3"/>
      <c r="F1234" s="3"/>
      <c r="G1234" s="3"/>
      <c r="H1234" s="3"/>
      <c r="I1234" s="3"/>
    </row>
    <row r="1235" spans="1:9" ht="15.75" customHeight="1" x14ac:dyDescent="0.2">
      <c r="A1235" s="9"/>
      <c r="B1235" s="9"/>
      <c r="C1235" s="3"/>
      <c r="D1235" s="3"/>
      <c r="E1235" s="3"/>
      <c r="F1235" s="3"/>
      <c r="G1235" s="3"/>
      <c r="H1235" s="3"/>
      <c r="I1235" s="3"/>
    </row>
    <row r="1236" spans="1:9" ht="15.75" customHeight="1" x14ac:dyDescent="0.2">
      <c r="A1236" s="9"/>
      <c r="B1236" s="9"/>
      <c r="C1236" s="3"/>
      <c r="D1236" s="3"/>
      <c r="E1236" s="3"/>
      <c r="F1236" s="3"/>
      <c r="G1236" s="3"/>
      <c r="H1236" s="3"/>
      <c r="I1236" s="3"/>
    </row>
    <row r="1237" spans="1:9" ht="15.75" customHeight="1" x14ac:dyDescent="0.2">
      <c r="A1237" s="9"/>
      <c r="B1237" s="9"/>
      <c r="C1237" s="3"/>
      <c r="D1237" s="3"/>
      <c r="E1237" s="3"/>
      <c r="F1237" s="3"/>
      <c r="G1237" s="3"/>
      <c r="H1237" s="3"/>
      <c r="I1237" s="3"/>
    </row>
    <row r="1238" spans="1:9" ht="15.75" customHeight="1" x14ac:dyDescent="0.2">
      <c r="A1238" s="9"/>
      <c r="B1238" s="9"/>
      <c r="C1238" s="3"/>
      <c r="D1238" s="3"/>
      <c r="E1238" s="3"/>
      <c r="F1238" s="3"/>
      <c r="G1238" s="3"/>
      <c r="H1238" s="3"/>
      <c r="I1238" s="3"/>
    </row>
    <row r="1239" spans="1:9" ht="15.75" customHeight="1" x14ac:dyDescent="0.2">
      <c r="A1239" s="9"/>
      <c r="B1239" s="9"/>
      <c r="C1239" s="3"/>
      <c r="D1239" s="3"/>
      <c r="E1239" s="3"/>
      <c r="F1239" s="3"/>
      <c r="G1239" s="3"/>
      <c r="H1239" s="3"/>
      <c r="I1239" s="3"/>
    </row>
    <row r="1240" spans="1:9" ht="15.75" customHeight="1" x14ac:dyDescent="0.2">
      <c r="A1240" s="9"/>
      <c r="B1240" s="9"/>
      <c r="C1240" s="3"/>
      <c r="D1240" s="3"/>
      <c r="E1240" s="3"/>
      <c r="F1240" s="3"/>
      <c r="G1240" s="3"/>
      <c r="H1240" s="3"/>
      <c r="I1240" s="3"/>
    </row>
    <row r="1241" spans="1:9" ht="15.75" customHeight="1" x14ac:dyDescent="0.2">
      <c r="A1241" s="9"/>
      <c r="B1241" s="9"/>
      <c r="C1241" s="3"/>
      <c r="D1241" s="3"/>
      <c r="E1241" s="3"/>
      <c r="F1241" s="3"/>
      <c r="G1241" s="3"/>
      <c r="H1241" s="3"/>
      <c r="I1241" s="3"/>
    </row>
    <row r="1242" spans="1:9" ht="15.75" customHeight="1" x14ac:dyDescent="0.2">
      <c r="A1242" s="9"/>
      <c r="B1242" s="9"/>
      <c r="C1242" s="3"/>
      <c r="D1242" s="3"/>
      <c r="E1242" s="3"/>
      <c r="F1242" s="3"/>
      <c r="G1242" s="3"/>
      <c r="H1242" s="3"/>
      <c r="I1242" s="3"/>
    </row>
    <row r="1243" spans="1:9" ht="15.75" customHeight="1" x14ac:dyDescent="0.2">
      <c r="A1243" s="9"/>
      <c r="B1243" s="9"/>
      <c r="C1243" s="3"/>
      <c r="D1243" s="3"/>
      <c r="E1243" s="3"/>
      <c r="F1243" s="3"/>
      <c r="G1243" s="3"/>
      <c r="H1243" s="3"/>
      <c r="I1243" s="3"/>
    </row>
    <row r="1244" spans="1:9" ht="15.75" customHeight="1" x14ac:dyDescent="0.2">
      <c r="A1244" s="9"/>
      <c r="B1244" s="9"/>
      <c r="C1244" s="3"/>
      <c r="D1244" s="3"/>
      <c r="E1244" s="3"/>
      <c r="F1244" s="3"/>
      <c r="G1244" s="3"/>
      <c r="H1244" s="3"/>
      <c r="I1244" s="3"/>
    </row>
    <row r="1245" spans="1:9" ht="15.75" customHeight="1" x14ac:dyDescent="0.2">
      <c r="A1245" s="9"/>
      <c r="B1245" s="9"/>
      <c r="C1245" s="3"/>
      <c r="D1245" s="3"/>
      <c r="E1245" s="3"/>
      <c r="F1245" s="3"/>
      <c r="G1245" s="3"/>
      <c r="H1245" s="3"/>
      <c r="I1245" s="3"/>
    </row>
    <row r="1246" spans="1:9" ht="15.75" customHeight="1" x14ac:dyDescent="0.2">
      <c r="A1246" s="9"/>
      <c r="B1246" s="9"/>
      <c r="C1246" s="3"/>
      <c r="D1246" s="3"/>
      <c r="E1246" s="3"/>
      <c r="F1246" s="3"/>
      <c r="G1246" s="3"/>
      <c r="H1246" s="3"/>
      <c r="I1246" s="3"/>
    </row>
    <row r="1247" spans="1:9" ht="15.75" customHeight="1" x14ac:dyDescent="0.2">
      <c r="A1247" s="9"/>
      <c r="B1247" s="9"/>
      <c r="C1247" s="3"/>
      <c r="D1247" s="3"/>
      <c r="E1247" s="3"/>
      <c r="F1247" s="3"/>
      <c r="G1247" s="3"/>
      <c r="H1247" s="3"/>
      <c r="I1247" s="3"/>
    </row>
    <row r="1248" spans="1:9" ht="15.75" customHeight="1" x14ac:dyDescent="0.2">
      <c r="A1248" s="9"/>
      <c r="B1248" s="9"/>
      <c r="C1248" s="3"/>
      <c r="D1248" s="3"/>
      <c r="E1248" s="3"/>
      <c r="F1248" s="3"/>
      <c r="G1248" s="3"/>
      <c r="H1248" s="3"/>
      <c r="I1248" s="3"/>
    </row>
    <row r="1249" spans="1:9" ht="15.75" customHeight="1" x14ac:dyDescent="0.2">
      <c r="A1249" s="9"/>
      <c r="B1249" s="9"/>
      <c r="C1249" s="3"/>
      <c r="D1249" s="3"/>
      <c r="E1249" s="3"/>
      <c r="F1249" s="3"/>
      <c r="G1249" s="3"/>
      <c r="H1249" s="3"/>
      <c r="I1249" s="3"/>
    </row>
    <row r="1250" spans="1:9" ht="15.75" customHeight="1" x14ac:dyDescent="0.2">
      <c r="A1250" s="9"/>
      <c r="B1250" s="9"/>
      <c r="C1250" s="3"/>
      <c r="D1250" s="3"/>
      <c r="E1250" s="3"/>
      <c r="F1250" s="3"/>
      <c r="G1250" s="3"/>
      <c r="H1250" s="3"/>
      <c r="I1250" s="3"/>
    </row>
    <row r="1251" spans="1:9" ht="15.75" customHeight="1" x14ac:dyDescent="0.2">
      <c r="A1251" s="9"/>
      <c r="B1251" s="9"/>
      <c r="C1251" s="3"/>
      <c r="D1251" s="3"/>
      <c r="E1251" s="3"/>
      <c r="F1251" s="3"/>
      <c r="G1251" s="3"/>
      <c r="H1251" s="3"/>
      <c r="I1251" s="3"/>
    </row>
    <row r="1252" spans="1:9" ht="15.75" customHeight="1" x14ac:dyDescent="0.2">
      <c r="A1252" s="9"/>
      <c r="B1252" s="9"/>
      <c r="C1252" s="3"/>
      <c r="D1252" s="3"/>
      <c r="E1252" s="3"/>
      <c r="F1252" s="3"/>
      <c r="G1252" s="3"/>
      <c r="H1252" s="3"/>
      <c r="I1252" s="3"/>
    </row>
    <row r="1253" spans="1:9" ht="15.75" customHeight="1" x14ac:dyDescent="0.2">
      <c r="A1253" s="9"/>
      <c r="B1253" s="9"/>
      <c r="C1253" s="3"/>
      <c r="D1253" s="3"/>
      <c r="E1253" s="3"/>
      <c r="F1253" s="3"/>
      <c r="G1253" s="3"/>
      <c r="H1253" s="3"/>
      <c r="I1253" s="3"/>
    </row>
    <row r="1254" spans="1:9" ht="15.75" customHeight="1" x14ac:dyDescent="0.2">
      <c r="A1254" s="9"/>
      <c r="B1254" s="9"/>
      <c r="C1254" s="3"/>
      <c r="D1254" s="3"/>
      <c r="E1254" s="3"/>
      <c r="F1254" s="3"/>
      <c r="G1254" s="3"/>
      <c r="H1254" s="3"/>
      <c r="I1254" s="3"/>
    </row>
    <row r="1255" spans="1:9" ht="15.75" customHeight="1" x14ac:dyDescent="0.2">
      <c r="A1255" s="9"/>
      <c r="B1255" s="9"/>
      <c r="C1255" s="3"/>
      <c r="D1255" s="3"/>
      <c r="E1255" s="3"/>
      <c r="F1255" s="3"/>
      <c r="G1255" s="3"/>
      <c r="H1255" s="3"/>
      <c r="I1255" s="3"/>
    </row>
    <row r="1256" spans="1:9" ht="15.75" customHeight="1" x14ac:dyDescent="0.2">
      <c r="A1256" s="9"/>
      <c r="B1256" s="9"/>
      <c r="C1256" s="3"/>
      <c r="D1256" s="3"/>
      <c r="E1256" s="3"/>
      <c r="F1256" s="3"/>
      <c r="G1256" s="3"/>
      <c r="H1256" s="3"/>
      <c r="I1256" s="3"/>
    </row>
    <row r="1257" spans="1:9" ht="15.75" customHeight="1" x14ac:dyDescent="0.2">
      <c r="A1257" s="9"/>
      <c r="B1257" s="9"/>
      <c r="C1257" s="3"/>
      <c r="D1257" s="3"/>
      <c r="E1257" s="3"/>
      <c r="F1257" s="3"/>
      <c r="G1257" s="3"/>
      <c r="H1257" s="3"/>
      <c r="I1257" s="3"/>
    </row>
    <row r="1258" spans="1:9" ht="15.75" customHeight="1" x14ac:dyDescent="0.2">
      <c r="A1258" s="9"/>
      <c r="B1258" s="9"/>
      <c r="C1258" s="3"/>
      <c r="D1258" s="3"/>
      <c r="E1258" s="3"/>
      <c r="F1258" s="3"/>
      <c r="G1258" s="3"/>
      <c r="H1258" s="3"/>
      <c r="I1258" s="3"/>
    </row>
    <row r="1259" spans="1:9" ht="15.75" customHeight="1" x14ac:dyDescent="0.2">
      <c r="A1259" s="9"/>
      <c r="B1259" s="9"/>
      <c r="C1259" s="3"/>
      <c r="D1259" s="3"/>
      <c r="E1259" s="3"/>
      <c r="F1259" s="3"/>
      <c r="G1259" s="3"/>
      <c r="H1259" s="3"/>
      <c r="I1259" s="3"/>
    </row>
    <row r="1260" spans="1:9" ht="15.75" customHeight="1" x14ac:dyDescent="0.2">
      <c r="A1260" s="9"/>
      <c r="B1260" s="9"/>
      <c r="C1260" s="3"/>
      <c r="D1260" s="3"/>
      <c r="E1260" s="3"/>
      <c r="F1260" s="3"/>
      <c r="G1260" s="3"/>
      <c r="H1260" s="3"/>
      <c r="I1260" s="3"/>
    </row>
    <row r="1261" spans="1:9" ht="15.75" customHeight="1" x14ac:dyDescent="0.2">
      <c r="A1261" s="9"/>
      <c r="B1261" s="9"/>
      <c r="C1261" s="3"/>
      <c r="D1261" s="3"/>
      <c r="E1261" s="3"/>
      <c r="F1261" s="3"/>
      <c r="G1261" s="3"/>
      <c r="H1261" s="3"/>
      <c r="I1261" s="3"/>
    </row>
    <row r="1262" spans="1:9" ht="15.75" customHeight="1" x14ac:dyDescent="0.2">
      <c r="A1262" s="9"/>
      <c r="B1262" s="9"/>
      <c r="C1262" s="3"/>
      <c r="D1262" s="3"/>
      <c r="E1262" s="3"/>
      <c r="F1262" s="3"/>
      <c r="G1262" s="3"/>
      <c r="H1262" s="3"/>
      <c r="I1262" s="3"/>
    </row>
    <row r="1263" spans="1:9" ht="15.75" customHeight="1" x14ac:dyDescent="0.2">
      <c r="A1263" s="9"/>
      <c r="B1263" s="9"/>
      <c r="C1263" s="3"/>
      <c r="D1263" s="3"/>
      <c r="E1263" s="3"/>
      <c r="F1263" s="3"/>
      <c r="G1263" s="3"/>
      <c r="H1263" s="3"/>
      <c r="I1263" s="3"/>
    </row>
    <row r="1264" spans="1:9" ht="15.75" customHeight="1" x14ac:dyDescent="0.2">
      <c r="A1264" s="9"/>
      <c r="B1264" s="9"/>
      <c r="C1264" s="3"/>
      <c r="D1264" s="3"/>
      <c r="E1264" s="3"/>
      <c r="F1264" s="3"/>
      <c r="G1264" s="3"/>
      <c r="H1264" s="3"/>
      <c r="I1264" s="3"/>
    </row>
    <row r="1265" spans="1:9" ht="15.75" customHeight="1" x14ac:dyDescent="0.2">
      <c r="A1265" s="9"/>
      <c r="B1265" s="9"/>
      <c r="C1265" s="3"/>
      <c r="D1265" s="3"/>
      <c r="E1265" s="3"/>
      <c r="F1265" s="3"/>
      <c r="G1265" s="3"/>
      <c r="H1265" s="3"/>
      <c r="I1265" s="3"/>
    </row>
    <row r="1266" spans="1:9" ht="15.75" customHeight="1" x14ac:dyDescent="0.2">
      <c r="A1266" s="9"/>
      <c r="B1266" s="9"/>
      <c r="C1266" s="3"/>
      <c r="D1266" s="3"/>
      <c r="E1266" s="3"/>
      <c r="F1266" s="3"/>
      <c r="G1266" s="3"/>
      <c r="H1266" s="3"/>
      <c r="I1266" s="3"/>
    </row>
    <row r="1267" spans="1:9" ht="15.75" customHeight="1" x14ac:dyDescent="0.2">
      <c r="A1267" s="9"/>
      <c r="B1267" s="9"/>
      <c r="C1267" s="3"/>
      <c r="D1267" s="3"/>
      <c r="E1267" s="3"/>
      <c r="F1267" s="3"/>
      <c r="G1267" s="3"/>
      <c r="H1267" s="3"/>
      <c r="I1267" s="3"/>
    </row>
    <row r="1268" spans="1:9" ht="15.75" customHeight="1" x14ac:dyDescent="0.2">
      <c r="A1268" s="9"/>
      <c r="B1268" s="9"/>
      <c r="C1268" s="3"/>
      <c r="D1268" s="3"/>
      <c r="E1268" s="3"/>
      <c r="F1268" s="3"/>
      <c r="G1268" s="3"/>
      <c r="H1268" s="3"/>
      <c r="I1268" s="3"/>
    </row>
    <row r="1269" spans="1:9" ht="15.75" customHeight="1" x14ac:dyDescent="0.2">
      <c r="A1269" s="9"/>
      <c r="B1269" s="9"/>
      <c r="C1269" s="3"/>
      <c r="D1269" s="3"/>
      <c r="E1269" s="3"/>
      <c r="F1269" s="3"/>
      <c r="G1269" s="3"/>
      <c r="H1269" s="3"/>
      <c r="I1269" s="3"/>
    </row>
    <row r="1270" spans="1:9" ht="15.75" customHeight="1" x14ac:dyDescent="0.2">
      <c r="A1270" s="9"/>
      <c r="B1270" s="9"/>
      <c r="C1270" s="3"/>
      <c r="D1270" s="3"/>
      <c r="E1270" s="3"/>
      <c r="F1270" s="3"/>
      <c r="G1270" s="3"/>
      <c r="H1270" s="3"/>
      <c r="I1270" s="3"/>
    </row>
    <row r="1271" spans="1:9" ht="15.75" customHeight="1" x14ac:dyDescent="0.2">
      <c r="A1271" s="9"/>
      <c r="B1271" s="9"/>
      <c r="C1271" s="3"/>
      <c r="D1271" s="3"/>
      <c r="E1271" s="3"/>
      <c r="F1271" s="3"/>
      <c r="G1271" s="3"/>
      <c r="H1271" s="3"/>
      <c r="I1271" s="3"/>
    </row>
    <row r="1272" spans="1:9" ht="15.75" customHeight="1" x14ac:dyDescent="0.2">
      <c r="A1272" s="9"/>
      <c r="B1272" s="9"/>
      <c r="C1272" s="3"/>
      <c r="D1272" s="3"/>
      <c r="E1272" s="3"/>
      <c r="F1272" s="3"/>
      <c r="G1272" s="3"/>
      <c r="H1272" s="3"/>
      <c r="I1272" s="3"/>
    </row>
    <row r="1273" spans="1:9" ht="15.75" customHeight="1" x14ac:dyDescent="0.2">
      <c r="A1273" s="9"/>
      <c r="B1273" s="9"/>
      <c r="C1273" s="3"/>
      <c r="D1273" s="3"/>
      <c r="E1273" s="3"/>
      <c r="F1273" s="3"/>
      <c r="G1273" s="3"/>
      <c r="H1273" s="3"/>
      <c r="I1273" s="3"/>
    </row>
    <row r="1274" spans="1:9" ht="15.75" customHeight="1" x14ac:dyDescent="0.2">
      <c r="A1274" s="9"/>
      <c r="B1274" s="9"/>
      <c r="C1274" s="3"/>
      <c r="D1274" s="3"/>
      <c r="E1274" s="3"/>
      <c r="F1274" s="3"/>
      <c r="G1274" s="3"/>
      <c r="H1274" s="3"/>
      <c r="I1274" s="3"/>
    </row>
    <row r="1275" spans="1:9" ht="15.75" customHeight="1" x14ac:dyDescent="0.2">
      <c r="A1275" s="9"/>
      <c r="B1275" s="9"/>
      <c r="C1275" s="3"/>
      <c r="D1275" s="3"/>
      <c r="E1275" s="3"/>
      <c r="F1275" s="3"/>
      <c r="G1275" s="3"/>
      <c r="H1275" s="3"/>
      <c r="I1275" s="3"/>
    </row>
    <row r="1276" spans="1:9" ht="15.75" customHeight="1" x14ac:dyDescent="0.2">
      <c r="A1276" s="9"/>
      <c r="B1276" s="9"/>
      <c r="C1276" s="3"/>
      <c r="D1276" s="3"/>
      <c r="E1276" s="3"/>
      <c r="F1276" s="3"/>
      <c r="G1276" s="3"/>
      <c r="H1276" s="3"/>
      <c r="I1276" s="3"/>
    </row>
    <row r="1277" spans="1:9" ht="15.75" customHeight="1" x14ac:dyDescent="0.2">
      <c r="A1277" s="9"/>
      <c r="B1277" s="9"/>
      <c r="C1277" s="3"/>
      <c r="D1277" s="3"/>
      <c r="E1277" s="3"/>
      <c r="F1277" s="3"/>
      <c r="G1277" s="3"/>
      <c r="H1277" s="3"/>
      <c r="I1277" s="3"/>
    </row>
    <row r="1278" spans="1:9" ht="15.75" customHeight="1" x14ac:dyDescent="0.2">
      <c r="A1278" s="9"/>
      <c r="B1278" s="9"/>
      <c r="C1278" s="3"/>
      <c r="D1278" s="3"/>
      <c r="E1278" s="3"/>
      <c r="F1278" s="3"/>
      <c r="G1278" s="3"/>
      <c r="H1278" s="3"/>
      <c r="I1278" s="3"/>
    </row>
    <row r="1279" spans="1:9" ht="15.75" customHeight="1" x14ac:dyDescent="0.2">
      <c r="A1279" s="9"/>
      <c r="B1279" s="9"/>
      <c r="C1279" s="3"/>
      <c r="D1279" s="3"/>
      <c r="E1279" s="3"/>
      <c r="F1279" s="3"/>
      <c r="G1279" s="3"/>
      <c r="H1279" s="3"/>
      <c r="I1279" s="3"/>
    </row>
    <row r="1280" spans="1:9" ht="15.75" customHeight="1" x14ac:dyDescent="0.2">
      <c r="A1280" s="9"/>
      <c r="B1280" s="9"/>
      <c r="C1280" s="3"/>
      <c r="D1280" s="3"/>
      <c r="E1280" s="3"/>
      <c r="F1280" s="3"/>
      <c r="G1280" s="3"/>
      <c r="H1280" s="3"/>
      <c r="I1280" s="3"/>
    </row>
    <row r="1281" spans="1:9" ht="15.75" customHeight="1" x14ac:dyDescent="0.2">
      <c r="A1281" s="9"/>
      <c r="B1281" s="9"/>
      <c r="C1281" s="3"/>
      <c r="D1281" s="3"/>
      <c r="E1281" s="3"/>
      <c r="F1281" s="3"/>
      <c r="G1281" s="3"/>
      <c r="H1281" s="3"/>
      <c r="I1281" s="3"/>
    </row>
    <row r="1282" spans="1:9" ht="15.75" customHeight="1" x14ac:dyDescent="0.2">
      <c r="A1282" s="9"/>
      <c r="B1282" s="9"/>
      <c r="C1282" s="3"/>
      <c r="D1282" s="3"/>
      <c r="E1282" s="3"/>
      <c r="F1282" s="3"/>
      <c r="G1282" s="3"/>
      <c r="H1282" s="3"/>
      <c r="I1282" s="3"/>
    </row>
    <row r="1283" spans="1:9" ht="15.75" customHeight="1" x14ac:dyDescent="0.2">
      <c r="A1283" s="9"/>
      <c r="B1283" s="9"/>
      <c r="C1283" s="3"/>
      <c r="D1283" s="3"/>
      <c r="E1283" s="3"/>
      <c r="F1283" s="3"/>
      <c r="G1283" s="3"/>
      <c r="H1283" s="3"/>
      <c r="I1283" s="3"/>
    </row>
    <row r="1284" spans="1:9" ht="15.75" customHeight="1" x14ac:dyDescent="0.2">
      <c r="A1284" s="9"/>
      <c r="B1284" s="9"/>
      <c r="C1284" s="3"/>
      <c r="D1284" s="3"/>
      <c r="E1284" s="3"/>
      <c r="F1284" s="3"/>
      <c r="G1284" s="3"/>
      <c r="H1284" s="3"/>
      <c r="I1284" s="3"/>
    </row>
    <row r="1285" spans="1:9" ht="15.75" customHeight="1" x14ac:dyDescent="0.2">
      <c r="A1285" s="9"/>
      <c r="B1285" s="9"/>
      <c r="C1285" s="3"/>
      <c r="D1285" s="3"/>
      <c r="E1285" s="3"/>
      <c r="F1285" s="3"/>
      <c r="G1285" s="3"/>
      <c r="H1285" s="3"/>
      <c r="I1285" s="3"/>
    </row>
    <row r="1286" spans="1:9" ht="15.75" customHeight="1" x14ac:dyDescent="0.2">
      <c r="A1286" s="9"/>
      <c r="B1286" s="9"/>
      <c r="C1286" s="3"/>
      <c r="D1286" s="3"/>
      <c r="E1286" s="3"/>
      <c r="F1286" s="3"/>
      <c r="G1286" s="3"/>
      <c r="H1286" s="3"/>
      <c r="I1286" s="3"/>
    </row>
    <row r="1287" spans="1:9" ht="15.75" customHeight="1" x14ac:dyDescent="0.2">
      <c r="A1287" s="9"/>
      <c r="B1287" s="9"/>
      <c r="C1287" s="3"/>
      <c r="D1287" s="3"/>
      <c r="E1287" s="3"/>
      <c r="F1287" s="3"/>
      <c r="G1287" s="3"/>
      <c r="H1287" s="3"/>
      <c r="I1287" s="3"/>
    </row>
    <row r="1288" spans="1:9" ht="15.75" customHeight="1" x14ac:dyDescent="0.2">
      <c r="A1288" s="9"/>
      <c r="B1288" s="9"/>
      <c r="C1288" s="3"/>
      <c r="D1288" s="3"/>
      <c r="E1288" s="3"/>
      <c r="F1288" s="3"/>
      <c r="G1288" s="3"/>
      <c r="H1288" s="3"/>
      <c r="I1288" s="3"/>
    </row>
    <row r="1289" spans="1:9" ht="15.75" customHeight="1" x14ac:dyDescent="0.2">
      <c r="A1289" s="9"/>
      <c r="B1289" s="9"/>
      <c r="C1289" s="3"/>
      <c r="D1289" s="3"/>
      <c r="E1289" s="3"/>
      <c r="F1289" s="3"/>
      <c r="G1289" s="3"/>
      <c r="H1289" s="3"/>
      <c r="I1289" s="3"/>
    </row>
    <row r="1290" spans="1:9" ht="15.75" customHeight="1" x14ac:dyDescent="0.2">
      <c r="A1290" s="9"/>
      <c r="B1290" s="9"/>
      <c r="C1290" s="3"/>
      <c r="D1290" s="3"/>
      <c r="E1290" s="3"/>
      <c r="F1290" s="3"/>
      <c r="G1290" s="3"/>
      <c r="H1290" s="3"/>
      <c r="I1290" s="3"/>
    </row>
    <row r="1291" spans="1:9" ht="15.75" customHeight="1" x14ac:dyDescent="0.2">
      <c r="A1291" s="9"/>
      <c r="B1291" s="9"/>
      <c r="C1291" s="3"/>
      <c r="D1291" s="3"/>
      <c r="E1291" s="3"/>
      <c r="F1291" s="3"/>
      <c r="G1291" s="3"/>
      <c r="H1291" s="3"/>
      <c r="I1291" s="3"/>
    </row>
    <row r="1292" spans="1:9" ht="15.75" customHeight="1" x14ac:dyDescent="0.2">
      <c r="A1292" s="9"/>
      <c r="B1292" s="9"/>
      <c r="C1292" s="3"/>
      <c r="D1292" s="3"/>
      <c r="E1292" s="3"/>
      <c r="F1292" s="3"/>
      <c r="G1292" s="3"/>
      <c r="H1292" s="3"/>
      <c r="I1292" s="3"/>
    </row>
    <row r="1293" spans="1:9" ht="15.75" customHeight="1" x14ac:dyDescent="0.2">
      <c r="A1293" s="9"/>
      <c r="B1293" s="9"/>
      <c r="C1293" s="3"/>
      <c r="D1293" s="3"/>
      <c r="E1293" s="3"/>
      <c r="F1293" s="3"/>
      <c r="G1293" s="3"/>
      <c r="H1293" s="3"/>
      <c r="I1293" s="3"/>
    </row>
    <row r="1294" spans="1:9" ht="15.75" customHeight="1" x14ac:dyDescent="0.2">
      <c r="A1294" s="9"/>
      <c r="B1294" s="9"/>
      <c r="C1294" s="3"/>
      <c r="D1294" s="3"/>
      <c r="E1294" s="3"/>
      <c r="F1294" s="3"/>
      <c r="G1294" s="3"/>
      <c r="H1294" s="3"/>
      <c r="I1294" s="3"/>
    </row>
    <row r="1295" spans="1:9" ht="15.75" customHeight="1" x14ac:dyDescent="0.2">
      <c r="A1295" s="9"/>
      <c r="B1295" s="9"/>
      <c r="C1295" s="3"/>
      <c r="D1295" s="3"/>
      <c r="E1295" s="3"/>
      <c r="F1295" s="3"/>
      <c r="G1295" s="3"/>
      <c r="H1295" s="3"/>
      <c r="I1295" s="3"/>
    </row>
    <row r="1296" spans="1:9" ht="15.75" customHeight="1" x14ac:dyDescent="0.2">
      <c r="A1296" s="9"/>
      <c r="B1296" s="9"/>
      <c r="C1296" s="3"/>
      <c r="D1296" s="3"/>
      <c r="E1296" s="3"/>
      <c r="F1296" s="3"/>
      <c r="G1296" s="3"/>
      <c r="H1296" s="3"/>
      <c r="I1296" s="3"/>
    </row>
    <row r="1297" spans="1:9" ht="15.75" customHeight="1" x14ac:dyDescent="0.2">
      <c r="A1297" s="9"/>
      <c r="B1297" s="9"/>
      <c r="C1297" s="3"/>
      <c r="D1297" s="3"/>
      <c r="E1297" s="3"/>
      <c r="F1297" s="3"/>
      <c r="G1297" s="3"/>
      <c r="H1297" s="3"/>
      <c r="I1297" s="3"/>
    </row>
    <row r="1298" spans="1:9" ht="15.75" customHeight="1" x14ac:dyDescent="0.2">
      <c r="A1298" s="9"/>
      <c r="B1298" s="9"/>
      <c r="C1298" s="3"/>
      <c r="D1298" s="3"/>
      <c r="E1298" s="3"/>
      <c r="F1298" s="3"/>
      <c r="G1298" s="3"/>
      <c r="H1298" s="3"/>
      <c r="I1298" s="3"/>
    </row>
    <row r="1299" spans="1:9" ht="15.75" customHeight="1" x14ac:dyDescent="0.2">
      <c r="A1299" s="9"/>
      <c r="B1299" s="9"/>
      <c r="C1299" s="3"/>
      <c r="D1299" s="3"/>
      <c r="E1299" s="3"/>
      <c r="F1299" s="3"/>
      <c r="G1299" s="3"/>
      <c r="H1299" s="3"/>
      <c r="I1299" s="3"/>
    </row>
    <row r="1300" spans="1:9" ht="15.75" customHeight="1" x14ac:dyDescent="0.2">
      <c r="A1300" s="9"/>
      <c r="B1300" s="9"/>
      <c r="C1300" s="3"/>
      <c r="D1300" s="3"/>
      <c r="E1300" s="3"/>
      <c r="F1300" s="3"/>
      <c r="G1300" s="3"/>
      <c r="H1300" s="3"/>
      <c r="I1300" s="3"/>
    </row>
    <row r="1301" spans="1:9" ht="15.75" customHeight="1" x14ac:dyDescent="0.2">
      <c r="A1301" s="9"/>
      <c r="B1301" s="9"/>
      <c r="C1301" s="3"/>
      <c r="D1301" s="3"/>
      <c r="E1301" s="3"/>
      <c r="F1301" s="3"/>
      <c r="G1301" s="3"/>
      <c r="H1301" s="3"/>
      <c r="I1301" s="3"/>
    </row>
    <row r="1302" spans="1:9" ht="15.75" customHeight="1" x14ac:dyDescent="0.2">
      <c r="A1302" s="9"/>
      <c r="B1302" s="9"/>
      <c r="C1302" s="3"/>
      <c r="D1302" s="3"/>
      <c r="E1302" s="3"/>
      <c r="F1302" s="3"/>
      <c r="G1302" s="3"/>
      <c r="H1302" s="3"/>
      <c r="I1302" s="3"/>
    </row>
    <row r="1303" spans="1:9" ht="15.75" customHeight="1" x14ac:dyDescent="0.2">
      <c r="A1303" s="9"/>
      <c r="B1303" s="9"/>
      <c r="C1303" s="3"/>
      <c r="D1303" s="3"/>
      <c r="E1303" s="3"/>
      <c r="F1303" s="3"/>
      <c r="G1303" s="3"/>
      <c r="H1303" s="3"/>
      <c r="I1303" s="3"/>
    </row>
    <row r="1304" spans="1:9" ht="15.75" customHeight="1" x14ac:dyDescent="0.2">
      <c r="A1304" s="9"/>
      <c r="B1304" s="9"/>
      <c r="C1304" s="3"/>
      <c r="D1304" s="3"/>
      <c r="E1304" s="3"/>
      <c r="F1304" s="3"/>
      <c r="G1304" s="3"/>
      <c r="H1304" s="3"/>
      <c r="I1304" s="3"/>
    </row>
    <row r="1305" spans="1:9" ht="15.75" customHeight="1" x14ac:dyDescent="0.2">
      <c r="A1305" s="9"/>
      <c r="B1305" s="9"/>
      <c r="C1305" s="3"/>
      <c r="D1305" s="3"/>
      <c r="E1305" s="3"/>
      <c r="F1305" s="3"/>
      <c r="G1305" s="3"/>
      <c r="H1305" s="3"/>
      <c r="I1305" s="3"/>
    </row>
    <row r="1306" spans="1:9" ht="15.75" customHeight="1" x14ac:dyDescent="0.2">
      <c r="A1306" s="9"/>
      <c r="B1306" s="9"/>
      <c r="C1306" s="3"/>
      <c r="D1306" s="3"/>
      <c r="E1306" s="3"/>
      <c r="F1306" s="3"/>
      <c r="G1306" s="3"/>
      <c r="H1306" s="3"/>
      <c r="I1306" s="3"/>
    </row>
    <row r="1307" spans="1:9" ht="15.75" customHeight="1" x14ac:dyDescent="0.2">
      <c r="A1307" s="9"/>
      <c r="B1307" s="9"/>
      <c r="C1307" s="3"/>
      <c r="D1307" s="3"/>
      <c r="E1307" s="3"/>
      <c r="F1307" s="3"/>
      <c r="G1307" s="3"/>
      <c r="H1307" s="3"/>
      <c r="I1307" s="3"/>
    </row>
    <row r="1308" spans="1:9" ht="15.75" customHeight="1" x14ac:dyDescent="0.2">
      <c r="A1308" s="9"/>
      <c r="B1308" s="9"/>
      <c r="C1308" s="3"/>
      <c r="D1308" s="3"/>
      <c r="E1308" s="3"/>
      <c r="F1308" s="3"/>
      <c r="G1308" s="3"/>
      <c r="H1308" s="3"/>
      <c r="I1308" s="3"/>
    </row>
    <row r="1309" spans="1:9" ht="15.75" customHeight="1" x14ac:dyDescent="0.2">
      <c r="A1309" s="9"/>
      <c r="B1309" s="9"/>
      <c r="C1309" s="3"/>
      <c r="D1309" s="3"/>
      <c r="E1309" s="3"/>
      <c r="F1309" s="3"/>
      <c r="G1309" s="3"/>
      <c r="H1309" s="3"/>
      <c r="I1309" s="3"/>
    </row>
    <row r="1310" spans="1:9" ht="15.75" customHeight="1" x14ac:dyDescent="0.2">
      <c r="A1310" s="9"/>
      <c r="B1310" s="9"/>
      <c r="C1310" s="3"/>
      <c r="D1310" s="3"/>
      <c r="E1310" s="3"/>
      <c r="F1310" s="3"/>
      <c r="G1310" s="3"/>
      <c r="H1310" s="3"/>
      <c r="I1310" s="3"/>
    </row>
    <row r="1311" spans="1:9" ht="15.75" customHeight="1" x14ac:dyDescent="0.2">
      <c r="A1311" s="9"/>
      <c r="B1311" s="9"/>
      <c r="C1311" s="3"/>
      <c r="D1311" s="3"/>
      <c r="E1311" s="3"/>
      <c r="F1311" s="3"/>
      <c r="G1311" s="3"/>
      <c r="H1311" s="3"/>
      <c r="I1311" s="3"/>
    </row>
    <row r="1312" spans="1:9" ht="15.75" customHeight="1" x14ac:dyDescent="0.2">
      <c r="A1312" s="9"/>
      <c r="B1312" s="9"/>
      <c r="C1312" s="3"/>
      <c r="D1312" s="3"/>
      <c r="E1312" s="3"/>
      <c r="F1312" s="3"/>
      <c r="G1312" s="3"/>
      <c r="H1312" s="3"/>
      <c r="I1312" s="3"/>
    </row>
    <row r="1313" spans="1:9" ht="15.75" customHeight="1" x14ac:dyDescent="0.2">
      <c r="A1313" s="9"/>
      <c r="B1313" s="9"/>
      <c r="C1313" s="3"/>
      <c r="D1313" s="3"/>
      <c r="E1313" s="3"/>
      <c r="F1313" s="3"/>
      <c r="G1313" s="3"/>
      <c r="H1313" s="3"/>
      <c r="I1313" s="3"/>
    </row>
    <row r="1314" spans="1:9" ht="15.75" customHeight="1" x14ac:dyDescent="0.2">
      <c r="A1314" s="9"/>
      <c r="B1314" s="9"/>
      <c r="C1314" s="3"/>
      <c r="D1314" s="3"/>
      <c r="E1314" s="3"/>
      <c r="F1314" s="3"/>
      <c r="G1314" s="3"/>
      <c r="H1314" s="3"/>
      <c r="I1314" s="3"/>
    </row>
    <row r="1315" spans="1:9" ht="15.75" customHeight="1" x14ac:dyDescent="0.2">
      <c r="A1315" s="9"/>
      <c r="B1315" s="9"/>
      <c r="C1315" s="3"/>
      <c r="D1315" s="3"/>
      <c r="E1315" s="3"/>
      <c r="F1315" s="3"/>
      <c r="G1315" s="3"/>
      <c r="H1315" s="3"/>
      <c r="I1315" s="3"/>
    </row>
    <row r="1316" spans="1:9" ht="15.75" customHeight="1" x14ac:dyDescent="0.2">
      <c r="A1316" s="9"/>
      <c r="B1316" s="9"/>
      <c r="C1316" s="3"/>
      <c r="D1316" s="3"/>
      <c r="E1316" s="3"/>
      <c r="F1316" s="3"/>
      <c r="G1316" s="3"/>
      <c r="H1316" s="3"/>
      <c r="I1316" s="3"/>
    </row>
    <row r="1317" spans="1:9" ht="15.75" customHeight="1" x14ac:dyDescent="0.2">
      <c r="A1317" s="9"/>
      <c r="B1317" s="9"/>
      <c r="C1317" s="3"/>
      <c r="D1317" s="3"/>
      <c r="E1317" s="3"/>
      <c r="F1317" s="3"/>
      <c r="G1317" s="3"/>
      <c r="H1317" s="3"/>
      <c r="I1317" s="3"/>
    </row>
    <row r="1318" spans="1:9" ht="15.75" customHeight="1" x14ac:dyDescent="0.2">
      <c r="A1318" s="9"/>
      <c r="B1318" s="9"/>
      <c r="C1318" s="3"/>
      <c r="D1318" s="3"/>
      <c r="E1318" s="3"/>
      <c r="F1318" s="3"/>
      <c r="G1318" s="3"/>
      <c r="H1318" s="3"/>
      <c r="I1318" s="3"/>
    </row>
    <row r="1319" spans="1:9" ht="15.75" customHeight="1" x14ac:dyDescent="0.2">
      <c r="A1319" s="9"/>
      <c r="B1319" s="9"/>
      <c r="C1319" s="3"/>
      <c r="D1319" s="3"/>
      <c r="E1319" s="3"/>
      <c r="F1319" s="3"/>
      <c r="G1319" s="3"/>
      <c r="H1319" s="3"/>
      <c r="I1319" s="3"/>
    </row>
    <row r="1320" spans="1:9" ht="15.75" customHeight="1" x14ac:dyDescent="0.2">
      <c r="A1320" s="9"/>
      <c r="B1320" s="9"/>
      <c r="C1320" s="3"/>
      <c r="D1320" s="3"/>
      <c r="E1320" s="3"/>
      <c r="F1320" s="3"/>
      <c r="G1320" s="3"/>
      <c r="H1320" s="3"/>
      <c r="I1320" s="3"/>
    </row>
    <row r="1321" spans="1:9" ht="15.75" customHeight="1" x14ac:dyDescent="0.2">
      <c r="A1321" s="9"/>
      <c r="B1321" s="9"/>
      <c r="C1321" s="3"/>
      <c r="D1321" s="3"/>
      <c r="E1321" s="3"/>
      <c r="F1321" s="3"/>
      <c r="G1321" s="3"/>
      <c r="H1321" s="3"/>
      <c r="I1321" s="3"/>
    </row>
    <row r="1322" spans="1:9" ht="15.75" customHeight="1" x14ac:dyDescent="0.2">
      <c r="A1322" s="9"/>
      <c r="B1322" s="9"/>
      <c r="C1322" s="3"/>
      <c r="D1322" s="3"/>
      <c r="E1322" s="3"/>
      <c r="F1322" s="3"/>
      <c r="G1322" s="3"/>
      <c r="H1322" s="3"/>
      <c r="I1322" s="3"/>
    </row>
    <row r="1323" spans="1:9" ht="15.75" customHeight="1" x14ac:dyDescent="0.2">
      <c r="A1323" s="9"/>
      <c r="B1323" s="9"/>
      <c r="C1323" s="3"/>
      <c r="D1323" s="3"/>
      <c r="E1323" s="3"/>
      <c r="F1323" s="3"/>
      <c r="G1323" s="3"/>
      <c r="H1323" s="3"/>
      <c r="I1323" s="3"/>
    </row>
    <row r="1324" spans="1:9" ht="15.75" customHeight="1" x14ac:dyDescent="0.2">
      <c r="A1324" s="9"/>
      <c r="B1324" s="9"/>
      <c r="C1324" s="3"/>
      <c r="D1324" s="3"/>
      <c r="E1324" s="3"/>
      <c r="F1324" s="3"/>
      <c r="G1324" s="3"/>
      <c r="H1324" s="3"/>
      <c r="I1324" s="3"/>
    </row>
    <row r="1325" spans="1:9" ht="15.75" customHeight="1" x14ac:dyDescent="0.2">
      <c r="A1325" s="9"/>
      <c r="B1325" s="9"/>
      <c r="C1325" s="3"/>
      <c r="D1325" s="3"/>
      <c r="E1325" s="3"/>
      <c r="F1325" s="3"/>
      <c r="G1325" s="3"/>
      <c r="H1325" s="3"/>
      <c r="I1325" s="3"/>
    </row>
    <row r="1326" spans="1:9" ht="15.75" customHeight="1" x14ac:dyDescent="0.2">
      <c r="A1326" s="9"/>
      <c r="B1326" s="9"/>
      <c r="C1326" s="3"/>
      <c r="D1326" s="3"/>
      <c r="E1326" s="3"/>
      <c r="F1326" s="3"/>
      <c r="G1326" s="3"/>
      <c r="H1326" s="3"/>
      <c r="I1326" s="3"/>
    </row>
    <row r="1327" spans="1:9" ht="15.75" customHeight="1" x14ac:dyDescent="0.2">
      <c r="A1327" s="9"/>
      <c r="B1327" s="9"/>
      <c r="C1327" s="3"/>
      <c r="D1327" s="3"/>
      <c r="E1327" s="3"/>
      <c r="F1327" s="3"/>
      <c r="G1327" s="3"/>
      <c r="H1327" s="3"/>
      <c r="I1327" s="3"/>
    </row>
    <row r="1328" spans="1:9" ht="15.75" customHeight="1" x14ac:dyDescent="0.2">
      <c r="A1328" s="9"/>
      <c r="B1328" s="9"/>
      <c r="C1328" s="3"/>
      <c r="D1328" s="3"/>
      <c r="E1328" s="3"/>
      <c r="F1328" s="3"/>
      <c r="G1328" s="3"/>
      <c r="H1328" s="3"/>
      <c r="I1328" s="3"/>
    </row>
    <row r="1329" spans="1:9" ht="15.75" customHeight="1" x14ac:dyDescent="0.2">
      <c r="A1329" s="9"/>
      <c r="B1329" s="9"/>
      <c r="C1329" s="3"/>
      <c r="D1329" s="3"/>
      <c r="E1329" s="3"/>
      <c r="F1329" s="3"/>
      <c r="G1329" s="3"/>
      <c r="H1329" s="3"/>
      <c r="I1329" s="3"/>
    </row>
    <row r="1330" spans="1:9" ht="15.75" customHeight="1" x14ac:dyDescent="0.2">
      <c r="A1330" s="9"/>
      <c r="B1330" s="9"/>
      <c r="C1330" s="3"/>
      <c r="D1330" s="3"/>
      <c r="E1330" s="3"/>
      <c r="F1330" s="3"/>
      <c r="G1330" s="3"/>
      <c r="H1330" s="3"/>
      <c r="I1330" s="3"/>
    </row>
    <row r="1331" spans="1:9" ht="15.75" customHeight="1" x14ac:dyDescent="0.2">
      <c r="A1331" s="9"/>
      <c r="B1331" s="9"/>
      <c r="C1331" s="3"/>
      <c r="D1331" s="3"/>
      <c r="E1331" s="3"/>
      <c r="F1331" s="3"/>
      <c r="G1331" s="3"/>
      <c r="H1331" s="3"/>
      <c r="I1331" s="3"/>
    </row>
    <row r="1332" spans="1:9" ht="15.75" customHeight="1" x14ac:dyDescent="0.2">
      <c r="A1332" s="9"/>
      <c r="B1332" s="9"/>
      <c r="C1332" s="3"/>
      <c r="D1332" s="3"/>
      <c r="E1332" s="3"/>
      <c r="F1332" s="3"/>
      <c r="G1332" s="3"/>
      <c r="H1332" s="3"/>
      <c r="I1332" s="3"/>
    </row>
    <row r="1333" spans="1:9" ht="15.75" customHeight="1" x14ac:dyDescent="0.2">
      <c r="A1333" s="9"/>
      <c r="B1333" s="9"/>
      <c r="C1333" s="3"/>
      <c r="D1333" s="3"/>
      <c r="E1333" s="3"/>
      <c r="F1333" s="3"/>
      <c r="G1333" s="3"/>
      <c r="H1333" s="3"/>
      <c r="I1333" s="3"/>
    </row>
    <row r="1334" spans="1:9" ht="15.75" customHeight="1" x14ac:dyDescent="0.2">
      <c r="A1334" s="9"/>
      <c r="B1334" s="9"/>
      <c r="C1334" s="3"/>
      <c r="D1334" s="3"/>
      <c r="E1334" s="3"/>
      <c r="F1334" s="3"/>
      <c r="G1334" s="3"/>
      <c r="H1334" s="3"/>
      <c r="I1334" s="3"/>
    </row>
    <row r="1335" spans="1:9" ht="15.75" customHeight="1" x14ac:dyDescent="0.2">
      <c r="A1335" s="9"/>
      <c r="B1335" s="9"/>
      <c r="C1335" s="3"/>
      <c r="D1335" s="3"/>
      <c r="E1335" s="3"/>
      <c r="F1335" s="3"/>
      <c r="G1335" s="3"/>
      <c r="H1335" s="3"/>
      <c r="I1335" s="3"/>
    </row>
    <row r="1336" spans="1:9" ht="15.75" customHeight="1" x14ac:dyDescent="0.2">
      <c r="A1336" s="9"/>
      <c r="B1336" s="9"/>
      <c r="C1336" s="3"/>
      <c r="D1336" s="3"/>
      <c r="E1336" s="3"/>
      <c r="F1336" s="3"/>
      <c r="G1336" s="3"/>
      <c r="H1336" s="3"/>
      <c r="I1336" s="3"/>
    </row>
    <row r="1337" spans="1:9" ht="15.75" customHeight="1" x14ac:dyDescent="0.2">
      <c r="A1337" s="9"/>
      <c r="B1337" s="9"/>
      <c r="C1337" s="3"/>
      <c r="D1337" s="3"/>
      <c r="E1337" s="3"/>
      <c r="F1337" s="3"/>
      <c r="G1337" s="3"/>
      <c r="H1337" s="3"/>
      <c r="I1337" s="3"/>
    </row>
    <row r="1338" spans="1:9" ht="15.75" customHeight="1" x14ac:dyDescent="0.2">
      <c r="A1338" s="9"/>
      <c r="B1338" s="9"/>
      <c r="C1338" s="3"/>
      <c r="D1338" s="3"/>
      <c r="E1338" s="3"/>
      <c r="F1338" s="3"/>
      <c r="G1338" s="3"/>
      <c r="H1338" s="3"/>
      <c r="I1338" s="3"/>
    </row>
    <row r="1339" spans="1:9" ht="15.75" customHeight="1" x14ac:dyDescent="0.2">
      <c r="A1339" s="9"/>
      <c r="B1339" s="9"/>
      <c r="C1339" s="3"/>
      <c r="D1339" s="3"/>
      <c r="E1339" s="3"/>
      <c r="F1339" s="3"/>
      <c r="G1339" s="3"/>
      <c r="H1339" s="3"/>
      <c r="I1339" s="3"/>
    </row>
    <row r="1340" spans="1:9" ht="15.75" customHeight="1" x14ac:dyDescent="0.2">
      <c r="A1340" s="9"/>
      <c r="B1340" s="9"/>
      <c r="C1340" s="3"/>
      <c r="D1340" s="3"/>
      <c r="E1340" s="3"/>
      <c r="F1340" s="3"/>
      <c r="G1340" s="3"/>
      <c r="H1340" s="3"/>
      <c r="I1340" s="3"/>
    </row>
    <row r="1341" spans="1:9" ht="15.75" customHeight="1" x14ac:dyDescent="0.2">
      <c r="A1341" s="9"/>
      <c r="B1341" s="9"/>
      <c r="C1341" s="3"/>
      <c r="D1341" s="3"/>
      <c r="E1341" s="3"/>
      <c r="F1341" s="3"/>
      <c r="G1341" s="3"/>
      <c r="H1341" s="3"/>
      <c r="I1341" s="3"/>
    </row>
    <row r="1342" spans="1:9" ht="15.75" customHeight="1" x14ac:dyDescent="0.2">
      <c r="A1342" s="9"/>
      <c r="B1342" s="9"/>
      <c r="C1342" s="3"/>
      <c r="D1342" s="3"/>
      <c r="E1342" s="3"/>
      <c r="F1342" s="3"/>
      <c r="G1342" s="3"/>
      <c r="H1342" s="3"/>
      <c r="I1342" s="3"/>
    </row>
    <row r="1343" spans="1:9" ht="15.75" customHeight="1" x14ac:dyDescent="0.2">
      <c r="A1343" s="9"/>
      <c r="B1343" s="9"/>
      <c r="C1343" s="3"/>
      <c r="D1343" s="3"/>
      <c r="E1343" s="3"/>
      <c r="F1343" s="3"/>
      <c r="G1343" s="3"/>
      <c r="H1343" s="3"/>
      <c r="I1343" s="3"/>
    </row>
    <row r="1344" spans="1:9" ht="15.75" customHeight="1" x14ac:dyDescent="0.2">
      <c r="A1344" s="9"/>
      <c r="B1344" s="9"/>
      <c r="C1344" s="3"/>
      <c r="D1344" s="3"/>
      <c r="E1344" s="3"/>
      <c r="F1344" s="3"/>
      <c r="G1344" s="3"/>
      <c r="H1344" s="3"/>
      <c r="I1344" s="3"/>
    </row>
    <row r="1345" spans="1:9" ht="15.75" customHeight="1" x14ac:dyDescent="0.2">
      <c r="A1345" s="9"/>
      <c r="B1345" s="9"/>
      <c r="C1345" s="3"/>
      <c r="D1345" s="3"/>
      <c r="E1345" s="3"/>
      <c r="F1345" s="3"/>
      <c r="G1345" s="3"/>
      <c r="H1345" s="3"/>
      <c r="I1345" s="3"/>
    </row>
    <row r="1346" spans="1:9" ht="15.75" customHeight="1" x14ac:dyDescent="0.2">
      <c r="A1346" s="9"/>
      <c r="B1346" s="9"/>
      <c r="C1346" s="3"/>
      <c r="D1346" s="3"/>
      <c r="E1346" s="3"/>
      <c r="F1346" s="3"/>
      <c r="G1346" s="3"/>
      <c r="H1346" s="3"/>
      <c r="I1346" s="3"/>
    </row>
    <row r="1347" spans="1:9" ht="15.75" customHeight="1" x14ac:dyDescent="0.2">
      <c r="A1347" s="9"/>
      <c r="B1347" s="9"/>
      <c r="C1347" s="3"/>
      <c r="D1347" s="3"/>
      <c r="E1347" s="3"/>
      <c r="F1347" s="3"/>
      <c r="G1347" s="3"/>
      <c r="H1347" s="3"/>
      <c r="I1347" s="3"/>
    </row>
    <row r="1348" spans="1:9" ht="15.75" customHeight="1" x14ac:dyDescent="0.2">
      <c r="A1348" s="9"/>
      <c r="B1348" s="9"/>
      <c r="C1348" s="3"/>
      <c r="D1348" s="3"/>
      <c r="E1348" s="3"/>
      <c r="F1348" s="3"/>
      <c r="G1348" s="3"/>
      <c r="H1348" s="3"/>
      <c r="I1348" s="3"/>
    </row>
    <row r="1349" spans="1:9" ht="15.75" customHeight="1" x14ac:dyDescent="0.2">
      <c r="A1349" s="9"/>
      <c r="B1349" s="9"/>
      <c r="C1349" s="3"/>
      <c r="D1349" s="3"/>
      <c r="E1349" s="3"/>
      <c r="F1349" s="3"/>
      <c r="G1349" s="3"/>
      <c r="H1349" s="3"/>
      <c r="I1349" s="3"/>
    </row>
    <row r="1350" spans="1:9" ht="15.75" customHeight="1" x14ac:dyDescent="0.2">
      <c r="A1350" s="9"/>
      <c r="B1350" s="9"/>
      <c r="C1350" s="3"/>
      <c r="D1350" s="3"/>
      <c r="E1350" s="3"/>
      <c r="F1350" s="3"/>
      <c r="G1350" s="3"/>
      <c r="H1350" s="3"/>
      <c r="I1350" s="3"/>
    </row>
    <row r="1351" spans="1:9" ht="15.75" customHeight="1" x14ac:dyDescent="0.2">
      <c r="A1351" s="9"/>
      <c r="B1351" s="9"/>
      <c r="C1351" s="3"/>
      <c r="D1351" s="3"/>
      <c r="E1351" s="3"/>
      <c r="F1351" s="3"/>
      <c r="G1351" s="3"/>
      <c r="H1351" s="3"/>
      <c r="I1351" s="3"/>
    </row>
    <row r="1352" spans="1:9" ht="15.75" customHeight="1" x14ac:dyDescent="0.2">
      <c r="A1352" s="9"/>
      <c r="B1352" s="9"/>
      <c r="C1352" s="3"/>
      <c r="D1352" s="3"/>
      <c r="E1352" s="3"/>
      <c r="F1352" s="3"/>
      <c r="G1352" s="3"/>
      <c r="H1352" s="3"/>
      <c r="I1352" s="3"/>
    </row>
    <row r="1353" spans="1:9" ht="15.75" customHeight="1" x14ac:dyDescent="0.2">
      <c r="A1353" s="9"/>
      <c r="B1353" s="9"/>
      <c r="C1353" s="3"/>
      <c r="D1353" s="3"/>
      <c r="E1353" s="3"/>
      <c r="F1353" s="3"/>
      <c r="G1353" s="3"/>
      <c r="H1353" s="3"/>
      <c r="I1353" s="3"/>
    </row>
    <row r="1354" spans="1:9" ht="15.75" customHeight="1" x14ac:dyDescent="0.2">
      <c r="A1354" s="9"/>
      <c r="B1354" s="9"/>
      <c r="C1354" s="3"/>
      <c r="D1354" s="3"/>
      <c r="E1354" s="3"/>
      <c r="F1354" s="3"/>
      <c r="G1354" s="3"/>
      <c r="H1354" s="3"/>
      <c r="I1354" s="3"/>
    </row>
    <row r="1355" spans="1:9" ht="15.75" customHeight="1" x14ac:dyDescent="0.2">
      <c r="A1355" s="9"/>
      <c r="B1355" s="9"/>
      <c r="C1355" s="3"/>
      <c r="D1355" s="3"/>
      <c r="E1355" s="3"/>
      <c r="F1355" s="3"/>
      <c r="G1355" s="3"/>
      <c r="H1355" s="3"/>
      <c r="I1355" s="3"/>
    </row>
    <row r="1356" spans="1:9" ht="15.75" customHeight="1" x14ac:dyDescent="0.2">
      <c r="A1356" s="9"/>
      <c r="B1356" s="9"/>
      <c r="C1356" s="3"/>
      <c r="D1356" s="3"/>
      <c r="E1356" s="3"/>
      <c r="F1356" s="3"/>
      <c r="G1356" s="3"/>
      <c r="H1356" s="3"/>
      <c r="I1356" s="3"/>
    </row>
    <row r="1357" spans="1:9" ht="15.75" customHeight="1" x14ac:dyDescent="0.2">
      <c r="A1357" s="9"/>
      <c r="B1357" s="9"/>
      <c r="C1357" s="3"/>
      <c r="D1357" s="3"/>
      <c r="E1357" s="3"/>
      <c r="F1357" s="3"/>
      <c r="G1357" s="3"/>
      <c r="H1357" s="3"/>
      <c r="I1357" s="3"/>
    </row>
    <row r="1358" spans="1:9" ht="15.75" customHeight="1" x14ac:dyDescent="0.2">
      <c r="A1358" s="9"/>
      <c r="B1358" s="9"/>
      <c r="C1358" s="3"/>
      <c r="D1358" s="3"/>
      <c r="E1358" s="3"/>
      <c r="F1358" s="3"/>
      <c r="G1358" s="3"/>
      <c r="H1358" s="3"/>
      <c r="I1358" s="3"/>
    </row>
    <row r="1359" spans="1:9" ht="15.75" customHeight="1" x14ac:dyDescent="0.2">
      <c r="A1359" s="9"/>
      <c r="B1359" s="9"/>
      <c r="C1359" s="3"/>
      <c r="D1359" s="3"/>
      <c r="E1359" s="3"/>
      <c r="F1359" s="3"/>
      <c r="G1359" s="3"/>
      <c r="H1359" s="3"/>
      <c r="I1359" s="3"/>
    </row>
    <row r="1360" spans="1:9" ht="15.75" customHeight="1" x14ac:dyDescent="0.2">
      <c r="A1360" s="9"/>
      <c r="B1360" s="9"/>
      <c r="C1360" s="3"/>
      <c r="D1360" s="3"/>
      <c r="E1360" s="3"/>
      <c r="F1360" s="3"/>
      <c r="G1360" s="3"/>
      <c r="H1360" s="3"/>
      <c r="I1360" s="3"/>
    </row>
    <row r="1361" spans="1:9" ht="15.75" customHeight="1" x14ac:dyDescent="0.2">
      <c r="A1361" s="9"/>
      <c r="B1361" s="9"/>
      <c r="C1361" s="3"/>
      <c r="D1361" s="3"/>
      <c r="E1361" s="3"/>
      <c r="F1361" s="3"/>
      <c r="G1361" s="3"/>
      <c r="H1361" s="3"/>
      <c r="I1361" s="3"/>
    </row>
    <row r="1362" spans="1:9" ht="15.75" customHeight="1" x14ac:dyDescent="0.2">
      <c r="A1362" s="9"/>
      <c r="B1362" s="9"/>
      <c r="C1362" s="3"/>
      <c r="D1362" s="3"/>
      <c r="E1362" s="3"/>
      <c r="F1362" s="3"/>
      <c r="G1362" s="3"/>
      <c r="H1362" s="3"/>
      <c r="I1362" s="3"/>
    </row>
    <row r="1363" spans="1:9" ht="15.75" customHeight="1" x14ac:dyDescent="0.2">
      <c r="A1363" s="9"/>
      <c r="B1363" s="9"/>
      <c r="C1363" s="3"/>
      <c r="D1363" s="3"/>
      <c r="E1363" s="3"/>
      <c r="F1363" s="3"/>
      <c r="G1363" s="3"/>
      <c r="H1363" s="3"/>
      <c r="I1363" s="3"/>
    </row>
    <row r="1364" spans="1:9" ht="15.75" customHeight="1" x14ac:dyDescent="0.2">
      <c r="A1364" s="9"/>
      <c r="B1364" s="9"/>
      <c r="C1364" s="3"/>
      <c r="D1364" s="3"/>
      <c r="E1364" s="3"/>
      <c r="F1364" s="3"/>
      <c r="G1364" s="3"/>
      <c r="H1364" s="3"/>
      <c r="I1364" s="3"/>
    </row>
    <row r="1365" spans="1:9" ht="15.75" customHeight="1" x14ac:dyDescent="0.2">
      <c r="A1365" s="9"/>
      <c r="B1365" s="9"/>
      <c r="C1365" s="3"/>
      <c r="D1365" s="3"/>
      <c r="E1365" s="3"/>
      <c r="F1365" s="3"/>
      <c r="G1365" s="3"/>
      <c r="H1365" s="3"/>
      <c r="I1365" s="3"/>
    </row>
    <row r="1366" spans="1:9" ht="15.75" customHeight="1" x14ac:dyDescent="0.2">
      <c r="A1366" s="9"/>
      <c r="B1366" s="9"/>
      <c r="C1366" s="3"/>
      <c r="D1366" s="3"/>
      <c r="E1366" s="3"/>
      <c r="F1366" s="3"/>
      <c r="G1366" s="3"/>
      <c r="H1366" s="3"/>
      <c r="I1366" s="3"/>
    </row>
    <row r="1367" spans="1:9" ht="15.75" customHeight="1" x14ac:dyDescent="0.2">
      <c r="A1367" s="9"/>
      <c r="B1367" s="9"/>
      <c r="C1367" s="3"/>
      <c r="D1367" s="3"/>
      <c r="E1367" s="3"/>
      <c r="F1367" s="3"/>
      <c r="G1367" s="3"/>
      <c r="H1367" s="3"/>
      <c r="I1367" s="3"/>
    </row>
    <row r="1368" spans="1:9" ht="15.75" customHeight="1" x14ac:dyDescent="0.2">
      <c r="A1368" s="9"/>
      <c r="B1368" s="9"/>
      <c r="C1368" s="3"/>
      <c r="D1368" s="3"/>
      <c r="E1368" s="3"/>
      <c r="F1368" s="3"/>
      <c r="G1368" s="3"/>
      <c r="H1368" s="3"/>
      <c r="I1368" s="3"/>
    </row>
    <row r="1369" spans="1:9" ht="15.75" customHeight="1" x14ac:dyDescent="0.2">
      <c r="A1369" s="9"/>
      <c r="B1369" s="9"/>
      <c r="C1369" s="3"/>
      <c r="D1369" s="3"/>
      <c r="E1369" s="3"/>
      <c r="F1369" s="3"/>
      <c r="G1369" s="3"/>
      <c r="H1369" s="3"/>
      <c r="I1369" s="3"/>
    </row>
    <row r="1370" spans="1:9" ht="15.75" customHeight="1" x14ac:dyDescent="0.2">
      <c r="A1370" s="9"/>
      <c r="B1370" s="9"/>
      <c r="C1370" s="3"/>
      <c r="D1370" s="3"/>
      <c r="E1370" s="3"/>
      <c r="F1370" s="3"/>
      <c r="G1370" s="3"/>
      <c r="H1370" s="3"/>
      <c r="I1370" s="3"/>
    </row>
    <row r="1371" spans="1:9" ht="15.75" customHeight="1" x14ac:dyDescent="0.2">
      <c r="A1371" s="9"/>
      <c r="B1371" s="9"/>
      <c r="C1371" s="3"/>
      <c r="D1371" s="3"/>
      <c r="E1371" s="3"/>
      <c r="F1371" s="3"/>
      <c r="G1371" s="3"/>
      <c r="H1371" s="3"/>
      <c r="I1371" s="3"/>
    </row>
    <row r="1372" spans="1:9" ht="15.75" customHeight="1" x14ac:dyDescent="0.2">
      <c r="A1372" s="9"/>
      <c r="B1372" s="9"/>
      <c r="C1372" s="3"/>
      <c r="D1372" s="3"/>
      <c r="E1372" s="3"/>
      <c r="F1372" s="3"/>
      <c r="G1372" s="3"/>
      <c r="H1372" s="3"/>
      <c r="I1372" s="3"/>
    </row>
    <row r="1373" spans="1:9" ht="15.75" customHeight="1" x14ac:dyDescent="0.2">
      <c r="A1373" s="9"/>
      <c r="B1373" s="9"/>
      <c r="C1373" s="3"/>
      <c r="D1373" s="3"/>
      <c r="E1373" s="3"/>
      <c r="F1373" s="3"/>
      <c r="G1373" s="3"/>
      <c r="H1373" s="3"/>
      <c r="I1373" s="3"/>
    </row>
    <row r="1374" spans="1:9" ht="15.75" customHeight="1" x14ac:dyDescent="0.2">
      <c r="A1374" s="9"/>
      <c r="B1374" s="9"/>
      <c r="C1374" s="3"/>
      <c r="D1374" s="3"/>
      <c r="E1374" s="3"/>
      <c r="F1374" s="3"/>
      <c r="G1374" s="3"/>
      <c r="H1374" s="3"/>
      <c r="I1374" s="3"/>
    </row>
    <row r="1375" spans="1:9" ht="15.75" customHeight="1" x14ac:dyDescent="0.2">
      <c r="A1375" s="9"/>
      <c r="B1375" s="9"/>
      <c r="C1375" s="3"/>
      <c r="D1375" s="3"/>
      <c r="E1375" s="3"/>
      <c r="F1375" s="3"/>
      <c r="G1375" s="3"/>
      <c r="H1375" s="3"/>
      <c r="I1375" s="3"/>
    </row>
    <row r="1376" spans="1:9" ht="15.75" customHeight="1" x14ac:dyDescent="0.2">
      <c r="A1376" s="9"/>
      <c r="B1376" s="9"/>
      <c r="C1376" s="3"/>
      <c r="D1376" s="3"/>
      <c r="E1376" s="3"/>
      <c r="F1376" s="3"/>
      <c r="G1376" s="3"/>
      <c r="H1376" s="3"/>
      <c r="I1376" s="3"/>
    </row>
    <row r="1377" spans="1:9" ht="15.75" customHeight="1" x14ac:dyDescent="0.2">
      <c r="A1377" s="9"/>
      <c r="B1377" s="9"/>
      <c r="C1377" s="3"/>
      <c r="D1377" s="3"/>
      <c r="E1377" s="3"/>
      <c r="F1377" s="3"/>
      <c r="G1377" s="3"/>
      <c r="H1377" s="3"/>
      <c r="I1377" s="3"/>
    </row>
    <row r="1378" spans="1:9" ht="15.75" customHeight="1" x14ac:dyDescent="0.2">
      <c r="A1378" s="9"/>
      <c r="B1378" s="9"/>
      <c r="C1378" s="3"/>
      <c r="D1378" s="3"/>
      <c r="E1378" s="3"/>
      <c r="F1378" s="3"/>
      <c r="G1378" s="3"/>
      <c r="H1378" s="3"/>
      <c r="I1378" s="3"/>
    </row>
    <row r="1379" spans="1:9" ht="15.75" customHeight="1" x14ac:dyDescent="0.2">
      <c r="A1379" s="9"/>
      <c r="B1379" s="9"/>
      <c r="C1379" s="3"/>
      <c r="D1379" s="3"/>
      <c r="E1379" s="3"/>
      <c r="F1379" s="3"/>
      <c r="G1379" s="3"/>
      <c r="H1379" s="3"/>
      <c r="I1379" s="3"/>
    </row>
    <row r="1380" spans="1:9" ht="15.75" customHeight="1" x14ac:dyDescent="0.2">
      <c r="A1380" s="9"/>
      <c r="B1380" s="9"/>
      <c r="C1380" s="3"/>
      <c r="D1380" s="3"/>
      <c r="E1380" s="3"/>
      <c r="F1380" s="3"/>
      <c r="G1380" s="3"/>
      <c r="H1380" s="3"/>
      <c r="I1380" s="3"/>
    </row>
    <row r="1381" spans="1:9" ht="15.75" customHeight="1" x14ac:dyDescent="0.2">
      <c r="A1381" s="9"/>
      <c r="B1381" s="9"/>
      <c r="C1381" s="3"/>
      <c r="D1381" s="3"/>
      <c r="E1381" s="3"/>
      <c r="F1381" s="3"/>
      <c r="G1381" s="3"/>
      <c r="H1381" s="3"/>
      <c r="I1381" s="3"/>
    </row>
    <row r="1382" spans="1:9" ht="15.75" customHeight="1" x14ac:dyDescent="0.2">
      <c r="A1382" s="9"/>
      <c r="B1382" s="9"/>
      <c r="C1382" s="3"/>
      <c r="D1382" s="3"/>
      <c r="E1382" s="3"/>
      <c r="F1382" s="3"/>
      <c r="G1382" s="3"/>
      <c r="H1382" s="3"/>
      <c r="I1382" s="3"/>
    </row>
    <row r="1383" spans="1:9" ht="15.75" customHeight="1" x14ac:dyDescent="0.2">
      <c r="A1383" s="9"/>
      <c r="B1383" s="9"/>
      <c r="C1383" s="3"/>
      <c r="D1383" s="3"/>
      <c r="E1383" s="3"/>
      <c r="F1383" s="3"/>
      <c r="G1383" s="3"/>
      <c r="H1383" s="3"/>
      <c r="I1383" s="3"/>
    </row>
    <row r="1384" spans="1:9" ht="15.75" customHeight="1" x14ac:dyDescent="0.2">
      <c r="A1384" s="9"/>
      <c r="B1384" s="9"/>
      <c r="C1384" s="3"/>
      <c r="D1384" s="3"/>
      <c r="E1384" s="3"/>
      <c r="F1384" s="3"/>
      <c r="G1384" s="3"/>
      <c r="H1384" s="3"/>
      <c r="I1384" s="3"/>
    </row>
    <row r="1385" spans="1:9" ht="15.75" customHeight="1" x14ac:dyDescent="0.2">
      <c r="A1385" s="9"/>
      <c r="B1385" s="9"/>
      <c r="C1385" s="3"/>
      <c r="D1385" s="3"/>
      <c r="E1385" s="3"/>
      <c r="F1385" s="3"/>
      <c r="G1385" s="3"/>
      <c r="H1385" s="3"/>
      <c r="I1385" s="3"/>
    </row>
    <row r="1386" spans="1:9" ht="15.75" customHeight="1" x14ac:dyDescent="0.2">
      <c r="A1386" s="9"/>
      <c r="B1386" s="9"/>
      <c r="C1386" s="3"/>
      <c r="D1386" s="3"/>
      <c r="E1386" s="3"/>
      <c r="F1386" s="3"/>
      <c r="G1386" s="3"/>
      <c r="H1386" s="3"/>
      <c r="I1386" s="3"/>
    </row>
    <row r="1387" spans="1:9" ht="15.75" customHeight="1" x14ac:dyDescent="0.2">
      <c r="A1387" s="9"/>
      <c r="B1387" s="9"/>
      <c r="C1387" s="3"/>
      <c r="D1387" s="3"/>
      <c r="E1387" s="3"/>
      <c r="F1387" s="3"/>
      <c r="G1387" s="3"/>
      <c r="H1387" s="3"/>
      <c r="I1387" s="3"/>
    </row>
    <row r="1388" spans="1:9" ht="15.75" customHeight="1" x14ac:dyDescent="0.2">
      <c r="A1388" s="9"/>
      <c r="B1388" s="9"/>
      <c r="C1388" s="3"/>
      <c r="D1388" s="3"/>
      <c r="E1388" s="3"/>
      <c r="F1388" s="3"/>
      <c r="G1388" s="3"/>
      <c r="H1388" s="3"/>
      <c r="I1388" s="3"/>
    </row>
    <row r="1389" spans="1:9" ht="15.75" customHeight="1" x14ac:dyDescent="0.2">
      <c r="A1389" s="9"/>
      <c r="B1389" s="9"/>
      <c r="C1389" s="3"/>
      <c r="D1389" s="3"/>
      <c r="E1389" s="3"/>
      <c r="F1389" s="3"/>
      <c r="G1389" s="3"/>
      <c r="H1389" s="3"/>
      <c r="I1389" s="3"/>
    </row>
    <row r="1390" spans="1:9" ht="15.75" customHeight="1" x14ac:dyDescent="0.2">
      <c r="A1390" s="9"/>
      <c r="B1390" s="9"/>
      <c r="C1390" s="3"/>
      <c r="D1390" s="3"/>
      <c r="E1390" s="3"/>
      <c r="F1390" s="3"/>
      <c r="G1390" s="3"/>
      <c r="H1390" s="3"/>
      <c r="I1390" s="3"/>
    </row>
    <row r="1391" spans="1:9" ht="15.75" customHeight="1" x14ac:dyDescent="0.2">
      <c r="A1391" s="9"/>
      <c r="B1391" s="9"/>
      <c r="C1391" s="3"/>
      <c r="D1391" s="3"/>
      <c r="E1391" s="3"/>
      <c r="F1391" s="3"/>
      <c r="G1391" s="3"/>
      <c r="H1391" s="3"/>
      <c r="I1391" s="3"/>
    </row>
    <row r="1392" spans="1:9" ht="15.75" customHeight="1" x14ac:dyDescent="0.2">
      <c r="A1392" s="9"/>
      <c r="B1392" s="9"/>
      <c r="C1392" s="3"/>
      <c r="D1392" s="3"/>
      <c r="E1392" s="3"/>
      <c r="F1392" s="3"/>
      <c r="G1392" s="3"/>
      <c r="H1392" s="3"/>
      <c r="I1392" s="3"/>
    </row>
    <row r="1393" spans="1:9" ht="15.75" customHeight="1" x14ac:dyDescent="0.2">
      <c r="A1393" s="9"/>
      <c r="B1393" s="9"/>
      <c r="C1393" s="3"/>
      <c r="D1393" s="3"/>
      <c r="E1393" s="3"/>
      <c r="F1393" s="3"/>
      <c r="G1393" s="3"/>
      <c r="H1393" s="3"/>
      <c r="I1393" s="3"/>
    </row>
    <row r="1394" spans="1:9" ht="15.75" customHeight="1" x14ac:dyDescent="0.2">
      <c r="A1394" s="9"/>
      <c r="B1394" s="9"/>
      <c r="C1394" s="3"/>
      <c r="D1394" s="3"/>
      <c r="E1394" s="3"/>
      <c r="F1394" s="3"/>
      <c r="G1394" s="3"/>
      <c r="H1394" s="3"/>
      <c r="I1394" s="3"/>
    </row>
    <row r="1395" spans="1:9" ht="15.75" customHeight="1" x14ac:dyDescent="0.2">
      <c r="A1395" s="9"/>
      <c r="B1395" s="9"/>
      <c r="C1395" s="3"/>
      <c r="D1395" s="3"/>
      <c r="E1395" s="3"/>
      <c r="F1395" s="3"/>
      <c r="G1395" s="3"/>
      <c r="H1395" s="3"/>
      <c r="I1395" s="3"/>
    </row>
    <row r="1396" spans="1:9" ht="15.75" customHeight="1" x14ac:dyDescent="0.2">
      <c r="A1396" s="9"/>
      <c r="B1396" s="9"/>
      <c r="C1396" s="3"/>
      <c r="D1396" s="3"/>
      <c r="E1396" s="3"/>
      <c r="F1396" s="3"/>
      <c r="G1396" s="3"/>
      <c r="H1396" s="3"/>
      <c r="I1396" s="3"/>
    </row>
    <row r="1397" spans="1:9" ht="15.75" customHeight="1" x14ac:dyDescent="0.2">
      <c r="A1397" s="9"/>
      <c r="B1397" s="9"/>
      <c r="C1397" s="3"/>
      <c r="D1397" s="3"/>
      <c r="E1397" s="3"/>
      <c r="F1397" s="3"/>
      <c r="G1397" s="3"/>
      <c r="H1397" s="3"/>
      <c r="I1397" s="3"/>
    </row>
    <row r="1398" spans="1:9" ht="15.75" customHeight="1" x14ac:dyDescent="0.2">
      <c r="A1398" s="9"/>
      <c r="B1398" s="9"/>
      <c r="C1398" s="3"/>
      <c r="D1398" s="3"/>
      <c r="E1398" s="3"/>
      <c r="F1398" s="3"/>
      <c r="G1398" s="3"/>
      <c r="H1398" s="3"/>
      <c r="I1398" s="3"/>
    </row>
    <row r="1399" spans="1:9" ht="15.75" customHeight="1" x14ac:dyDescent="0.2">
      <c r="A1399" s="9"/>
      <c r="B1399" s="9"/>
      <c r="C1399" s="3"/>
      <c r="D1399" s="3"/>
      <c r="E1399" s="3"/>
      <c r="F1399" s="3"/>
      <c r="G1399" s="3"/>
      <c r="H1399" s="3"/>
      <c r="I1399" s="3"/>
    </row>
    <row r="1400" spans="1:9" ht="15.75" customHeight="1" x14ac:dyDescent="0.2">
      <c r="A1400" s="9"/>
      <c r="B1400" s="9"/>
      <c r="C1400" s="3"/>
      <c r="D1400" s="3"/>
      <c r="E1400" s="3"/>
      <c r="F1400" s="3"/>
      <c r="G1400" s="3"/>
      <c r="H1400" s="3"/>
      <c r="I1400" s="3"/>
    </row>
    <row r="1401" spans="1:9" ht="15.75" customHeight="1" x14ac:dyDescent="0.2">
      <c r="A1401" s="9"/>
      <c r="B1401" s="9"/>
      <c r="C1401" s="3"/>
      <c r="D1401" s="3"/>
      <c r="E1401" s="3"/>
      <c r="F1401" s="3"/>
      <c r="G1401" s="3"/>
      <c r="H1401" s="3"/>
      <c r="I1401" s="3"/>
    </row>
    <row r="1402" spans="1:9" ht="15.75" customHeight="1" x14ac:dyDescent="0.2">
      <c r="A1402" s="9"/>
      <c r="B1402" s="9"/>
      <c r="C1402" s="3"/>
      <c r="D1402" s="3"/>
      <c r="E1402" s="3"/>
      <c r="F1402" s="3"/>
      <c r="G1402" s="3"/>
      <c r="H1402" s="3"/>
      <c r="I1402" s="3"/>
    </row>
    <row r="1403" spans="1:9" ht="15.75" customHeight="1" x14ac:dyDescent="0.2">
      <c r="A1403" s="9"/>
      <c r="B1403" s="9"/>
      <c r="C1403" s="3"/>
      <c r="D1403" s="3"/>
      <c r="E1403" s="3"/>
      <c r="F1403" s="3"/>
      <c r="G1403" s="3"/>
      <c r="H1403" s="3"/>
      <c r="I1403" s="3"/>
    </row>
    <row r="1404" spans="1:9" ht="15.75" customHeight="1" x14ac:dyDescent="0.2">
      <c r="A1404" s="9"/>
      <c r="B1404" s="9"/>
      <c r="C1404" s="3"/>
      <c r="D1404" s="3"/>
      <c r="E1404" s="3"/>
      <c r="F1404" s="3"/>
      <c r="G1404" s="3"/>
      <c r="H1404" s="3"/>
      <c r="I1404" s="3"/>
    </row>
    <row r="1405" spans="1:9" ht="15.75" customHeight="1" x14ac:dyDescent="0.2">
      <c r="A1405" s="9"/>
      <c r="B1405" s="9"/>
      <c r="C1405" s="3"/>
      <c r="D1405" s="3"/>
      <c r="E1405" s="3"/>
      <c r="F1405" s="3"/>
      <c r="G1405" s="3"/>
      <c r="H1405" s="3"/>
      <c r="I1405" s="3"/>
    </row>
    <row r="1406" spans="1:9" ht="15.75" customHeight="1" x14ac:dyDescent="0.2">
      <c r="A1406" s="9"/>
      <c r="B1406" s="9"/>
      <c r="C1406" s="3"/>
      <c r="D1406" s="3"/>
      <c r="E1406" s="3"/>
      <c r="F1406" s="3"/>
      <c r="G1406" s="3"/>
      <c r="H1406" s="3"/>
      <c r="I1406" s="3"/>
    </row>
    <row r="1407" spans="1:9" ht="15.75" customHeight="1" x14ac:dyDescent="0.2">
      <c r="A1407" s="9"/>
      <c r="B1407" s="9"/>
      <c r="C1407" s="3"/>
      <c r="D1407" s="3"/>
      <c r="E1407" s="3"/>
      <c r="F1407" s="3"/>
      <c r="G1407" s="3"/>
      <c r="H1407" s="3"/>
      <c r="I1407" s="3"/>
    </row>
    <row r="1408" spans="1:9" ht="15.75" customHeight="1" x14ac:dyDescent="0.2">
      <c r="A1408" s="9"/>
      <c r="B1408" s="9"/>
      <c r="C1408" s="3"/>
      <c r="D1408" s="3"/>
      <c r="E1408" s="3"/>
      <c r="F1408" s="3"/>
      <c r="G1408" s="3"/>
      <c r="H1408" s="3"/>
      <c r="I1408" s="3"/>
    </row>
    <row r="1409" spans="1:9" ht="15.75" customHeight="1" x14ac:dyDescent="0.2">
      <c r="A1409" s="9"/>
      <c r="B1409" s="9"/>
      <c r="C1409" s="3"/>
      <c r="D1409" s="3"/>
      <c r="E1409" s="3"/>
      <c r="F1409" s="3"/>
      <c r="G1409" s="3"/>
      <c r="H1409" s="3"/>
      <c r="I1409" s="3"/>
    </row>
    <row r="1410" spans="1:9" ht="15.75" customHeight="1" x14ac:dyDescent="0.2">
      <c r="A1410" s="9"/>
      <c r="B1410" s="9"/>
      <c r="C1410" s="3"/>
      <c r="D1410" s="3"/>
      <c r="E1410" s="3"/>
      <c r="F1410" s="3"/>
      <c r="G1410" s="3"/>
      <c r="H1410" s="3"/>
      <c r="I1410" s="3"/>
    </row>
    <row r="1411" spans="1:9" ht="15.75" customHeight="1" x14ac:dyDescent="0.2">
      <c r="A1411" s="9"/>
      <c r="B1411" s="9"/>
      <c r="C1411" s="3"/>
      <c r="D1411" s="3"/>
      <c r="E1411" s="3"/>
      <c r="F1411" s="3"/>
      <c r="G1411" s="3"/>
      <c r="H1411" s="3"/>
      <c r="I1411" s="3"/>
    </row>
    <row r="1412" spans="1:9" ht="15.75" customHeight="1" x14ac:dyDescent="0.2">
      <c r="A1412" s="9"/>
      <c r="B1412" s="9"/>
      <c r="C1412" s="3"/>
      <c r="D1412" s="3"/>
      <c r="E1412" s="3"/>
      <c r="F1412" s="3"/>
      <c r="G1412" s="3"/>
      <c r="H1412" s="3"/>
      <c r="I1412" s="3"/>
    </row>
    <row r="1413" spans="1:9" ht="15.75" customHeight="1" x14ac:dyDescent="0.2">
      <c r="A1413" s="9"/>
      <c r="B1413" s="9"/>
      <c r="C1413" s="3"/>
      <c r="D1413" s="3"/>
      <c r="E1413" s="3"/>
      <c r="F1413" s="3"/>
      <c r="G1413" s="3"/>
      <c r="H1413" s="3"/>
      <c r="I1413" s="3"/>
    </row>
    <row r="1414" spans="1:9" ht="15.75" customHeight="1" x14ac:dyDescent="0.2">
      <c r="A1414" s="9"/>
      <c r="B1414" s="9"/>
      <c r="C1414" s="3"/>
      <c r="D1414" s="3"/>
      <c r="E1414" s="3"/>
      <c r="F1414" s="3"/>
      <c r="G1414" s="3"/>
      <c r="H1414" s="3"/>
      <c r="I1414" s="3"/>
    </row>
    <row r="1415" spans="1:9" ht="15.75" customHeight="1" x14ac:dyDescent="0.2">
      <c r="A1415" s="9"/>
      <c r="B1415" s="9"/>
      <c r="C1415" s="3"/>
      <c r="D1415" s="3"/>
      <c r="E1415" s="3"/>
      <c r="F1415" s="3"/>
      <c r="G1415" s="3"/>
      <c r="H1415" s="3"/>
      <c r="I1415" s="3"/>
    </row>
    <row r="1416" spans="1:9" ht="15.75" customHeight="1" x14ac:dyDescent="0.2">
      <c r="A1416" s="9"/>
      <c r="B1416" s="9"/>
      <c r="C1416" s="3"/>
      <c r="D1416" s="3"/>
      <c r="E1416" s="3"/>
      <c r="F1416" s="3"/>
      <c r="G1416" s="3"/>
      <c r="H1416" s="3"/>
      <c r="I1416" s="3"/>
    </row>
    <row r="1417" spans="1:9" ht="15.75" customHeight="1" x14ac:dyDescent="0.2">
      <c r="A1417" s="9"/>
      <c r="B1417" s="9"/>
      <c r="C1417" s="3"/>
      <c r="D1417" s="3"/>
      <c r="E1417" s="3"/>
      <c r="F1417" s="3"/>
      <c r="G1417" s="3"/>
      <c r="H1417" s="3"/>
      <c r="I1417" s="3"/>
    </row>
    <row r="1418" spans="1:9" ht="15.75" customHeight="1" x14ac:dyDescent="0.2">
      <c r="A1418" s="9"/>
      <c r="B1418" s="9"/>
      <c r="C1418" s="3"/>
      <c r="D1418" s="3"/>
      <c r="E1418" s="3"/>
      <c r="F1418" s="3"/>
      <c r="G1418" s="3"/>
      <c r="H1418" s="3"/>
      <c r="I1418" s="3"/>
    </row>
    <row r="1419" spans="1:9" ht="15.75" customHeight="1" x14ac:dyDescent="0.2">
      <c r="A1419" s="9"/>
      <c r="B1419" s="9"/>
      <c r="C1419" s="3"/>
      <c r="D1419" s="3"/>
      <c r="E1419" s="3"/>
      <c r="F1419" s="3"/>
      <c r="G1419" s="3"/>
      <c r="H1419" s="3"/>
      <c r="I1419" s="3"/>
    </row>
    <row r="1420" spans="1:9" ht="15.75" customHeight="1" x14ac:dyDescent="0.2">
      <c r="A1420" s="9"/>
      <c r="B1420" s="9"/>
      <c r="C1420" s="3"/>
      <c r="D1420" s="3"/>
      <c r="E1420" s="3"/>
      <c r="F1420" s="3"/>
      <c r="G1420" s="3"/>
      <c r="H1420" s="3"/>
      <c r="I1420" s="3"/>
    </row>
    <row r="1421" spans="1:9" ht="15.75" customHeight="1" x14ac:dyDescent="0.2">
      <c r="A1421" s="9"/>
      <c r="B1421" s="9"/>
      <c r="C1421" s="3"/>
      <c r="D1421" s="3"/>
      <c r="E1421" s="3"/>
      <c r="F1421" s="3"/>
      <c r="G1421" s="3"/>
      <c r="H1421" s="3"/>
      <c r="I1421" s="3"/>
    </row>
    <row r="1422" spans="1:9" ht="15.75" customHeight="1" x14ac:dyDescent="0.2">
      <c r="A1422" s="9"/>
      <c r="B1422" s="9"/>
      <c r="C1422" s="3"/>
      <c r="D1422" s="3"/>
      <c r="E1422" s="3"/>
      <c r="F1422" s="3"/>
      <c r="G1422" s="3"/>
      <c r="H1422" s="3"/>
      <c r="I1422" s="3"/>
    </row>
    <row r="1423" spans="1:9" ht="15.75" customHeight="1" x14ac:dyDescent="0.2">
      <c r="A1423" s="9"/>
      <c r="B1423" s="9"/>
      <c r="C1423" s="3"/>
      <c r="D1423" s="3"/>
      <c r="E1423" s="3"/>
      <c r="F1423" s="3"/>
      <c r="G1423" s="3"/>
      <c r="H1423" s="3"/>
      <c r="I1423" s="3"/>
    </row>
    <row r="1424" spans="1:9" ht="15.75" customHeight="1" x14ac:dyDescent="0.2">
      <c r="A1424" s="9"/>
      <c r="B1424" s="9"/>
      <c r="C1424" s="3"/>
      <c r="D1424" s="3"/>
      <c r="E1424" s="3"/>
      <c r="F1424" s="3"/>
      <c r="G1424" s="3"/>
      <c r="H1424" s="3"/>
      <c r="I1424" s="3"/>
    </row>
    <row r="1425" spans="1:9" ht="15.75" customHeight="1" x14ac:dyDescent="0.2">
      <c r="A1425" s="9"/>
      <c r="B1425" s="9"/>
      <c r="C1425" s="3"/>
      <c r="D1425" s="3"/>
      <c r="E1425" s="3"/>
      <c r="F1425" s="3"/>
      <c r="G1425" s="3"/>
      <c r="H1425" s="3"/>
      <c r="I1425" s="3"/>
    </row>
    <row r="1426" spans="1:9" ht="15.75" customHeight="1" x14ac:dyDescent="0.2">
      <c r="A1426" s="9"/>
      <c r="B1426" s="9"/>
      <c r="C1426" s="3"/>
      <c r="D1426" s="3"/>
      <c r="E1426" s="3"/>
      <c r="F1426" s="3"/>
      <c r="G1426" s="3"/>
      <c r="H1426" s="3"/>
      <c r="I1426" s="3"/>
    </row>
    <row r="1427" spans="1:9" ht="15.75" customHeight="1" x14ac:dyDescent="0.2">
      <c r="A1427" s="9"/>
      <c r="B1427" s="9"/>
      <c r="C1427" s="3"/>
      <c r="D1427" s="3"/>
      <c r="E1427" s="3"/>
      <c r="F1427" s="3"/>
      <c r="G1427" s="3"/>
      <c r="H1427" s="3"/>
      <c r="I1427" s="3"/>
    </row>
    <row r="1428" spans="1:9" ht="15.75" customHeight="1" x14ac:dyDescent="0.2">
      <c r="A1428" s="9"/>
      <c r="B1428" s="9"/>
      <c r="C1428" s="3"/>
      <c r="D1428" s="3"/>
      <c r="E1428" s="3"/>
      <c r="F1428" s="3"/>
      <c r="G1428" s="3"/>
      <c r="H1428" s="3"/>
      <c r="I1428" s="3"/>
    </row>
    <row r="1429" spans="1:9" ht="15.75" customHeight="1" x14ac:dyDescent="0.2">
      <c r="A1429" s="9"/>
      <c r="B1429" s="9"/>
      <c r="C1429" s="3"/>
      <c r="D1429" s="3"/>
      <c r="E1429" s="3"/>
      <c r="F1429" s="3"/>
      <c r="G1429" s="3"/>
      <c r="H1429" s="3"/>
      <c r="I1429" s="3"/>
    </row>
    <row r="1430" spans="1:9" ht="15.75" customHeight="1" x14ac:dyDescent="0.2">
      <c r="A1430" s="9"/>
      <c r="B1430" s="9"/>
      <c r="C1430" s="3"/>
      <c r="D1430" s="3"/>
      <c r="E1430" s="3"/>
      <c r="F1430" s="3"/>
      <c r="G1430" s="3"/>
      <c r="H1430" s="3"/>
      <c r="I1430" s="3"/>
    </row>
    <row r="1431" spans="1:9" ht="15.75" customHeight="1" x14ac:dyDescent="0.2">
      <c r="A1431" s="9"/>
      <c r="B1431" s="9"/>
      <c r="C1431" s="3"/>
      <c r="D1431" s="3"/>
      <c r="E1431" s="3"/>
      <c r="F1431" s="3"/>
      <c r="G1431" s="3"/>
      <c r="H1431" s="3"/>
      <c r="I1431" s="3"/>
    </row>
    <row r="1432" spans="1:9" ht="15.75" customHeight="1" x14ac:dyDescent="0.2">
      <c r="A1432" s="9"/>
      <c r="B1432" s="9"/>
      <c r="C1432" s="3"/>
      <c r="D1432" s="3"/>
      <c r="E1432" s="3"/>
      <c r="F1432" s="3"/>
      <c r="G1432" s="3"/>
      <c r="H1432" s="3"/>
      <c r="I1432" s="3"/>
    </row>
    <row r="1433" spans="1:9" ht="15.75" customHeight="1" x14ac:dyDescent="0.2">
      <c r="A1433" s="9"/>
      <c r="B1433" s="9"/>
      <c r="C1433" s="3"/>
      <c r="D1433" s="3"/>
      <c r="E1433" s="3"/>
      <c r="F1433" s="3"/>
      <c r="G1433" s="3"/>
      <c r="H1433" s="3"/>
      <c r="I1433" s="3"/>
    </row>
    <row r="1434" spans="1:9" ht="15.75" customHeight="1" x14ac:dyDescent="0.2">
      <c r="A1434" s="9"/>
      <c r="B1434" s="9"/>
      <c r="C1434" s="3"/>
      <c r="D1434" s="3"/>
      <c r="E1434" s="3"/>
      <c r="F1434" s="3"/>
      <c r="G1434" s="3"/>
      <c r="H1434" s="3"/>
      <c r="I1434" s="3"/>
    </row>
    <row r="1435" spans="1:9" ht="15.75" customHeight="1" x14ac:dyDescent="0.2">
      <c r="A1435" s="9"/>
      <c r="B1435" s="9"/>
      <c r="C1435" s="3"/>
      <c r="D1435" s="3"/>
      <c r="E1435" s="3"/>
      <c r="F1435" s="3"/>
      <c r="G1435" s="3"/>
      <c r="H1435" s="3"/>
      <c r="I1435" s="3"/>
    </row>
    <row r="1436" spans="1:9" ht="15.75" customHeight="1" x14ac:dyDescent="0.2">
      <c r="A1436" s="9"/>
      <c r="B1436" s="9"/>
      <c r="C1436" s="3"/>
      <c r="D1436" s="3"/>
      <c r="E1436" s="3"/>
      <c r="F1436" s="3"/>
      <c r="G1436" s="3"/>
      <c r="H1436" s="3"/>
      <c r="I1436" s="3"/>
    </row>
    <row r="1437" spans="1:9" ht="15.75" customHeight="1" x14ac:dyDescent="0.2">
      <c r="A1437" s="9"/>
      <c r="B1437" s="9"/>
      <c r="C1437" s="3"/>
      <c r="D1437" s="3"/>
      <c r="E1437" s="3"/>
      <c r="F1437" s="3"/>
      <c r="G1437" s="3"/>
      <c r="H1437" s="3"/>
      <c r="I1437" s="3"/>
    </row>
    <row r="1438" spans="1:9" ht="15.75" customHeight="1" x14ac:dyDescent="0.2">
      <c r="A1438" s="9"/>
      <c r="B1438" s="9"/>
      <c r="C1438" s="3"/>
      <c r="D1438" s="3"/>
      <c r="E1438" s="3"/>
      <c r="F1438" s="3"/>
      <c r="G1438" s="3"/>
      <c r="H1438" s="3"/>
      <c r="I1438" s="3"/>
    </row>
    <row r="1439" spans="1:9" ht="15.75" customHeight="1" x14ac:dyDescent="0.2">
      <c r="A1439" s="9"/>
      <c r="B1439" s="9"/>
      <c r="C1439" s="3"/>
      <c r="D1439" s="3"/>
      <c r="E1439" s="3"/>
      <c r="F1439" s="3"/>
      <c r="G1439" s="3"/>
      <c r="H1439" s="3"/>
      <c r="I1439" s="3"/>
    </row>
    <row r="1440" spans="1:9" ht="15.75" customHeight="1" x14ac:dyDescent="0.2">
      <c r="A1440" s="9"/>
      <c r="B1440" s="9"/>
      <c r="C1440" s="3"/>
      <c r="D1440" s="3"/>
      <c r="E1440" s="3"/>
      <c r="F1440" s="3"/>
      <c r="G1440" s="3"/>
      <c r="H1440" s="3"/>
      <c r="I1440" s="3"/>
    </row>
    <row r="1441" spans="1:9" ht="15.75" customHeight="1" x14ac:dyDescent="0.2">
      <c r="A1441" s="9"/>
      <c r="B1441" s="9"/>
      <c r="C1441" s="3"/>
      <c r="D1441" s="3"/>
      <c r="E1441" s="3"/>
      <c r="F1441" s="3"/>
      <c r="G1441" s="3"/>
      <c r="H1441" s="3"/>
      <c r="I1441" s="3"/>
    </row>
    <row r="1442" spans="1:9" ht="15.75" customHeight="1" x14ac:dyDescent="0.2">
      <c r="A1442" s="9"/>
      <c r="B1442" s="9"/>
      <c r="C1442" s="3"/>
      <c r="D1442" s="3"/>
      <c r="E1442" s="3"/>
      <c r="F1442" s="3"/>
      <c r="G1442" s="3"/>
      <c r="H1442" s="3"/>
      <c r="I1442" s="3"/>
    </row>
    <row r="1443" spans="1:9" ht="15.75" customHeight="1" x14ac:dyDescent="0.2">
      <c r="A1443" s="9"/>
      <c r="B1443" s="9"/>
      <c r="C1443" s="3"/>
      <c r="D1443" s="3"/>
      <c r="E1443" s="3"/>
      <c r="F1443" s="3"/>
      <c r="G1443" s="3"/>
      <c r="H1443" s="3"/>
      <c r="I1443" s="3"/>
    </row>
    <row r="1444" spans="1:9" ht="15.75" customHeight="1" x14ac:dyDescent="0.2">
      <c r="A1444" s="9"/>
      <c r="B1444" s="9"/>
      <c r="C1444" s="3"/>
      <c r="D1444" s="3"/>
      <c r="E1444" s="3"/>
      <c r="F1444" s="3"/>
      <c r="G1444" s="3"/>
      <c r="H1444" s="3"/>
      <c r="I1444" s="3"/>
    </row>
    <row r="1445" spans="1:9" ht="15.75" customHeight="1" x14ac:dyDescent="0.2">
      <c r="A1445" s="9"/>
      <c r="B1445" s="9"/>
      <c r="C1445" s="3"/>
      <c r="D1445" s="3"/>
      <c r="E1445" s="3"/>
      <c r="F1445" s="3"/>
      <c r="G1445" s="3"/>
      <c r="H1445" s="3"/>
      <c r="I1445" s="3"/>
    </row>
    <row r="1446" spans="1:9" ht="15.75" customHeight="1" x14ac:dyDescent="0.2">
      <c r="A1446" s="9"/>
      <c r="B1446" s="9"/>
      <c r="C1446" s="3"/>
      <c r="D1446" s="3"/>
      <c r="E1446" s="3"/>
      <c r="F1446" s="3"/>
      <c r="G1446" s="3"/>
      <c r="H1446" s="3"/>
      <c r="I1446" s="3"/>
    </row>
    <row r="1447" spans="1:9" ht="15.75" customHeight="1" x14ac:dyDescent="0.2">
      <c r="A1447" s="9"/>
      <c r="B1447" s="9"/>
      <c r="C1447" s="3"/>
      <c r="D1447" s="3"/>
      <c r="E1447" s="3"/>
      <c r="F1447" s="3"/>
      <c r="G1447" s="3"/>
      <c r="H1447" s="3"/>
      <c r="I1447" s="3"/>
    </row>
    <row r="1448" spans="1:9" ht="15.75" customHeight="1" x14ac:dyDescent="0.2">
      <c r="A1448" s="9"/>
      <c r="B1448" s="9"/>
      <c r="C1448" s="3"/>
      <c r="D1448" s="3"/>
      <c r="E1448" s="3"/>
      <c r="F1448" s="3"/>
      <c r="G1448" s="3"/>
      <c r="H1448" s="3"/>
      <c r="I1448" s="3"/>
    </row>
    <row r="1449" spans="1:9" ht="15.75" customHeight="1" x14ac:dyDescent="0.2">
      <c r="A1449" s="9"/>
      <c r="B1449" s="9"/>
      <c r="C1449" s="3"/>
      <c r="D1449" s="3"/>
      <c r="E1449" s="3"/>
      <c r="F1449" s="3"/>
      <c r="G1449" s="3"/>
      <c r="H1449" s="3"/>
      <c r="I1449" s="3"/>
    </row>
    <row r="1450" spans="1:9" ht="15.75" customHeight="1" x14ac:dyDescent="0.2">
      <c r="A1450" s="9"/>
      <c r="B1450" s="9"/>
      <c r="C1450" s="3"/>
      <c r="D1450" s="3"/>
      <c r="E1450" s="3"/>
      <c r="F1450" s="3"/>
      <c r="G1450" s="3"/>
      <c r="H1450" s="3"/>
      <c r="I1450" s="3"/>
    </row>
    <row r="1451" spans="1:9" ht="15.75" customHeight="1" x14ac:dyDescent="0.2">
      <c r="A1451" s="9"/>
      <c r="B1451" s="9"/>
      <c r="C1451" s="3"/>
      <c r="D1451" s="3"/>
      <c r="E1451" s="3"/>
      <c r="F1451" s="3"/>
      <c r="G1451" s="3"/>
      <c r="H1451" s="3"/>
      <c r="I1451" s="3"/>
    </row>
    <row r="1452" spans="1:9" ht="15.75" customHeight="1" x14ac:dyDescent="0.2">
      <c r="A1452" s="9"/>
      <c r="B1452" s="9"/>
      <c r="C1452" s="3"/>
      <c r="D1452" s="3"/>
      <c r="E1452" s="3"/>
      <c r="F1452" s="3"/>
      <c r="G1452" s="3"/>
      <c r="H1452" s="3"/>
      <c r="I1452" s="3"/>
    </row>
    <row r="1453" spans="1:9" ht="15.75" customHeight="1" x14ac:dyDescent="0.2">
      <c r="A1453" s="9"/>
      <c r="B1453" s="9"/>
      <c r="C1453" s="3"/>
      <c r="D1453" s="3"/>
      <c r="E1453" s="3"/>
      <c r="F1453" s="3"/>
      <c r="G1453" s="3"/>
      <c r="H1453" s="3"/>
      <c r="I1453" s="3"/>
    </row>
    <row r="1454" spans="1:9" ht="15.75" customHeight="1" x14ac:dyDescent="0.2">
      <c r="A1454" s="9"/>
      <c r="B1454" s="9"/>
      <c r="C1454" s="3"/>
      <c r="D1454" s="3"/>
      <c r="E1454" s="3"/>
      <c r="F1454" s="3"/>
      <c r="G1454" s="3"/>
      <c r="H1454" s="3"/>
      <c r="I1454" s="3"/>
    </row>
    <row r="1455" spans="1:9" ht="15.75" customHeight="1" x14ac:dyDescent="0.2">
      <c r="A1455" s="9"/>
      <c r="B1455" s="9"/>
      <c r="C1455" s="3"/>
      <c r="D1455" s="3"/>
      <c r="E1455" s="3"/>
      <c r="F1455" s="3"/>
      <c r="G1455" s="3"/>
      <c r="H1455" s="3"/>
      <c r="I1455" s="3"/>
    </row>
    <row r="1456" spans="1:9" ht="15.75" customHeight="1" x14ac:dyDescent="0.2">
      <c r="A1456" s="9"/>
      <c r="B1456" s="9"/>
      <c r="C1456" s="3"/>
      <c r="D1456" s="3"/>
      <c r="E1456" s="3"/>
      <c r="F1456" s="3"/>
      <c r="G1456" s="3"/>
      <c r="H1456" s="3"/>
      <c r="I1456" s="3"/>
    </row>
    <row r="1457" spans="1:9" ht="15.75" customHeight="1" x14ac:dyDescent="0.2">
      <c r="A1457" s="9"/>
      <c r="B1457" s="9"/>
      <c r="C1457" s="3"/>
      <c r="D1457" s="3"/>
      <c r="E1457" s="3"/>
      <c r="F1457" s="3"/>
      <c r="G1457" s="3"/>
      <c r="H1457" s="3"/>
      <c r="I1457" s="3"/>
    </row>
    <row r="1458" spans="1:9" ht="15.75" customHeight="1" x14ac:dyDescent="0.2">
      <c r="A1458" s="9"/>
      <c r="B1458" s="9"/>
      <c r="C1458" s="3"/>
      <c r="D1458" s="3"/>
      <c r="E1458" s="3"/>
      <c r="F1458" s="3"/>
      <c r="G1458" s="3"/>
      <c r="H1458" s="3"/>
      <c r="I1458" s="3"/>
    </row>
    <row r="1459" spans="1:9" ht="15.75" customHeight="1" x14ac:dyDescent="0.2">
      <c r="A1459" s="9"/>
      <c r="B1459" s="9"/>
      <c r="C1459" s="3"/>
      <c r="D1459" s="3"/>
      <c r="E1459" s="3"/>
      <c r="F1459" s="3"/>
      <c r="G1459" s="3"/>
      <c r="H1459" s="3"/>
      <c r="I1459" s="3"/>
    </row>
    <row r="1460" spans="1:9" ht="15.75" customHeight="1" x14ac:dyDescent="0.2">
      <c r="A1460" s="9"/>
      <c r="B1460" s="9"/>
      <c r="C1460" s="3"/>
      <c r="D1460" s="3"/>
      <c r="E1460" s="3"/>
      <c r="F1460" s="3"/>
      <c r="G1460" s="3"/>
      <c r="H1460" s="3"/>
      <c r="I1460" s="3"/>
    </row>
    <row r="1461" spans="1:9" ht="15.75" customHeight="1" x14ac:dyDescent="0.2">
      <c r="A1461" s="9"/>
      <c r="B1461" s="9"/>
      <c r="C1461" s="3"/>
      <c r="D1461" s="3"/>
      <c r="E1461" s="3"/>
      <c r="F1461" s="3"/>
      <c r="G1461" s="3"/>
      <c r="H1461" s="3"/>
      <c r="I1461" s="3"/>
    </row>
    <row r="1462" spans="1:9" ht="15.75" customHeight="1" x14ac:dyDescent="0.2">
      <c r="A1462" s="9"/>
      <c r="B1462" s="9"/>
      <c r="C1462" s="3"/>
      <c r="D1462" s="3"/>
      <c r="E1462" s="3"/>
      <c r="F1462" s="3"/>
      <c r="G1462" s="3"/>
      <c r="H1462" s="3"/>
      <c r="I1462" s="3"/>
    </row>
    <row r="1463" spans="1:9" ht="15.75" customHeight="1" x14ac:dyDescent="0.2">
      <c r="A1463" s="9"/>
      <c r="B1463" s="9"/>
      <c r="C1463" s="3"/>
      <c r="D1463" s="3"/>
      <c r="E1463" s="3"/>
      <c r="F1463" s="3"/>
      <c r="G1463" s="3"/>
      <c r="H1463" s="3"/>
      <c r="I1463" s="3"/>
    </row>
    <row r="1464" spans="1:9" ht="15.75" customHeight="1" x14ac:dyDescent="0.2">
      <c r="A1464" s="9"/>
      <c r="B1464" s="9"/>
      <c r="C1464" s="3"/>
      <c r="D1464" s="3"/>
      <c r="E1464" s="3"/>
      <c r="F1464" s="3"/>
      <c r="G1464" s="3"/>
      <c r="H1464" s="3"/>
      <c r="I1464" s="3"/>
    </row>
    <row r="1465" spans="1:9" ht="15.75" customHeight="1" x14ac:dyDescent="0.2">
      <c r="A1465" s="9"/>
      <c r="B1465" s="9"/>
      <c r="C1465" s="3"/>
      <c r="D1465" s="3"/>
      <c r="E1465" s="3"/>
      <c r="F1465" s="3"/>
      <c r="G1465" s="3"/>
      <c r="H1465" s="3"/>
      <c r="I1465" s="3"/>
    </row>
    <row r="1466" spans="1:9" ht="15.75" customHeight="1" x14ac:dyDescent="0.2">
      <c r="A1466" s="9"/>
      <c r="B1466" s="9"/>
      <c r="C1466" s="3"/>
      <c r="D1466" s="3"/>
      <c r="E1466" s="3"/>
      <c r="F1466" s="3"/>
      <c r="G1466" s="3"/>
      <c r="H1466" s="3"/>
      <c r="I1466" s="3"/>
    </row>
    <row r="1467" spans="1:9" ht="15.75" customHeight="1" x14ac:dyDescent="0.2">
      <c r="A1467" s="9"/>
      <c r="B1467" s="9"/>
      <c r="C1467" s="3"/>
      <c r="D1467" s="3"/>
      <c r="E1467" s="3"/>
      <c r="F1467" s="3"/>
      <c r="G1467" s="3"/>
      <c r="H1467" s="3"/>
      <c r="I1467" s="3"/>
    </row>
    <row r="1468" spans="1:9" ht="15.75" customHeight="1" x14ac:dyDescent="0.2">
      <c r="A1468" s="9"/>
      <c r="B1468" s="9"/>
      <c r="C1468" s="3"/>
      <c r="D1468" s="3"/>
      <c r="E1468" s="3"/>
      <c r="F1468" s="3"/>
      <c r="G1468" s="3"/>
      <c r="H1468" s="3"/>
      <c r="I1468" s="3"/>
    </row>
    <row r="1469" spans="1:9" ht="15.75" customHeight="1" x14ac:dyDescent="0.2">
      <c r="A1469" s="9"/>
      <c r="B1469" s="9"/>
      <c r="C1469" s="3"/>
      <c r="D1469" s="3"/>
      <c r="E1469" s="3"/>
      <c r="F1469" s="3"/>
      <c r="G1469" s="3"/>
      <c r="H1469" s="3"/>
      <c r="I1469" s="3"/>
    </row>
    <row r="1470" spans="1:9" ht="15.75" customHeight="1" x14ac:dyDescent="0.2">
      <c r="A1470" s="9"/>
      <c r="B1470" s="9"/>
      <c r="C1470" s="3"/>
      <c r="D1470" s="3"/>
      <c r="E1470" s="3"/>
      <c r="F1470" s="3"/>
      <c r="G1470" s="3"/>
      <c r="H1470" s="3"/>
      <c r="I1470" s="3"/>
    </row>
    <row r="1471" spans="1:9" ht="15.75" customHeight="1" x14ac:dyDescent="0.2">
      <c r="A1471" s="9"/>
      <c r="B1471" s="9"/>
      <c r="C1471" s="3"/>
      <c r="D1471" s="3"/>
      <c r="E1471" s="3"/>
      <c r="F1471" s="3"/>
      <c r="G1471" s="3"/>
      <c r="H1471" s="3"/>
      <c r="I1471" s="3"/>
    </row>
    <row r="1472" spans="1:9" ht="15.75" customHeight="1" x14ac:dyDescent="0.2">
      <c r="A1472" s="9"/>
      <c r="B1472" s="9"/>
      <c r="C1472" s="3"/>
      <c r="D1472" s="3"/>
      <c r="E1472" s="3"/>
      <c r="F1472" s="3"/>
      <c r="G1472" s="3"/>
      <c r="H1472" s="3"/>
      <c r="I1472" s="3"/>
    </row>
    <row r="1473" spans="1:9" ht="15.75" customHeight="1" x14ac:dyDescent="0.2">
      <c r="A1473" s="9"/>
      <c r="B1473" s="9"/>
      <c r="C1473" s="3"/>
      <c r="D1473" s="3"/>
      <c r="E1473" s="3"/>
      <c r="F1473" s="3"/>
      <c r="G1473" s="3"/>
      <c r="H1473" s="3"/>
      <c r="I1473" s="3"/>
    </row>
    <row r="1474" spans="1:9" ht="15.75" customHeight="1" x14ac:dyDescent="0.2">
      <c r="A1474" s="9"/>
      <c r="B1474" s="9"/>
      <c r="C1474" s="3"/>
      <c r="D1474" s="3"/>
      <c r="E1474" s="3"/>
      <c r="F1474" s="3"/>
      <c r="G1474" s="3"/>
      <c r="H1474" s="3"/>
      <c r="I1474" s="3"/>
    </row>
    <row r="1475" spans="1:9" ht="15.75" customHeight="1" x14ac:dyDescent="0.2">
      <c r="A1475" s="9"/>
      <c r="B1475" s="9"/>
      <c r="C1475" s="3"/>
      <c r="D1475" s="3"/>
      <c r="E1475" s="3"/>
      <c r="F1475" s="3"/>
      <c r="G1475" s="3"/>
      <c r="H1475" s="3"/>
      <c r="I1475" s="3"/>
    </row>
    <row r="1476" spans="1:9" ht="15.75" customHeight="1" x14ac:dyDescent="0.2">
      <c r="A1476" s="9"/>
      <c r="B1476" s="9"/>
      <c r="C1476" s="3"/>
      <c r="D1476" s="3"/>
      <c r="E1476" s="3"/>
      <c r="F1476" s="3"/>
      <c r="G1476" s="3"/>
      <c r="H1476" s="3"/>
      <c r="I1476" s="3"/>
    </row>
    <row r="1477" spans="1:9" ht="15.75" customHeight="1" x14ac:dyDescent="0.2">
      <c r="A1477" s="9"/>
      <c r="B1477" s="9"/>
      <c r="C1477" s="3"/>
      <c r="D1477" s="3"/>
      <c r="E1477" s="3"/>
      <c r="F1477" s="3"/>
      <c r="G1477" s="3"/>
      <c r="H1477" s="3"/>
      <c r="I1477" s="3"/>
    </row>
    <row r="1478" spans="1:9" ht="15.75" customHeight="1" x14ac:dyDescent="0.2">
      <c r="A1478" s="9"/>
      <c r="B1478" s="9"/>
      <c r="C1478" s="3"/>
      <c r="D1478" s="3"/>
      <c r="E1478" s="3"/>
      <c r="F1478" s="3"/>
      <c r="G1478" s="3"/>
      <c r="H1478" s="3"/>
      <c r="I1478" s="3"/>
    </row>
    <row r="1479" spans="1:9" ht="15.75" customHeight="1" x14ac:dyDescent="0.2">
      <c r="A1479" s="9"/>
      <c r="B1479" s="9"/>
      <c r="C1479" s="3"/>
      <c r="D1479" s="3"/>
      <c r="E1479" s="3"/>
      <c r="F1479" s="3"/>
      <c r="G1479" s="3"/>
      <c r="H1479" s="3"/>
      <c r="I1479" s="3"/>
    </row>
    <row r="1480" spans="1:9" ht="15.75" customHeight="1" x14ac:dyDescent="0.2">
      <c r="A1480" s="9"/>
      <c r="B1480" s="9"/>
      <c r="C1480" s="3"/>
      <c r="D1480" s="3"/>
      <c r="E1480" s="3"/>
      <c r="F1480" s="3"/>
      <c r="G1480" s="3"/>
      <c r="H1480" s="3"/>
      <c r="I1480" s="3"/>
    </row>
    <row r="1481" spans="1:9" ht="15.75" customHeight="1" x14ac:dyDescent="0.2">
      <c r="A1481" s="9"/>
      <c r="B1481" s="9"/>
      <c r="C1481" s="3"/>
      <c r="D1481" s="3"/>
      <c r="E1481" s="3"/>
      <c r="F1481" s="3"/>
      <c r="G1481" s="3"/>
      <c r="H1481" s="3"/>
      <c r="I1481" s="3"/>
    </row>
    <row r="1482" spans="1:9" ht="15.75" customHeight="1" x14ac:dyDescent="0.2">
      <c r="A1482" s="9"/>
      <c r="B1482" s="9"/>
      <c r="C1482" s="3"/>
      <c r="D1482" s="3"/>
      <c r="E1482" s="3"/>
      <c r="F1482" s="3"/>
      <c r="G1482" s="3"/>
      <c r="H1482" s="3"/>
      <c r="I1482" s="3"/>
    </row>
    <row r="1483" spans="1:9" ht="15.75" customHeight="1" x14ac:dyDescent="0.2">
      <c r="A1483" s="9"/>
      <c r="B1483" s="9"/>
      <c r="C1483" s="3"/>
      <c r="D1483" s="3"/>
      <c r="E1483" s="3"/>
      <c r="F1483" s="3"/>
      <c r="G1483" s="3"/>
      <c r="H1483" s="3"/>
      <c r="I1483" s="3"/>
    </row>
    <row r="1484" spans="1:9" ht="15.75" customHeight="1" x14ac:dyDescent="0.2">
      <c r="A1484" s="9"/>
      <c r="B1484" s="9"/>
      <c r="C1484" s="3"/>
      <c r="D1484" s="3"/>
      <c r="E1484" s="3"/>
      <c r="F1484" s="3"/>
      <c r="G1484" s="3"/>
      <c r="H1484" s="3"/>
      <c r="I1484" s="3"/>
    </row>
    <row r="1485" spans="1:9" ht="15.75" customHeight="1" x14ac:dyDescent="0.2">
      <c r="A1485" s="9"/>
      <c r="B1485" s="9"/>
      <c r="C1485" s="3"/>
      <c r="D1485" s="3"/>
      <c r="E1485" s="3"/>
      <c r="F1485" s="3"/>
      <c r="G1485" s="3"/>
      <c r="H1485" s="3"/>
      <c r="I1485" s="3"/>
    </row>
    <row r="1486" spans="1:9" ht="15.75" customHeight="1" x14ac:dyDescent="0.2">
      <c r="A1486" s="9"/>
      <c r="B1486" s="9"/>
      <c r="C1486" s="3"/>
      <c r="D1486" s="3"/>
      <c r="E1486" s="3"/>
      <c r="F1486" s="3"/>
      <c r="G1486" s="3"/>
      <c r="H1486" s="3"/>
      <c r="I1486" s="3"/>
    </row>
    <row r="1487" spans="1:9" ht="15.75" customHeight="1" x14ac:dyDescent="0.2">
      <c r="A1487" s="9"/>
      <c r="B1487" s="9"/>
      <c r="C1487" s="3"/>
      <c r="D1487" s="3"/>
      <c r="E1487" s="3"/>
      <c r="F1487" s="3"/>
      <c r="G1487" s="3"/>
      <c r="H1487" s="3"/>
      <c r="I1487" s="3"/>
    </row>
    <row r="1488" spans="1:9" ht="15.75" customHeight="1" x14ac:dyDescent="0.2">
      <c r="A1488" s="9"/>
      <c r="B1488" s="9"/>
      <c r="C1488" s="3"/>
      <c r="D1488" s="3"/>
      <c r="E1488" s="3"/>
      <c r="F1488" s="3"/>
      <c r="G1488" s="3"/>
      <c r="H1488" s="3"/>
      <c r="I1488" s="3"/>
    </row>
    <row r="1489" spans="1:9" ht="15.75" customHeight="1" x14ac:dyDescent="0.2">
      <c r="A1489" s="9"/>
      <c r="B1489" s="9"/>
      <c r="C1489" s="3"/>
      <c r="D1489" s="3"/>
      <c r="E1489" s="3"/>
      <c r="F1489" s="3"/>
      <c r="G1489" s="3"/>
      <c r="H1489" s="3"/>
      <c r="I1489" s="3"/>
    </row>
    <row r="1490" spans="1:9" ht="15.75" customHeight="1" x14ac:dyDescent="0.2">
      <c r="A1490" s="9"/>
      <c r="B1490" s="9"/>
      <c r="C1490" s="3"/>
      <c r="D1490" s="3"/>
      <c r="E1490" s="3"/>
      <c r="F1490" s="3"/>
      <c r="G1490" s="3"/>
      <c r="H1490" s="3"/>
      <c r="I1490" s="3"/>
    </row>
    <row r="1491" spans="1:9" ht="15.75" customHeight="1" x14ac:dyDescent="0.2">
      <c r="A1491" s="9"/>
      <c r="B1491" s="9"/>
      <c r="C1491" s="3"/>
      <c r="D1491" s="3"/>
      <c r="E1491" s="3"/>
      <c r="F1491" s="3"/>
      <c r="G1491" s="3"/>
      <c r="H1491" s="3"/>
      <c r="I1491" s="3"/>
    </row>
    <row r="1492" spans="1:9" ht="15.75" customHeight="1" x14ac:dyDescent="0.2">
      <c r="A1492" s="9"/>
      <c r="B1492" s="9"/>
      <c r="C1492" s="3"/>
      <c r="D1492" s="3"/>
      <c r="E1492" s="3"/>
      <c r="F1492" s="3"/>
      <c r="G1492" s="3"/>
      <c r="H1492" s="3"/>
      <c r="I1492" s="3"/>
    </row>
    <row r="1493" spans="1:9" ht="15.75" customHeight="1" x14ac:dyDescent="0.2">
      <c r="A1493" s="9"/>
      <c r="B1493" s="9"/>
      <c r="C1493" s="3"/>
      <c r="D1493" s="3"/>
      <c r="E1493" s="3"/>
      <c r="F1493" s="3"/>
      <c r="G1493" s="3"/>
      <c r="H1493" s="3"/>
      <c r="I1493" s="3"/>
    </row>
    <row r="1494" spans="1:9" ht="15.75" customHeight="1" x14ac:dyDescent="0.2">
      <c r="A1494" s="9"/>
      <c r="B1494" s="9"/>
      <c r="C1494" s="3"/>
      <c r="D1494" s="3"/>
      <c r="E1494" s="3"/>
      <c r="F1494" s="3"/>
      <c r="G1494" s="3"/>
      <c r="H1494" s="3"/>
      <c r="I1494" s="3"/>
    </row>
    <row r="1495" spans="1:9" ht="15.75" customHeight="1" x14ac:dyDescent="0.2">
      <c r="A1495" s="9"/>
      <c r="B1495" s="9"/>
      <c r="C1495" s="3"/>
      <c r="D1495" s="3"/>
      <c r="E1495" s="3"/>
      <c r="F1495" s="3"/>
      <c r="G1495" s="3"/>
      <c r="H1495" s="3"/>
      <c r="I1495" s="3"/>
    </row>
    <row r="1496" spans="1:9" ht="15.75" customHeight="1" x14ac:dyDescent="0.2">
      <c r="A1496" s="9"/>
      <c r="B1496" s="9"/>
      <c r="C1496" s="3"/>
      <c r="D1496" s="3"/>
      <c r="E1496" s="3"/>
      <c r="F1496" s="3"/>
      <c r="G1496" s="3"/>
      <c r="H1496" s="3"/>
      <c r="I1496" s="3"/>
    </row>
    <row r="1497" spans="1:9" ht="15.75" customHeight="1" x14ac:dyDescent="0.2">
      <c r="A1497" s="9"/>
      <c r="B1497" s="9"/>
      <c r="C1497" s="3"/>
      <c r="D1497" s="3"/>
      <c r="E1497" s="3"/>
      <c r="F1497" s="3"/>
      <c r="G1497" s="3"/>
      <c r="H1497" s="3"/>
      <c r="I1497" s="3"/>
    </row>
    <row r="1498" spans="1:9" ht="15.75" customHeight="1" x14ac:dyDescent="0.2">
      <c r="A1498" s="9"/>
      <c r="B1498" s="9"/>
      <c r="C1498" s="3"/>
      <c r="D1498" s="3"/>
      <c r="E1498" s="3"/>
      <c r="F1498" s="3"/>
      <c r="G1498" s="3"/>
      <c r="H1498" s="3"/>
      <c r="I1498" s="3"/>
    </row>
    <row r="1499" spans="1:9" ht="15.75" customHeight="1" x14ac:dyDescent="0.2">
      <c r="A1499" s="9"/>
      <c r="B1499" s="9"/>
      <c r="C1499" s="3"/>
      <c r="D1499" s="3"/>
      <c r="E1499" s="3"/>
      <c r="F1499" s="3"/>
      <c r="G1499" s="3"/>
      <c r="H1499" s="3"/>
      <c r="I1499" s="3"/>
    </row>
    <row r="1500" spans="1:9" ht="15.75" customHeight="1" x14ac:dyDescent="0.2">
      <c r="A1500" s="9"/>
      <c r="B1500" s="9"/>
      <c r="C1500" s="3"/>
      <c r="D1500" s="3"/>
      <c r="E1500" s="3"/>
      <c r="F1500" s="3"/>
      <c r="G1500" s="3"/>
      <c r="H1500" s="3"/>
      <c r="I1500" s="3"/>
    </row>
    <row r="1501" spans="1:9" ht="15.75" customHeight="1" x14ac:dyDescent="0.2">
      <c r="A1501" s="9"/>
      <c r="B1501" s="9"/>
      <c r="C1501" s="3"/>
      <c r="D1501" s="3"/>
      <c r="E1501" s="3"/>
      <c r="F1501" s="3"/>
      <c r="G1501" s="3"/>
      <c r="H1501" s="3"/>
      <c r="I1501" s="3"/>
    </row>
    <row r="1502" spans="1:9" ht="15.75" customHeight="1" x14ac:dyDescent="0.2">
      <c r="A1502" s="9"/>
      <c r="B1502" s="9"/>
      <c r="C1502" s="3"/>
      <c r="D1502" s="3"/>
      <c r="E1502" s="3"/>
      <c r="F1502" s="3"/>
      <c r="G1502" s="3"/>
      <c r="H1502" s="3"/>
      <c r="I1502" s="3"/>
    </row>
    <row r="1503" spans="1:9" ht="15.75" customHeight="1" x14ac:dyDescent="0.2">
      <c r="A1503" s="9"/>
      <c r="B1503" s="9"/>
      <c r="C1503" s="3"/>
      <c r="D1503" s="3"/>
      <c r="E1503" s="3"/>
      <c r="F1503" s="3"/>
      <c r="G1503" s="3"/>
      <c r="H1503" s="3"/>
      <c r="I1503" s="3"/>
    </row>
    <row r="1504" spans="1:9" ht="15.75" customHeight="1" x14ac:dyDescent="0.2">
      <c r="A1504" s="9"/>
      <c r="B1504" s="9"/>
      <c r="C1504" s="3"/>
      <c r="D1504" s="3"/>
      <c r="E1504" s="3"/>
      <c r="F1504" s="3"/>
      <c r="G1504" s="3"/>
      <c r="H1504" s="3"/>
      <c r="I1504" s="3"/>
    </row>
    <row r="1505" spans="1:9" ht="15.75" customHeight="1" x14ac:dyDescent="0.2">
      <c r="A1505" s="9"/>
      <c r="B1505" s="9"/>
      <c r="C1505" s="3"/>
      <c r="D1505" s="3"/>
      <c r="E1505" s="3"/>
      <c r="F1505" s="3"/>
      <c r="G1505" s="3"/>
      <c r="H1505" s="3"/>
      <c r="I1505" s="3"/>
    </row>
    <row r="1506" spans="1:9" ht="15.75" customHeight="1" x14ac:dyDescent="0.2">
      <c r="A1506" s="9"/>
      <c r="B1506" s="9"/>
      <c r="C1506" s="3"/>
      <c r="D1506" s="3"/>
      <c r="E1506" s="3"/>
      <c r="F1506" s="3"/>
      <c r="G1506" s="3"/>
      <c r="H1506" s="3"/>
      <c r="I1506" s="3"/>
    </row>
    <row r="1507" spans="1:9" ht="15.75" customHeight="1" x14ac:dyDescent="0.2">
      <c r="A1507" s="9"/>
      <c r="B1507" s="9"/>
      <c r="C1507" s="3"/>
      <c r="D1507" s="3"/>
      <c r="E1507" s="3"/>
      <c r="F1507" s="3"/>
      <c r="G1507" s="3"/>
      <c r="H1507" s="3"/>
      <c r="I1507" s="3"/>
    </row>
    <row r="1508" spans="1:9" ht="15.75" customHeight="1" x14ac:dyDescent="0.2">
      <c r="A1508" s="9"/>
      <c r="B1508" s="9"/>
      <c r="C1508" s="3"/>
      <c r="D1508" s="3"/>
      <c r="E1508" s="3"/>
      <c r="F1508" s="3"/>
      <c r="G1508" s="3"/>
      <c r="H1508" s="3"/>
      <c r="I1508" s="3"/>
    </row>
    <row r="1509" spans="1:9" ht="15.75" customHeight="1" x14ac:dyDescent="0.2">
      <c r="A1509" s="9"/>
      <c r="B1509" s="9"/>
      <c r="C1509" s="3"/>
      <c r="D1509" s="3"/>
      <c r="E1509" s="3"/>
      <c r="F1509" s="3"/>
      <c r="G1509" s="3"/>
      <c r="H1509" s="3"/>
      <c r="I1509" s="3"/>
    </row>
    <row r="1510" spans="1:9" ht="15.75" customHeight="1" x14ac:dyDescent="0.2">
      <c r="A1510" s="9"/>
      <c r="B1510" s="9"/>
      <c r="C1510" s="3"/>
      <c r="D1510" s="3"/>
      <c r="E1510" s="3"/>
      <c r="F1510" s="3"/>
      <c r="G1510" s="3"/>
      <c r="H1510" s="3"/>
      <c r="I1510" s="3"/>
    </row>
    <row r="1511" spans="1:9" ht="15.75" customHeight="1" x14ac:dyDescent="0.2">
      <c r="A1511" s="9"/>
      <c r="B1511" s="9"/>
      <c r="C1511" s="3"/>
      <c r="D1511" s="3"/>
      <c r="E1511" s="3"/>
      <c r="F1511" s="3"/>
      <c r="G1511" s="3"/>
      <c r="H1511" s="3"/>
      <c r="I1511" s="3"/>
    </row>
    <row r="1512" spans="1:9" ht="15.75" customHeight="1" x14ac:dyDescent="0.2">
      <c r="A1512" s="9"/>
      <c r="B1512" s="9"/>
      <c r="C1512" s="3"/>
      <c r="D1512" s="3"/>
      <c r="E1512" s="3"/>
      <c r="F1512" s="3"/>
      <c r="G1512" s="3"/>
      <c r="H1512" s="3"/>
      <c r="I1512" s="3"/>
    </row>
    <row r="1513" spans="1:9" ht="15.75" customHeight="1" x14ac:dyDescent="0.2">
      <c r="A1513" s="9"/>
      <c r="B1513" s="9"/>
      <c r="C1513" s="3"/>
      <c r="D1513" s="3"/>
      <c r="E1513" s="3"/>
      <c r="F1513" s="3"/>
      <c r="G1513" s="3"/>
      <c r="H1513" s="3"/>
      <c r="I1513" s="3"/>
    </row>
    <row r="1514" spans="1:9" ht="15.75" customHeight="1" x14ac:dyDescent="0.2">
      <c r="A1514" s="9"/>
      <c r="B1514" s="9"/>
      <c r="C1514" s="3"/>
      <c r="D1514" s="3"/>
      <c r="E1514" s="3"/>
      <c r="F1514" s="3"/>
      <c r="G1514" s="3"/>
      <c r="H1514" s="3"/>
      <c r="I1514" s="3"/>
    </row>
    <row r="1515" spans="1:9" ht="15.75" customHeight="1" x14ac:dyDescent="0.2">
      <c r="A1515" s="9"/>
      <c r="B1515" s="9"/>
      <c r="C1515" s="3"/>
      <c r="D1515" s="3"/>
      <c r="E1515" s="3"/>
      <c r="F1515" s="3"/>
      <c r="G1515" s="3"/>
      <c r="H1515" s="3"/>
      <c r="I1515" s="3"/>
    </row>
    <row r="1516" spans="1:9" ht="15.75" customHeight="1" x14ac:dyDescent="0.2">
      <c r="A1516" s="9"/>
      <c r="B1516" s="9"/>
      <c r="C1516" s="3"/>
      <c r="D1516" s="3"/>
      <c r="E1516" s="3"/>
      <c r="F1516" s="3"/>
      <c r="G1516" s="3"/>
      <c r="H1516" s="3"/>
      <c r="I1516" s="3"/>
    </row>
    <row r="1517" spans="1:9" ht="15.75" customHeight="1" x14ac:dyDescent="0.2">
      <c r="A1517" s="9"/>
      <c r="B1517" s="9"/>
      <c r="C1517" s="3"/>
      <c r="D1517" s="3"/>
      <c r="E1517" s="3"/>
      <c r="F1517" s="3"/>
      <c r="G1517" s="3"/>
      <c r="H1517" s="3"/>
      <c r="I1517" s="3"/>
    </row>
    <row r="1518" spans="1:9" ht="15.75" customHeight="1" x14ac:dyDescent="0.2">
      <c r="A1518" s="9"/>
      <c r="B1518" s="9"/>
      <c r="C1518" s="3"/>
      <c r="D1518" s="3"/>
      <c r="E1518" s="3"/>
      <c r="F1518" s="3"/>
      <c r="G1518" s="3"/>
      <c r="H1518" s="3"/>
      <c r="I1518" s="3"/>
    </row>
    <row r="1519" spans="1:9" ht="15.75" customHeight="1" x14ac:dyDescent="0.2">
      <c r="A1519" s="9"/>
      <c r="B1519" s="9"/>
      <c r="C1519" s="3"/>
      <c r="D1519" s="3"/>
      <c r="E1519" s="3"/>
      <c r="F1519" s="3"/>
      <c r="G1519" s="3"/>
      <c r="H1519" s="3"/>
      <c r="I1519" s="3"/>
    </row>
    <row r="1520" spans="1:9" ht="15.75" customHeight="1" x14ac:dyDescent="0.2">
      <c r="A1520" s="9"/>
      <c r="B1520" s="9"/>
      <c r="C1520" s="3"/>
      <c r="D1520" s="3"/>
      <c r="E1520" s="3"/>
      <c r="F1520" s="3"/>
      <c r="G1520" s="3"/>
      <c r="H1520" s="3"/>
      <c r="I1520" s="3"/>
    </row>
    <row r="1521" spans="1:9" ht="15.75" customHeight="1" x14ac:dyDescent="0.2">
      <c r="A1521" s="9"/>
      <c r="B1521" s="9"/>
      <c r="C1521" s="3"/>
      <c r="D1521" s="3"/>
      <c r="E1521" s="3"/>
      <c r="F1521" s="3"/>
      <c r="G1521" s="3"/>
      <c r="H1521" s="3"/>
      <c r="I1521" s="3"/>
    </row>
    <row r="1522" spans="1:9" ht="15.75" customHeight="1" x14ac:dyDescent="0.2">
      <c r="A1522" s="9"/>
      <c r="B1522" s="9"/>
      <c r="C1522" s="3"/>
      <c r="D1522" s="3"/>
      <c r="E1522" s="3"/>
      <c r="F1522" s="3"/>
      <c r="G1522" s="3"/>
      <c r="H1522" s="3"/>
      <c r="I1522" s="3"/>
    </row>
    <row r="1523" spans="1:9" ht="15.75" customHeight="1" x14ac:dyDescent="0.2">
      <c r="A1523" s="9"/>
      <c r="B1523" s="9"/>
      <c r="C1523" s="3"/>
      <c r="D1523" s="3"/>
      <c r="E1523" s="3"/>
      <c r="F1523" s="3"/>
      <c r="G1523" s="3"/>
      <c r="H1523" s="3"/>
      <c r="I1523" s="3"/>
    </row>
    <row r="1524" spans="1:9" ht="15.75" customHeight="1" x14ac:dyDescent="0.2">
      <c r="A1524" s="9"/>
      <c r="B1524" s="9"/>
      <c r="C1524" s="3"/>
      <c r="D1524" s="3"/>
      <c r="E1524" s="3"/>
      <c r="F1524" s="3"/>
      <c r="G1524" s="3"/>
      <c r="H1524" s="3"/>
      <c r="I1524" s="3"/>
    </row>
    <row r="1525" spans="1:9" ht="15.75" customHeight="1" x14ac:dyDescent="0.2">
      <c r="A1525" s="9"/>
      <c r="B1525" s="9"/>
      <c r="C1525" s="3"/>
      <c r="D1525" s="3"/>
      <c r="E1525" s="3"/>
      <c r="F1525" s="3"/>
      <c r="G1525" s="3"/>
      <c r="H1525" s="3"/>
      <c r="I1525" s="3"/>
    </row>
    <row r="1526" spans="1:9" ht="15.75" customHeight="1" x14ac:dyDescent="0.2">
      <c r="A1526" s="9"/>
      <c r="B1526" s="9"/>
      <c r="C1526" s="3"/>
      <c r="D1526" s="3"/>
      <c r="E1526" s="3"/>
      <c r="F1526" s="3"/>
      <c r="G1526" s="3"/>
      <c r="H1526" s="3"/>
      <c r="I1526" s="3"/>
    </row>
    <row r="1527" spans="1:9" ht="15.75" customHeight="1" x14ac:dyDescent="0.2">
      <c r="A1527" s="9"/>
      <c r="B1527" s="9"/>
      <c r="C1527" s="3"/>
      <c r="D1527" s="3"/>
      <c r="E1527" s="3"/>
      <c r="F1527" s="3"/>
      <c r="G1527" s="3"/>
      <c r="H1527" s="3"/>
      <c r="I1527" s="3"/>
    </row>
    <row r="1528" spans="1:9" ht="15.75" customHeight="1" x14ac:dyDescent="0.2">
      <c r="A1528" s="9"/>
      <c r="B1528" s="9"/>
      <c r="C1528" s="3"/>
      <c r="D1528" s="3"/>
      <c r="E1528" s="3"/>
      <c r="F1528" s="3"/>
      <c r="G1528" s="3"/>
      <c r="H1528" s="3"/>
      <c r="I1528" s="3"/>
    </row>
    <row r="1529" spans="1:9" ht="15.75" customHeight="1" x14ac:dyDescent="0.2">
      <c r="A1529" s="9"/>
      <c r="B1529" s="9"/>
      <c r="C1529" s="3"/>
      <c r="D1529" s="3"/>
      <c r="E1529" s="3"/>
      <c r="F1529" s="3"/>
      <c r="G1529" s="3"/>
      <c r="H1529" s="3"/>
      <c r="I1529" s="3"/>
    </row>
    <row r="1530" spans="1:9" ht="15.75" customHeight="1" x14ac:dyDescent="0.2">
      <c r="A1530" s="9"/>
      <c r="B1530" s="9"/>
      <c r="C1530" s="3"/>
      <c r="D1530" s="3"/>
      <c r="E1530" s="3"/>
      <c r="F1530" s="3"/>
      <c r="G1530" s="3"/>
      <c r="H1530" s="3"/>
      <c r="I1530" s="3"/>
    </row>
    <row r="1531" spans="1:9" ht="15.75" customHeight="1" x14ac:dyDescent="0.2">
      <c r="A1531" s="9"/>
      <c r="B1531" s="9"/>
      <c r="C1531" s="3"/>
      <c r="D1531" s="3"/>
      <c r="E1531" s="3"/>
      <c r="F1531" s="3"/>
      <c r="G1531" s="3"/>
      <c r="H1531" s="3"/>
      <c r="I1531" s="3"/>
    </row>
    <row r="1532" spans="1:9" ht="15.75" customHeight="1" x14ac:dyDescent="0.2">
      <c r="A1532" s="9"/>
      <c r="B1532" s="9"/>
      <c r="C1532" s="3"/>
      <c r="D1532" s="3"/>
      <c r="E1532" s="3"/>
      <c r="F1532" s="3"/>
      <c r="G1532" s="3"/>
      <c r="H1532" s="3"/>
      <c r="I1532" s="3"/>
    </row>
    <row r="1533" spans="1:9" ht="15.75" customHeight="1" x14ac:dyDescent="0.2">
      <c r="A1533" s="9"/>
      <c r="B1533" s="9"/>
      <c r="C1533" s="3"/>
      <c r="D1533" s="3"/>
      <c r="E1533" s="3"/>
      <c r="F1533" s="3"/>
      <c r="G1533" s="3"/>
      <c r="H1533" s="3"/>
      <c r="I1533" s="3"/>
    </row>
    <row r="1534" spans="1:9" ht="15.75" customHeight="1" x14ac:dyDescent="0.2">
      <c r="A1534" s="9"/>
      <c r="B1534" s="9"/>
      <c r="C1534" s="3"/>
      <c r="D1534" s="3"/>
      <c r="E1534" s="3"/>
      <c r="F1534" s="3"/>
      <c r="G1534" s="3"/>
      <c r="H1534" s="3"/>
      <c r="I1534" s="3"/>
    </row>
    <row r="1535" spans="1:9" ht="15.75" customHeight="1" x14ac:dyDescent="0.2">
      <c r="A1535" s="9"/>
      <c r="B1535" s="9"/>
      <c r="C1535" s="3"/>
      <c r="D1535" s="3"/>
      <c r="E1535" s="3"/>
      <c r="F1535" s="3"/>
      <c r="G1535" s="3"/>
      <c r="H1535" s="3"/>
      <c r="I1535" s="3"/>
    </row>
    <row r="1536" spans="1:9" ht="15.75" customHeight="1" x14ac:dyDescent="0.2">
      <c r="A1536" s="9"/>
      <c r="B1536" s="9"/>
      <c r="C1536" s="3"/>
      <c r="D1536" s="3"/>
      <c r="E1536" s="3"/>
      <c r="F1536" s="3"/>
      <c r="G1536" s="3"/>
      <c r="H1536" s="3"/>
      <c r="I1536" s="3"/>
    </row>
    <row r="1537" spans="1:9" ht="15.75" customHeight="1" x14ac:dyDescent="0.2">
      <c r="A1537" s="9"/>
      <c r="B1537" s="9"/>
      <c r="C1537" s="3"/>
      <c r="D1537" s="3"/>
      <c r="E1537" s="3"/>
      <c r="F1537" s="3"/>
      <c r="G1537" s="3"/>
      <c r="H1537" s="3"/>
      <c r="I1537" s="3"/>
    </row>
    <row r="1538" spans="1:9" ht="15.75" customHeight="1" x14ac:dyDescent="0.2">
      <c r="A1538" s="9"/>
      <c r="B1538" s="9"/>
      <c r="C1538" s="3"/>
      <c r="D1538" s="3"/>
      <c r="E1538" s="3"/>
      <c r="F1538" s="3"/>
      <c r="G1538" s="3"/>
      <c r="H1538" s="3"/>
      <c r="I1538" s="3"/>
    </row>
    <row r="1539" spans="1:9" ht="15.75" customHeight="1" x14ac:dyDescent="0.2">
      <c r="A1539" s="9"/>
      <c r="B1539" s="9"/>
      <c r="C1539" s="3"/>
      <c r="D1539" s="3"/>
      <c r="E1539" s="3"/>
      <c r="F1539" s="3"/>
      <c r="G1539" s="3"/>
      <c r="H1539" s="3"/>
      <c r="I1539" s="3"/>
    </row>
    <row r="1540" spans="1:9" ht="15.75" customHeight="1" x14ac:dyDescent="0.2">
      <c r="A1540" s="9"/>
      <c r="B1540" s="9"/>
      <c r="C1540" s="3"/>
      <c r="D1540" s="3"/>
      <c r="E1540" s="3"/>
      <c r="F1540" s="3"/>
      <c r="G1540" s="3"/>
      <c r="H1540" s="3"/>
      <c r="I1540" s="3"/>
    </row>
    <row r="1541" spans="1:9" ht="15.75" customHeight="1" x14ac:dyDescent="0.2">
      <c r="A1541" s="9"/>
      <c r="B1541" s="9"/>
      <c r="C1541" s="3"/>
      <c r="D1541" s="3"/>
      <c r="E1541" s="3"/>
      <c r="F1541" s="3"/>
      <c r="G1541" s="3"/>
      <c r="H1541" s="3"/>
      <c r="I1541" s="3"/>
    </row>
    <row r="1542" spans="1:9" ht="15.75" customHeight="1" x14ac:dyDescent="0.2">
      <c r="A1542" s="9"/>
      <c r="B1542" s="9"/>
      <c r="C1542" s="3"/>
      <c r="D1542" s="3"/>
      <c r="E1542" s="3"/>
      <c r="F1542" s="3"/>
      <c r="G1542" s="3"/>
      <c r="H1542" s="3"/>
      <c r="I1542" s="3"/>
    </row>
    <row r="1543" spans="1:9" ht="15.75" customHeight="1" x14ac:dyDescent="0.2">
      <c r="A1543" s="9"/>
      <c r="B1543" s="9"/>
      <c r="C1543" s="3"/>
      <c r="D1543" s="3"/>
      <c r="E1543" s="3"/>
      <c r="F1543" s="3"/>
      <c r="G1543" s="3"/>
      <c r="H1543" s="3"/>
      <c r="I1543" s="3"/>
    </row>
    <row r="1544" spans="1:9" ht="15.75" customHeight="1" x14ac:dyDescent="0.2">
      <c r="A1544" s="9"/>
      <c r="B1544" s="9"/>
      <c r="C1544" s="3"/>
      <c r="D1544" s="3"/>
      <c r="E1544" s="3"/>
      <c r="F1544" s="3"/>
      <c r="G1544" s="3"/>
      <c r="H1544" s="3"/>
      <c r="I1544" s="3"/>
    </row>
    <row r="1545" spans="1:9" ht="15.75" customHeight="1" x14ac:dyDescent="0.2">
      <c r="A1545" s="9"/>
      <c r="B1545" s="9"/>
      <c r="C1545" s="3"/>
      <c r="D1545" s="3"/>
      <c r="E1545" s="3"/>
      <c r="F1545" s="3"/>
      <c r="G1545" s="3"/>
      <c r="H1545" s="3"/>
      <c r="I1545" s="3"/>
    </row>
    <row r="1546" spans="1:9" ht="15.75" customHeight="1" x14ac:dyDescent="0.2">
      <c r="A1546" s="9"/>
      <c r="B1546" s="9"/>
      <c r="C1546" s="3"/>
      <c r="D1546" s="3"/>
      <c r="E1546" s="3"/>
      <c r="F1546" s="3"/>
      <c r="G1546" s="3"/>
      <c r="H1546" s="3"/>
      <c r="I1546" s="3"/>
    </row>
    <row r="1547" spans="1:9" ht="15.75" customHeight="1" x14ac:dyDescent="0.2">
      <c r="A1547" s="9"/>
      <c r="B1547" s="9"/>
      <c r="C1547" s="3"/>
      <c r="D1547" s="3"/>
      <c r="E1547" s="3"/>
      <c r="F1547" s="3"/>
      <c r="G1547" s="3"/>
      <c r="H1547" s="3"/>
      <c r="I1547" s="3"/>
    </row>
    <row r="1548" spans="1:9" ht="15.75" customHeight="1" x14ac:dyDescent="0.2">
      <c r="A1548" s="9"/>
      <c r="B1548" s="9"/>
      <c r="C1548" s="3"/>
      <c r="D1548" s="3"/>
      <c r="E1548" s="3"/>
      <c r="F1548" s="3"/>
      <c r="G1548" s="3"/>
      <c r="H1548" s="3"/>
      <c r="I1548" s="3"/>
    </row>
    <row r="1549" spans="1:9" ht="15.75" customHeight="1" x14ac:dyDescent="0.2">
      <c r="A1549" s="9"/>
      <c r="B1549" s="9"/>
      <c r="C1549" s="3"/>
      <c r="D1549" s="3"/>
      <c r="E1549" s="3"/>
      <c r="F1549" s="3"/>
      <c r="G1549" s="3"/>
      <c r="H1549" s="3"/>
      <c r="I1549" s="3"/>
    </row>
    <row r="1550" spans="1:9" ht="15.75" customHeight="1" x14ac:dyDescent="0.2">
      <c r="A1550" s="9"/>
      <c r="B1550" s="9"/>
      <c r="C1550" s="3"/>
      <c r="D1550" s="3"/>
      <c r="E1550" s="3"/>
      <c r="F1550" s="3"/>
      <c r="G1550" s="3"/>
      <c r="H1550" s="3"/>
      <c r="I1550" s="3"/>
    </row>
    <row r="1551" spans="1:9" ht="15.75" customHeight="1" x14ac:dyDescent="0.2">
      <c r="A1551" s="9"/>
      <c r="B1551" s="9"/>
      <c r="C1551" s="3"/>
      <c r="D1551" s="3"/>
      <c r="E1551" s="3"/>
      <c r="F1551" s="3"/>
      <c r="G1551" s="3"/>
      <c r="H1551" s="3"/>
      <c r="I1551" s="3"/>
    </row>
    <row r="1552" spans="1:9" ht="15.75" customHeight="1" x14ac:dyDescent="0.2">
      <c r="A1552" s="9"/>
      <c r="B1552" s="9"/>
      <c r="C1552" s="3"/>
      <c r="D1552" s="3"/>
      <c r="E1552" s="3"/>
      <c r="F1552" s="3"/>
      <c r="G1552" s="3"/>
      <c r="H1552" s="3"/>
      <c r="I1552" s="3"/>
    </row>
    <row r="1553" spans="1:9" ht="15.75" customHeight="1" x14ac:dyDescent="0.2">
      <c r="A1553" s="9"/>
      <c r="B1553" s="9"/>
      <c r="C1553" s="3"/>
      <c r="D1553" s="3"/>
      <c r="E1553" s="3"/>
      <c r="F1553" s="3"/>
      <c r="G1553" s="3"/>
      <c r="H1553" s="3"/>
      <c r="I1553" s="3"/>
    </row>
    <row r="1554" spans="1:9" ht="15.75" customHeight="1" x14ac:dyDescent="0.2">
      <c r="A1554" s="9"/>
      <c r="B1554" s="9"/>
      <c r="C1554" s="3"/>
      <c r="D1554" s="3"/>
      <c r="E1554" s="3"/>
      <c r="F1554" s="3"/>
      <c r="G1554" s="3"/>
      <c r="H1554" s="3"/>
      <c r="I1554" s="3"/>
    </row>
    <row r="1555" spans="1:9" ht="15.75" customHeight="1" x14ac:dyDescent="0.2">
      <c r="A1555" s="9"/>
      <c r="B1555" s="9"/>
      <c r="C1555" s="3"/>
      <c r="D1555" s="3"/>
      <c r="E1555" s="3"/>
      <c r="F1555" s="3"/>
      <c r="G1555" s="3"/>
      <c r="H1555" s="3"/>
      <c r="I1555" s="3"/>
    </row>
    <row r="1556" spans="1:9" ht="15.75" customHeight="1" x14ac:dyDescent="0.2">
      <c r="A1556" s="9"/>
      <c r="B1556" s="9"/>
      <c r="C1556" s="3"/>
      <c r="D1556" s="3"/>
      <c r="E1556" s="3"/>
      <c r="F1556" s="3"/>
      <c r="G1556" s="3"/>
      <c r="H1556" s="3"/>
      <c r="I1556" s="3"/>
    </row>
    <row r="1557" spans="1:9" ht="15.75" customHeight="1" x14ac:dyDescent="0.2">
      <c r="A1557" s="9"/>
      <c r="B1557" s="9"/>
      <c r="C1557" s="3"/>
      <c r="D1557" s="3"/>
      <c r="E1557" s="3"/>
      <c r="F1557" s="3"/>
      <c r="G1557" s="3"/>
      <c r="H1557" s="3"/>
      <c r="I1557" s="3"/>
    </row>
    <row r="1558" spans="1:9" ht="15.75" customHeight="1" x14ac:dyDescent="0.2">
      <c r="A1558" s="9"/>
      <c r="B1558" s="9"/>
      <c r="C1558" s="3"/>
      <c r="D1558" s="3"/>
      <c r="E1558" s="3"/>
      <c r="F1558" s="3"/>
      <c r="G1558" s="3"/>
      <c r="H1558" s="3"/>
      <c r="I1558" s="3"/>
    </row>
    <row r="1559" spans="1:9" ht="15.75" customHeight="1" x14ac:dyDescent="0.2">
      <c r="A1559" s="9"/>
      <c r="B1559" s="9"/>
      <c r="C1559" s="3"/>
      <c r="D1559" s="3"/>
      <c r="E1559" s="3"/>
      <c r="F1559" s="3"/>
      <c r="G1559" s="3"/>
      <c r="H1559" s="3"/>
      <c r="I1559" s="3"/>
    </row>
    <row r="1560" spans="1:9" ht="15.75" customHeight="1" x14ac:dyDescent="0.2">
      <c r="A1560" s="9"/>
      <c r="B1560" s="9"/>
      <c r="C1560" s="3"/>
      <c r="D1560" s="3"/>
      <c r="E1560" s="3"/>
      <c r="F1560" s="3"/>
      <c r="G1560" s="3"/>
      <c r="H1560" s="3"/>
      <c r="I1560" s="3"/>
    </row>
    <row r="1561" spans="1:9" ht="15.75" customHeight="1" x14ac:dyDescent="0.2">
      <c r="A1561" s="9"/>
      <c r="B1561" s="9"/>
      <c r="C1561" s="3"/>
      <c r="D1561" s="3"/>
      <c r="E1561" s="3"/>
      <c r="F1561" s="3"/>
      <c r="G1561" s="3"/>
      <c r="H1561" s="3"/>
      <c r="I1561" s="3"/>
    </row>
    <row r="1562" spans="1:9" ht="15.75" customHeight="1" x14ac:dyDescent="0.2">
      <c r="A1562" s="9"/>
      <c r="B1562" s="9"/>
      <c r="C1562" s="3"/>
      <c r="D1562" s="3"/>
      <c r="E1562" s="3"/>
      <c r="F1562" s="3"/>
      <c r="G1562" s="3"/>
      <c r="H1562" s="3"/>
      <c r="I1562" s="3"/>
    </row>
    <row r="1563" spans="1:9" ht="15.75" customHeight="1" x14ac:dyDescent="0.2">
      <c r="A1563" s="9"/>
      <c r="B1563" s="9"/>
      <c r="C1563" s="3"/>
      <c r="D1563" s="3"/>
      <c r="E1563" s="3"/>
      <c r="F1563" s="3"/>
      <c r="G1563" s="3"/>
      <c r="H1563" s="3"/>
      <c r="I1563" s="3"/>
    </row>
    <row r="1564" spans="1:9" ht="15.75" customHeight="1" x14ac:dyDescent="0.2">
      <c r="A1564" s="9"/>
      <c r="B1564" s="9"/>
      <c r="C1564" s="3"/>
      <c r="D1564" s="3"/>
      <c r="E1564" s="3"/>
      <c r="F1564" s="3"/>
      <c r="G1564" s="3"/>
      <c r="H1564" s="3"/>
      <c r="I1564" s="3"/>
    </row>
    <row r="1565" spans="1:9" ht="15.75" customHeight="1" x14ac:dyDescent="0.2">
      <c r="A1565" s="9"/>
      <c r="B1565" s="9"/>
      <c r="C1565" s="3"/>
      <c r="D1565" s="3"/>
      <c r="E1565" s="3"/>
      <c r="F1565" s="3"/>
      <c r="G1565" s="3"/>
      <c r="H1565" s="3"/>
      <c r="I1565" s="3"/>
    </row>
    <row r="1566" spans="1:9" ht="15.75" customHeight="1" x14ac:dyDescent="0.2">
      <c r="A1566" s="9"/>
      <c r="B1566" s="9"/>
      <c r="C1566" s="3"/>
      <c r="D1566" s="3"/>
      <c r="E1566" s="3"/>
      <c r="F1566" s="3"/>
      <c r="G1566" s="3"/>
      <c r="H1566" s="3"/>
      <c r="I1566" s="3"/>
    </row>
    <row r="1567" spans="1:9" ht="15.75" customHeight="1" x14ac:dyDescent="0.2">
      <c r="A1567" s="9"/>
      <c r="B1567" s="9"/>
      <c r="C1567" s="3"/>
      <c r="D1567" s="3"/>
      <c r="E1567" s="3"/>
      <c r="F1567" s="3"/>
      <c r="G1567" s="3"/>
      <c r="H1567" s="3"/>
      <c r="I1567" s="3"/>
    </row>
    <row r="1568" spans="1:9" ht="15.75" customHeight="1" x14ac:dyDescent="0.2">
      <c r="A1568" s="9"/>
      <c r="B1568" s="9"/>
      <c r="C1568" s="3"/>
      <c r="D1568" s="3"/>
      <c r="E1568" s="3"/>
      <c r="F1568" s="3"/>
      <c r="G1568" s="3"/>
      <c r="H1568" s="3"/>
      <c r="I1568" s="3"/>
    </row>
    <row r="1569" spans="1:9" ht="15.75" customHeight="1" x14ac:dyDescent="0.2">
      <c r="A1569" s="9"/>
      <c r="B1569" s="9"/>
      <c r="C1569" s="3"/>
      <c r="D1569" s="3"/>
      <c r="E1569" s="3"/>
      <c r="F1569" s="3"/>
      <c r="G1569" s="3"/>
      <c r="H1569" s="3"/>
      <c r="I1569" s="3"/>
    </row>
    <row r="1570" spans="1:9" ht="15.75" customHeight="1" x14ac:dyDescent="0.2">
      <c r="A1570" s="9"/>
      <c r="B1570" s="9"/>
      <c r="C1570" s="3"/>
      <c r="D1570" s="3"/>
      <c r="E1570" s="3"/>
      <c r="F1570" s="3"/>
      <c r="G1570" s="3"/>
      <c r="H1570" s="3"/>
      <c r="I1570" s="3"/>
    </row>
    <row r="1571" spans="1:9" ht="15.75" customHeight="1" x14ac:dyDescent="0.2">
      <c r="A1571" s="9"/>
      <c r="B1571" s="9"/>
      <c r="C1571" s="3"/>
      <c r="D1571" s="3"/>
      <c r="E1571" s="3"/>
      <c r="F1571" s="3"/>
      <c r="G1571" s="3"/>
      <c r="H1571" s="3"/>
      <c r="I1571" s="3"/>
    </row>
    <row r="1572" spans="1:9" ht="15.75" customHeight="1" x14ac:dyDescent="0.2">
      <c r="A1572" s="9"/>
      <c r="B1572" s="9"/>
      <c r="C1572" s="3"/>
      <c r="D1572" s="3"/>
      <c r="E1572" s="3"/>
      <c r="F1572" s="3"/>
      <c r="G1572" s="3"/>
      <c r="H1572" s="3"/>
      <c r="I1572" s="3"/>
    </row>
    <row r="1573" spans="1:9" ht="15.75" customHeight="1" x14ac:dyDescent="0.2">
      <c r="A1573" s="9"/>
      <c r="B1573" s="9"/>
      <c r="C1573" s="3"/>
      <c r="D1573" s="3"/>
      <c r="E1573" s="3"/>
      <c r="F1573" s="3"/>
      <c r="G1573" s="3"/>
      <c r="H1573" s="3"/>
      <c r="I1573" s="3"/>
    </row>
    <row r="1574" spans="1:9" ht="15.75" customHeight="1" x14ac:dyDescent="0.2">
      <c r="A1574" s="9"/>
      <c r="B1574" s="9"/>
      <c r="C1574" s="3"/>
      <c r="D1574" s="3"/>
      <c r="E1574" s="3"/>
      <c r="F1574" s="3"/>
      <c r="G1574" s="3"/>
      <c r="H1574" s="3"/>
      <c r="I1574" s="3"/>
    </row>
    <row r="1575" spans="1:9" ht="15.75" customHeight="1" x14ac:dyDescent="0.2">
      <c r="A1575" s="9"/>
      <c r="B1575" s="9"/>
      <c r="C1575" s="3"/>
      <c r="D1575" s="3"/>
      <c r="E1575" s="3"/>
      <c r="F1575" s="3"/>
      <c r="G1575" s="3"/>
      <c r="H1575" s="3"/>
      <c r="I1575" s="3"/>
    </row>
    <row r="1576" spans="1:9" ht="15.75" customHeight="1" x14ac:dyDescent="0.2">
      <c r="A1576" s="9"/>
      <c r="B1576" s="9"/>
      <c r="C1576" s="3"/>
      <c r="D1576" s="3"/>
      <c r="E1576" s="3"/>
      <c r="F1576" s="3"/>
      <c r="G1576" s="3"/>
      <c r="H1576" s="3"/>
      <c r="I1576" s="3"/>
    </row>
    <row r="1577" spans="1:9" ht="15.75" customHeight="1" x14ac:dyDescent="0.2">
      <c r="A1577" s="9"/>
      <c r="B1577" s="9"/>
      <c r="C1577" s="3"/>
      <c r="D1577" s="3"/>
      <c r="E1577" s="3"/>
      <c r="F1577" s="3"/>
      <c r="G1577" s="3"/>
      <c r="H1577" s="3"/>
      <c r="I1577" s="3"/>
    </row>
    <row r="1578" spans="1:9" ht="15.75" customHeight="1" x14ac:dyDescent="0.2">
      <c r="A1578" s="9"/>
      <c r="B1578" s="9"/>
      <c r="C1578" s="3"/>
      <c r="D1578" s="3"/>
      <c r="E1578" s="3"/>
      <c r="F1578" s="3"/>
      <c r="G1578" s="3"/>
      <c r="H1578" s="3"/>
      <c r="I1578" s="3"/>
    </row>
    <row r="1579" spans="1:9" ht="15.75" customHeight="1" x14ac:dyDescent="0.2">
      <c r="A1579" s="9"/>
      <c r="B1579" s="9"/>
      <c r="C1579" s="3"/>
      <c r="D1579" s="3"/>
      <c r="E1579" s="3"/>
      <c r="F1579" s="3"/>
      <c r="G1579" s="3"/>
      <c r="H1579" s="3"/>
      <c r="I1579" s="3"/>
    </row>
    <row r="1580" spans="1:9" ht="15.75" customHeight="1" x14ac:dyDescent="0.2">
      <c r="A1580" s="9"/>
      <c r="B1580" s="9"/>
      <c r="C1580" s="3"/>
      <c r="D1580" s="3"/>
      <c r="E1580" s="3"/>
      <c r="F1580" s="3"/>
      <c r="G1580" s="3"/>
      <c r="H1580" s="3"/>
      <c r="I1580" s="3"/>
    </row>
    <row r="1581" spans="1:9" ht="15.75" customHeight="1" x14ac:dyDescent="0.2">
      <c r="A1581" s="9"/>
      <c r="B1581" s="9"/>
      <c r="C1581" s="3"/>
      <c r="D1581" s="3"/>
      <c r="E1581" s="3"/>
      <c r="F1581" s="3"/>
      <c r="G1581" s="3"/>
      <c r="H1581" s="3"/>
      <c r="I1581" s="3"/>
    </row>
    <row r="1582" spans="1:9" ht="15.75" customHeight="1" x14ac:dyDescent="0.2">
      <c r="A1582" s="9"/>
      <c r="B1582" s="9"/>
      <c r="C1582" s="3"/>
      <c r="D1582" s="3"/>
      <c r="E1582" s="3"/>
      <c r="F1582" s="3"/>
      <c r="G1582" s="3"/>
      <c r="H1582" s="3"/>
      <c r="I1582" s="3"/>
    </row>
    <row r="1583" spans="1:9" ht="15.75" customHeight="1" x14ac:dyDescent="0.2">
      <c r="A1583" s="9"/>
      <c r="B1583" s="9"/>
      <c r="C1583" s="3"/>
      <c r="D1583" s="3"/>
      <c r="E1583" s="3"/>
      <c r="F1583" s="3"/>
      <c r="G1583" s="3"/>
      <c r="H1583" s="3"/>
      <c r="I1583" s="3"/>
    </row>
    <row r="1584" spans="1:9" ht="15.75" customHeight="1" x14ac:dyDescent="0.2">
      <c r="A1584" s="9"/>
      <c r="B1584" s="9"/>
      <c r="C1584" s="3"/>
      <c r="D1584" s="3"/>
      <c r="E1584" s="3"/>
      <c r="F1584" s="3"/>
      <c r="G1584" s="3"/>
      <c r="H1584" s="3"/>
      <c r="I1584" s="3"/>
    </row>
    <row r="1585" spans="1:9" ht="15.75" customHeight="1" x14ac:dyDescent="0.2">
      <c r="A1585" s="9"/>
      <c r="B1585" s="9"/>
      <c r="C1585" s="3"/>
      <c r="D1585" s="3"/>
      <c r="E1585" s="3"/>
      <c r="F1585" s="3"/>
      <c r="G1585" s="3"/>
      <c r="H1585" s="3"/>
      <c r="I1585" s="3"/>
    </row>
    <row r="1586" spans="1:9" ht="15.75" customHeight="1" x14ac:dyDescent="0.2">
      <c r="A1586" s="9"/>
      <c r="B1586" s="9"/>
      <c r="C1586" s="3"/>
      <c r="D1586" s="3"/>
      <c r="E1586" s="3"/>
      <c r="F1586" s="3"/>
      <c r="G1586" s="3"/>
      <c r="H1586" s="3"/>
      <c r="I1586" s="3"/>
    </row>
    <row r="1587" spans="1:9" ht="15.75" customHeight="1" x14ac:dyDescent="0.2">
      <c r="A1587" s="9"/>
      <c r="B1587" s="9"/>
      <c r="C1587" s="3"/>
      <c r="D1587" s="3"/>
      <c r="E1587" s="3"/>
      <c r="F1587" s="3"/>
      <c r="G1587" s="3"/>
      <c r="H1587" s="3"/>
      <c r="I1587" s="3"/>
    </row>
    <row r="1588" spans="1:9" ht="15.75" customHeight="1" x14ac:dyDescent="0.2">
      <c r="A1588" s="9"/>
      <c r="B1588" s="9"/>
      <c r="C1588" s="3"/>
      <c r="D1588" s="3"/>
      <c r="E1588" s="3"/>
      <c r="F1588" s="3"/>
      <c r="G1588" s="3"/>
      <c r="H1588" s="3"/>
      <c r="I1588" s="3"/>
    </row>
    <row r="1589" spans="1:9" ht="15.75" customHeight="1" x14ac:dyDescent="0.2">
      <c r="A1589" s="9"/>
      <c r="B1589" s="9"/>
      <c r="C1589" s="3"/>
      <c r="D1589" s="3"/>
      <c r="E1589" s="3"/>
      <c r="F1589" s="3"/>
      <c r="G1589" s="3"/>
      <c r="H1589" s="3"/>
      <c r="I1589" s="3"/>
    </row>
    <row r="1590" spans="1:9" ht="15.75" customHeight="1" x14ac:dyDescent="0.2">
      <c r="A1590" s="9"/>
      <c r="B1590" s="9"/>
      <c r="C1590" s="3"/>
      <c r="D1590" s="3"/>
      <c r="E1590" s="3"/>
      <c r="F1590" s="3"/>
      <c r="G1590" s="3"/>
      <c r="H1590" s="3"/>
      <c r="I1590" s="3"/>
    </row>
    <row r="1591" spans="1:9" ht="15.75" customHeight="1" x14ac:dyDescent="0.2">
      <c r="A1591" s="9"/>
      <c r="B1591" s="9"/>
      <c r="C1591" s="3"/>
      <c r="D1591" s="3"/>
      <c r="E1591" s="3"/>
      <c r="F1591" s="3"/>
      <c r="G1591" s="3"/>
      <c r="H1591" s="3"/>
      <c r="I1591" s="3"/>
    </row>
    <row r="1592" spans="1:9" ht="15.75" customHeight="1" x14ac:dyDescent="0.2">
      <c r="A1592" s="9"/>
      <c r="B1592" s="9"/>
      <c r="C1592" s="3"/>
      <c r="D1592" s="3"/>
      <c r="E1592" s="3"/>
      <c r="F1592" s="3"/>
      <c r="G1592" s="3"/>
      <c r="H1592" s="3"/>
      <c r="I1592" s="3"/>
    </row>
    <row r="1593" spans="1:9" ht="15.75" customHeight="1" x14ac:dyDescent="0.2">
      <c r="A1593" s="9"/>
      <c r="B1593" s="9"/>
      <c r="C1593" s="3"/>
      <c r="D1593" s="3"/>
      <c r="E1593" s="3"/>
      <c r="F1593" s="3"/>
      <c r="G1593" s="3"/>
      <c r="H1593" s="3"/>
      <c r="I1593" s="3"/>
    </row>
    <row r="1594" spans="1:9" ht="15.75" customHeight="1" x14ac:dyDescent="0.2">
      <c r="A1594" s="9"/>
      <c r="B1594" s="9"/>
      <c r="C1594" s="3"/>
      <c r="D1594" s="3"/>
      <c r="E1594" s="3"/>
      <c r="F1594" s="3"/>
      <c r="G1594" s="3"/>
      <c r="H1594" s="3"/>
      <c r="I1594" s="3"/>
    </row>
    <row r="1595" spans="1:9" ht="15.75" customHeight="1" x14ac:dyDescent="0.2">
      <c r="A1595" s="9"/>
      <c r="B1595" s="9"/>
      <c r="C1595" s="3"/>
      <c r="D1595" s="3"/>
      <c r="E1595" s="3"/>
      <c r="F1595" s="3"/>
      <c r="G1595" s="3"/>
      <c r="H1595" s="3"/>
      <c r="I1595" s="3"/>
    </row>
    <row r="1596" spans="1:9" ht="15.75" customHeight="1" x14ac:dyDescent="0.2">
      <c r="A1596" s="9"/>
      <c r="B1596" s="9"/>
      <c r="C1596" s="3"/>
      <c r="D1596" s="3"/>
      <c r="E1596" s="3"/>
      <c r="F1596" s="3"/>
      <c r="G1596" s="3"/>
      <c r="H1596" s="3"/>
      <c r="I1596" s="3"/>
    </row>
    <row r="1597" spans="1:9" ht="15.75" customHeight="1" x14ac:dyDescent="0.2">
      <c r="A1597" s="9"/>
      <c r="B1597" s="9"/>
      <c r="C1597" s="3"/>
      <c r="D1597" s="3"/>
      <c r="E1597" s="3"/>
      <c r="F1597" s="3"/>
      <c r="G1597" s="3"/>
      <c r="H1597" s="3"/>
      <c r="I1597" s="3"/>
    </row>
    <row r="1598" spans="1:9" ht="15.75" customHeight="1" x14ac:dyDescent="0.2">
      <c r="A1598" s="9"/>
      <c r="B1598" s="9"/>
      <c r="C1598" s="3"/>
      <c r="D1598" s="3"/>
      <c r="E1598" s="3"/>
      <c r="F1598" s="3"/>
      <c r="G1598" s="3"/>
      <c r="H1598" s="3"/>
      <c r="I1598" s="3"/>
    </row>
    <row r="1599" spans="1:9" ht="15.75" customHeight="1" x14ac:dyDescent="0.2">
      <c r="A1599" s="9"/>
      <c r="B1599" s="9"/>
      <c r="C1599" s="3"/>
      <c r="D1599" s="3"/>
      <c r="E1599" s="3"/>
      <c r="F1599" s="3"/>
      <c r="G1599" s="3"/>
      <c r="H1599" s="3"/>
      <c r="I1599" s="3"/>
    </row>
    <row r="1600" spans="1:9" ht="15.75" customHeight="1" x14ac:dyDescent="0.2">
      <c r="A1600" s="9"/>
      <c r="B1600" s="9"/>
      <c r="C1600" s="3"/>
      <c r="D1600" s="3"/>
      <c r="E1600" s="3"/>
      <c r="F1600" s="3"/>
      <c r="G1600" s="3"/>
      <c r="H1600" s="3"/>
      <c r="I1600" s="3"/>
    </row>
    <row r="1601" spans="1:9" ht="15.75" customHeight="1" x14ac:dyDescent="0.2">
      <c r="A1601" s="9"/>
      <c r="B1601" s="9"/>
      <c r="C1601" s="3"/>
      <c r="D1601" s="3"/>
      <c r="E1601" s="3"/>
      <c r="F1601" s="3"/>
      <c r="G1601" s="3"/>
      <c r="H1601" s="3"/>
      <c r="I1601" s="3"/>
    </row>
    <row r="1602" spans="1:9" ht="15.75" customHeight="1" x14ac:dyDescent="0.2">
      <c r="A1602" s="9"/>
      <c r="B1602" s="9"/>
      <c r="C1602" s="3"/>
      <c r="D1602" s="3"/>
      <c r="E1602" s="3"/>
      <c r="F1602" s="3"/>
      <c r="G1602" s="3"/>
      <c r="H1602" s="3"/>
      <c r="I1602" s="3"/>
    </row>
    <row r="1603" spans="1:9" ht="15.75" customHeight="1" x14ac:dyDescent="0.2">
      <c r="A1603" s="9"/>
      <c r="B1603" s="9"/>
      <c r="C1603" s="3"/>
      <c r="D1603" s="3"/>
      <c r="E1603" s="3"/>
      <c r="F1603" s="3"/>
      <c r="G1603" s="3"/>
      <c r="H1603" s="3"/>
      <c r="I1603" s="3"/>
    </row>
    <row r="1604" spans="1:9" ht="15.75" customHeight="1" x14ac:dyDescent="0.2">
      <c r="A1604" s="9"/>
      <c r="B1604" s="9"/>
      <c r="C1604" s="3"/>
      <c r="D1604" s="3"/>
      <c r="E1604" s="3"/>
      <c r="F1604" s="3"/>
      <c r="G1604" s="3"/>
      <c r="H1604" s="3"/>
      <c r="I1604" s="3"/>
    </row>
    <row r="1605" spans="1:9" ht="15.75" customHeight="1" x14ac:dyDescent="0.2">
      <c r="A1605" s="9"/>
      <c r="B1605" s="9"/>
      <c r="C1605" s="3"/>
      <c r="D1605" s="3"/>
      <c r="E1605" s="3"/>
      <c r="F1605" s="3"/>
      <c r="G1605" s="3"/>
      <c r="H1605" s="3"/>
      <c r="I1605" s="3"/>
    </row>
    <row r="1606" spans="1:9" ht="15.75" customHeight="1" x14ac:dyDescent="0.2">
      <c r="A1606" s="9"/>
      <c r="B1606" s="9"/>
      <c r="C1606" s="3"/>
      <c r="D1606" s="3"/>
      <c r="E1606" s="3"/>
      <c r="F1606" s="3"/>
      <c r="G1606" s="3"/>
      <c r="H1606" s="3"/>
      <c r="I1606" s="3"/>
    </row>
    <row r="1607" spans="1:9" ht="15.75" customHeight="1" x14ac:dyDescent="0.2">
      <c r="A1607" s="9"/>
      <c r="B1607" s="9"/>
      <c r="C1607" s="3"/>
      <c r="D1607" s="3"/>
      <c r="E1607" s="3"/>
      <c r="F1607" s="3"/>
      <c r="G1607" s="3"/>
      <c r="H1607" s="3"/>
      <c r="I1607" s="3"/>
    </row>
    <row r="1608" spans="1:9" ht="15.75" customHeight="1" x14ac:dyDescent="0.2">
      <c r="A1608" s="9"/>
      <c r="B1608" s="9"/>
      <c r="C1608" s="3"/>
      <c r="D1608" s="3"/>
      <c r="E1608" s="3"/>
      <c r="F1608" s="3"/>
      <c r="G1608" s="3"/>
      <c r="H1608" s="3"/>
      <c r="I1608" s="3"/>
    </row>
    <row r="1609" spans="1:9" ht="15.75" customHeight="1" x14ac:dyDescent="0.2">
      <c r="A1609" s="9"/>
      <c r="B1609" s="9"/>
      <c r="C1609" s="3"/>
      <c r="D1609" s="3"/>
      <c r="E1609" s="3"/>
      <c r="F1609" s="3"/>
      <c r="G1609" s="3"/>
      <c r="H1609" s="3"/>
      <c r="I1609" s="3"/>
    </row>
    <row r="1610" spans="1:9" ht="15.75" customHeight="1" x14ac:dyDescent="0.2">
      <c r="A1610" s="9"/>
      <c r="B1610" s="9"/>
      <c r="C1610" s="3"/>
      <c r="D1610" s="3"/>
      <c r="E1610" s="3"/>
      <c r="F1610" s="3"/>
      <c r="G1610" s="3"/>
      <c r="H1610" s="3"/>
      <c r="I1610" s="3"/>
    </row>
    <row r="1611" spans="1:9" ht="15.75" customHeight="1" x14ac:dyDescent="0.2">
      <c r="A1611" s="9"/>
      <c r="B1611" s="9"/>
      <c r="C1611" s="3"/>
      <c r="D1611" s="3"/>
      <c r="E1611" s="3"/>
      <c r="F1611" s="3"/>
      <c r="G1611" s="3"/>
      <c r="H1611" s="3"/>
      <c r="I1611" s="3"/>
    </row>
    <row r="1612" spans="1:9" ht="15.75" customHeight="1" x14ac:dyDescent="0.2">
      <c r="A1612" s="9"/>
      <c r="B1612" s="9"/>
      <c r="C1612" s="3"/>
      <c r="D1612" s="3"/>
      <c r="E1612" s="3"/>
      <c r="F1612" s="3"/>
      <c r="G1612" s="3"/>
      <c r="H1612" s="3"/>
      <c r="I1612" s="3"/>
    </row>
    <row r="1613" spans="1:9" ht="15.75" customHeight="1" x14ac:dyDescent="0.2">
      <c r="A1613" s="9"/>
      <c r="B1613" s="9"/>
      <c r="C1613" s="3"/>
      <c r="D1613" s="3"/>
      <c r="E1613" s="3"/>
      <c r="F1613" s="3"/>
      <c r="G1613" s="3"/>
      <c r="H1613" s="3"/>
      <c r="I1613" s="3"/>
    </row>
    <row r="1614" spans="1:9" ht="15.75" customHeight="1" x14ac:dyDescent="0.2">
      <c r="A1614" s="9"/>
      <c r="B1614" s="9"/>
      <c r="C1614" s="3"/>
      <c r="D1614" s="3"/>
      <c r="E1614" s="3"/>
      <c r="F1614" s="3"/>
      <c r="G1614" s="3"/>
      <c r="H1614" s="3"/>
      <c r="I1614" s="3"/>
    </row>
    <row r="1615" spans="1:9" ht="15.75" customHeight="1" x14ac:dyDescent="0.2">
      <c r="A1615" s="9"/>
      <c r="B1615" s="9"/>
      <c r="C1615" s="3"/>
      <c r="D1615" s="3"/>
      <c r="E1615" s="3"/>
      <c r="F1615" s="3"/>
      <c r="G1615" s="3"/>
      <c r="H1615" s="3"/>
      <c r="I1615" s="3"/>
    </row>
    <row r="1616" spans="1:9" ht="15.75" customHeight="1" x14ac:dyDescent="0.2">
      <c r="A1616" s="9"/>
      <c r="B1616" s="9"/>
      <c r="C1616" s="3"/>
      <c r="D1616" s="3"/>
      <c r="E1616" s="3"/>
      <c r="F1616" s="3"/>
      <c r="G1616" s="3"/>
      <c r="H1616" s="3"/>
      <c r="I1616" s="3"/>
    </row>
    <row r="1617" spans="1:9" ht="15.75" customHeight="1" x14ac:dyDescent="0.2">
      <c r="A1617" s="9"/>
      <c r="B1617" s="9"/>
      <c r="C1617" s="3"/>
      <c r="D1617" s="3"/>
      <c r="E1617" s="3"/>
      <c r="F1617" s="3"/>
      <c r="G1617" s="3"/>
      <c r="H1617" s="3"/>
      <c r="I1617" s="3"/>
    </row>
    <row r="1618" spans="1:9" ht="15.75" customHeight="1" x14ac:dyDescent="0.2">
      <c r="A1618" s="9"/>
      <c r="B1618" s="9"/>
      <c r="C1618" s="3"/>
      <c r="D1618" s="3"/>
      <c r="E1618" s="3"/>
      <c r="F1618" s="3"/>
      <c r="G1618" s="3"/>
      <c r="H1618" s="3"/>
      <c r="I1618" s="3"/>
    </row>
    <row r="1619" spans="1:9" ht="15.75" customHeight="1" x14ac:dyDescent="0.2">
      <c r="A1619" s="9"/>
      <c r="B1619" s="9"/>
      <c r="C1619" s="3"/>
      <c r="D1619" s="3"/>
      <c r="E1619" s="3"/>
      <c r="F1619" s="3"/>
      <c r="G1619" s="3"/>
      <c r="H1619" s="3"/>
      <c r="I1619" s="3"/>
    </row>
    <row r="1620" spans="1:9" ht="15.75" customHeight="1" x14ac:dyDescent="0.2">
      <c r="A1620" s="9"/>
      <c r="B1620" s="9"/>
      <c r="C1620" s="3"/>
      <c r="D1620" s="3"/>
      <c r="E1620" s="3"/>
      <c r="F1620" s="3"/>
      <c r="G1620" s="3"/>
      <c r="H1620" s="3"/>
      <c r="I1620" s="3"/>
    </row>
    <row r="1621" spans="1:9" ht="15.75" customHeight="1" x14ac:dyDescent="0.2">
      <c r="A1621" s="9"/>
      <c r="B1621" s="9"/>
      <c r="C1621" s="3"/>
      <c r="D1621" s="3"/>
      <c r="E1621" s="3"/>
      <c r="F1621" s="3"/>
      <c r="G1621" s="3"/>
      <c r="H1621" s="3"/>
      <c r="I1621" s="3"/>
    </row>
    <row r="1622" spans="1:9" ht="15.75" customHeight="1" x14ac:dyDescent="0.2">
      <c r="A1622" s="9"/>
      <c r="B1622" s="9"/>
      <c r="C1622" s="3"/>
      <c r="D1622" s="3"/>
      <c r="E1622" s="3"/>
      <c r="F1622" s="3"/>
      <c r="G1622" s="3"/>
      <c r="H1622" s="3"/>
      <c r="I1622" s="3"/>
    </row>
    <row r="1623" spans="1:9" ht="15.75" customHeight="1" x14ac:dyDescent="0.2">
      <c r="A1623" s="9"/>
      <c r="B1623" s="9"/>
      <c r="C1623" s="3"/>
      <c r="D1623" s="3"/>
      <c r="E1623" s="3"/>
      <c r="F1623" s="3"/>
      <c r="G1623" s="3"/>
      <c r="H1623" s="3"/>
      <c r="I1623" s="3"/>
    </row>
    <row r="1624" spans="1:9" ht="15.75" customHeight="1" x14ac:dyDescent="0.2">
      <c r="A1624" s="9"/>
      <c r="B1624" s="9"/>
      <c r="C1624" s="3"/>
      <c r="D1624" s="3"/>
      <c r="E1624" s="3"/>
      <c r="F1624" s="3"/>
      <c r="G1624" s="3"/>
      <c r="H1624" s="3"/>
      <c r="I1624" s="3"/>
    </row>
    <row r="1625" spans="1:9" ht="15.75" customHeight="1" x14ac:dyDescent="0.2">
      <c r="A1625" s="9"/>
      <c r="B1625" s="9"/>
      <c r="C1625" s="3"/>
      <c r="D1625" s="3"/>
      <c r="E1625" s="3"/>
      <c r="F1625" s="3"/>
      <c r="G1625" s="3"/>
      <c r="H1625" s="3"/>
      <c r="I1625" s="3"/>
    </row>
    <row r="1626" spans="1:9" ht="15.75" customHeight="1" x14ac:dyDescent="0.2">
      <c r="A1626" s="9"/>
      <c r="B1626" s="9"/>
      <c r="C1626" s="3"/>
      <c r="D1626" s="3"/>
      <c r="E1626" s="3"/>
      <c r="F1626" s="3"/>
      <c r="G1626" s="3"/>
      <c r="H1626" s="3"/>
      <c r="I1626" s="3"/>
    </row>
    <row r="1627" spans="1:9" ht="15.75" customHeight="1" x14ac:dyDescent="0.2">
      <c r="A1627" s="9"/>
      <c r="B1627" s="9"/>
      <c r="C1627" s="3"/>
      <c r="D1627" s="3"/>
      <c r="E1627" s="3"/>
      <c r="F1627" s="3"/>
      <c r="G1627" s="3"/>
      <c r="H1627" s="3"/>
      <c r="I1627" s="3"/>
    </row>
    <row r="1628" spans="1:9" ht="15.75" customHeight="1" x14ac:dyDescent="0.2">
      <c r="A1628" s="9"/>
      <c r="B1628" s="9"/>
      <c r="C1628" s="3"/>
      <c r="D1628" s="3"/>
      <c r="E1628" s="3"/>
      <c r="F1628" s="3"/>
      <c r="G1628" s="3"/>
      <c r="H1628" s="3"/>
      <c r="I1628" s="3"/>
    </row>
    <row r="1629" spans="1:9" ht="15.75" customHeight="1" x14ac:dyDescent="0.2">
      <c r="A1629" s="9"/>
      <c r="B1629" s="9"/>
      <c r="C1629" s="3"/>
      <c r="D1629" s="3"/>
      <c r="E1629" s="3"/>
      <c r="F1629" s="3"/>
      <c r="G1629" s="3"/>
      <c r="H1629" s="3"/>
      <c r="I1629" s="3"/>
    </row>
    <row r="1630" spans="1:9" ht="15.75" customHeight="1" x14ac:dyDescent="0.2">
      <c r="A1630" s="9"/>
      <c r="B1630" s="9"/>
      <c r="C1630" s="3"/>
      <c r="D1630" s="3"/>
      <c r="E1630" s="3"/>
      <c r="F1630" s="3"/>
      <c r="G1630" s="3"/>
      <c r="H1630" s="3"/>
      <c r="I1630" s="3"/>
    </row>
    <row r="1631" spans="1:9" ht="15.75" customHeight="1" x14ac:dyDescent="0.2">
      <c r="A1631" s="9"/>
      <c r="B1631" s="9"/>
      <c r="C1631" s="3"/>
      <c r="D1631" s="3"/>
      <c r="E1631" s="3"/>
      <c r="F1631" s="3"/>
      <c r="G1631" s="3"/>
      <c r="H1631" s="3"/>
      <c r="I1631" s="3"/>
    </row>
    <row r="1632" spans="1:9" ht="15.75" customHeight="1" x14ac:dyDescent="0.2">
      <c r="A1632" s="9"/>
      <c r="B1632" s="9"/>
      <c r="C1632" s="3"/>
      <c r="D1632" s="3"/>
      <c r="E1632" s="3"/>
      <c r="F1632" s="3"/>
      <c r="G1632" s="3"/>
      <c r="H1632" s="3"/>
      <c r="I1632" s="3"/>
    </row>
    <row r="1633" spans="1:9" ht="15.75" customHeight="1" x14ac:dyDescent="0.2">
      <c r="A1633" s="9"/>
      <c r="B1633" s="9"/>
      <c r="C1633" s="3"/>
      <c r="D1633" s="3"/>
      <c r="E1633" s="3"/>
      <c r="F1633" s="3"/>
      <c r="G1633" s="3"/>
      <c r="H1633" s="3"/>
      <c r="I1633" s="3"/>
    </row>
    <row r="1634" spans="1:9" ht="15.75" customHeight="1" x14ac:dyDescent="0.2">
      <c r="A1634" s="9"/>
      <c r="B1634" s="9"/>
      <c r="C1634" s="3"/>
      <c r="D1634" s="3"/>
      <c r="E1634" s="3"/>
      <c r="F1634" s="3"/>
      <c r="G1634" s="3"/>
      <c r="H1634" s="3"/>
      <c r="I1634" s="3"/>
    </row>
    <row r="1635" spans="1:9" ht="15.75" customHeight="1" x14ac:dyDescent="0.2">
      <c r="A1635" s="9"/>
      <c r="B1635" s="9"/>
      <c r="C1635" s="3"/>
      <c r="D1635" s="3"/>
      <c r="E1635" s="3"/>
      <c r="F1635" s="3"/>
      <c r="G1635" s="3"/>
      <c r="H1635" s="3"/>
      <c r="I1635" s="3"/>
    </row>
    <row r="1636" spans="1:9" ht="15.75" customHeight="1" x14ac:dyDescent="0.2">
      <c r="A1636" s="9"/>
      <c r="B1636" s="9"/>
      <c r="C1636" s="3"/>
      <c r="D1636" s="3"/>
      <c r="E1636" s="3"/>
      <c r="F1636" s="3"/>
      <c r="G1636" s="3"/>
      <c r="H1636" s="3"/>
      <c r="I1636" s="3"/>
    </row>
    <row r="1637" spans="1:9" ht="15.75" customHeight="1" x14ac:dyDescent="0.2">
      <c r="A1637" s="9"/>
      <c r="B1637" s="9"/>
      <c r="C1637" s="3"/>
      <c r="D1637" s="3"/>
      <c r="E1637" s="3"/>
      <c r="F1637" s="3"/>
      <c r="G1637" s="3"/>
      <c r="H1637" s="3"/>
      <c r="I1637" s="3"/>
    </row>
    <row r="1638" spans="1:9" ht="15.75" customHeight="1" x14ac:dyDescent="0.2">
      <c r="A1638" s="9"/>
      <c r="B1638" s="9"/>
      <c r="C1638" s="3"/>
      <c r="D1638" s="3"/>
      <c r="E1638" s="3"/>
      <c r="F1638" s="3"/>
      <c r="G1638" s="3"/>
      <c r="H1638" s="3"/>
      <c r="I1638" s="3"/>
    </row>
    <row r="1639" spans="1:9" ht="15.75" customHeight="1" x14ac:dyDescent="0.2">
      <c r="A1639" s="9"/>
      <c r="B1639" s="9"/>
      <c r="C1639" s="3"/>
      <c r="D1639" s="3"/>
      <c r="E1639" s="3"/>
      <c r="F1639" s="3"/>
      <c r="G1639" s="3"/>
      <c r="H1639" s="3"/>
      <c r="I1639" s="3"/>
    </row>
    <row r="1640" spans="1:9" ht="15.75" customHeight="1" x14ac:dyDescent="0.2">
      <c r="A1640" s="9"/>
      <c r="B1640" s="9"/>
      <c r="C1640" s="3"/>
      <c r="D1640" s="3"/>
      <c r="E1640" s="3"/>
      <c r="F1640" s="3"/>
      <c r="G1640" s="3"/>
      <c r="H1640" s="3"/>
      <c r="I1640" s="3"/>
    </row>
    <row r="1641" spans="1:9" ht="15.75" customHeight="1" x14ac:dyDescent="0.2">
      <c r="A1641" s="9"/>
      <c r="B1641" s="9"/>
      <c r="C1641" s="3"/>
      <c r="D1641" s="3"/>
      <c r="E1641" s="3"/>
      <c r="F1641" s="3"/>
      <c r="G1641" s="3"/>
      <c r="H1641" s="3"/>
      <c r="I1641" s="3"/>
    </row>
    <row r="1642" spans="1:9" ht="15.75" customHeight="1" x14ac:dyDescent="0.2">
      <c r="A1642" s="9"/>
      <c r="B1642" s="9"/>
      <c r="C1642" s="3"/>
      <c r="D1642" s="3"/>
      <c r="E1642" s="3"/>
      <c r="F1642" s="3"/>
      <c r="G1642" s="3"/>
      <c r="H1642" s="3"/>
      <c r="I1642" s="3"/>
    </row>
    <row r="1643" spans="1:9" ht="15.75" customHeight="1" x14ac:dyDescent="0.2">
      <c r="A1643" s="9"/>
      <c r="B1643" s="9"/>
      <c r="C1643" s="3"/>
      <c r="D1643" s="3"/>
      <c r="E1643" s="3"/>
      <c r="F1643" s="3"/>
      <c r="G1643" s="3"/>
      <c r="H1643" s="3"/>
      <c r="I1643" s="3"/>
    </row>
    <row r="1644" spans="1:9" ht="15.75" customHeight="1" x14ac:dyDescent="0.2">
      <c r="A1644" s="9"/>
      <c r="B1644" s="9"/>
      <c r="C1644" s="3"/>
      <c r="D1644" s="3"/>
      <c r="E1644" s="3"/>
      <c r="F1644" s="3"/>
      <c r="G1644" s="3"/>
      <c r="H1644" s="3"/>
      <c r="I1644" s="3"/>
    </row>
    <row r="1645" spans="1:9" ht="15.75" customHeight="1" x14ac:dyDescent="0.2">
      <c r="A1645" s="9"/>
      <c r="B1645" s="9"/>
      <c r="C1645" s="3"/>
      <c r="D1645" s="3"/>
      <c r="E1645" s="3"/>
      <c r="F1645" s="3"/>
      <c r="G1645" s="3"/>
      <c r="H1645" s="3"/>
      <c r="I1645" s="3"/>
    </row>
    <row r="1646" spans="1:9" ht="15.75" customHeight="1" x14ac:dyDescent="0.2">
      <c r="A1646" s="9"/>
      <c r="B1646" s="9"/>
      <c r="C1646" s="3"/>
      <c r="D1646" s="3"/>
      <c r="E1646" s="3"/>
      <c r="F1646" s="3"/>
      <c r="G1646" s="3"/>
      <c r="H1646" s="3"/>
      <c r="I1646" s="3"/>
    </row>
    <row r="1647" spans="1:9" ht="15.75" customHeight="1" x14ac:dyDescent="0.2">
      <c r="A1647" s="9"/>
      <c r="B1647" s="9"/>
      <c r="C1647" s="3"/>
      <c r="D1647" s="3"/>
      <c r="E1647" s="3"/>
      <c r="F1647" s="3"/>
      <c r="G1647" s="3"/>
      <c r="H1647" s="3"/>
      <c r="I1647" s="3"/>
    </row>
    <row r="1648" spans="1:9" ht="15.75" customHeight="1" x14ac:dyDescent="0.2">
      <c r="A1648" s="9"/>
      <c r="B1648" s="9"/>
      <c r="C1648" s="3"/>
      <c r="D1648" s="3"/>
      <c r="E1648" s="3"/>
      <c r="F1648" s="3"/>
      <c r="G1648" s="3"/>
      <c r="H1648" s="3"/>
      <c r="I1648" s="3"/>
    </row>
    <row r="1649" spans="1:9" ht="15.75" customHeight="1" x14ac:dyDescent="0.2">
      <c r="A1649" s="9"/>
      <c r="B1649" s="9"/>
      <c r="C1649" s="3"/>
      <c r="D1649" s="3"/>
      <c r="E1649" s="3"/>
      <c r="F1649" s="3"/>
      <c r="G1649" s="3"/>
      <c r="H1649" s="3"/>
      <c r="I1649" s="3"/>
    </row>
    <row r="1650" spans="1:9" ht="15.75" customHeight="1" x14ac:dyDescent="0.2">
      <c r="A1650" s="9"/>
      <c r="B1650" s="9"/>
      <c r="C1650" s="3"/>
      <c r="D1650" s="3"/>
      <c r="E1650" s="3"/>
      <c r="F1650" s="3"/>
      <c r="G1650" s="3"/>
      <c r="H1650" s="3"/>
      <c r="I1650" s="3"/>
    </row>
    <row r="1651" spans="1:9" ht="15.75" customHeight="1" x14ac:dyDescent="0.2">
      <c r="A1651" s="9"/>
      <c r="B1651" s="9"/>
      <c r="C1651" s="3"/>
      <c r="D1651" s="3"/>
      <c r="E1651" s="3"/>
      <c r="F1651" s="3"/>
      <c r="G1651" s="3"/>
      <c r="H1651" s="3"/>
      <c r="I1651" s="3"/>
    </row>
    <row r="1652" spans="1:9" ht="15.75" customHeight="1" x14ac:dyDescent="0.2">
      <c r="A1652" s="9"/>
      <c r="B1652" s="9"/>
      <c r="C1652" s="3"/>
      <c r="D1652" s="3"/>
      <c r="E1652" s="3"/>
      <c r="F1652" s="3"/>
      <c r="G1652" s="3"/>
      <c r="H1652" s="3"/>
      <c r="I1652" s="3"/>
    </row>
    <row r="1653" spans="1:9" ht="15.75" customHeight="1" x14ac:dyDescent="0.2">
      <c r="A1653" s="9"/>
      <c r="B1653" s="9"/>
      <c r="C1653" s="3"/>
      <c r="D1653" s="3"/>
      <c r="E1653" s="3"/>
      <c r="F1653" s="3"/>
      <c r="G1653" s="3"/>
      <c r="H1653" s="3"/>
      <c r="I1653" s="3"/>
    </row>
    <row r="1654" spans="1:9" ht="15.75" customHeight="1" x14ac:dyDescent="0.2">
      <c r="A1654" s="9"/>
      <c r="B1654" s="9"/>
      <c r="C1654" s="3"/>
      <c r="D1654" s="3"/>
      <c r="E1654" s="3"/>
      <c r="F1654" s="3"/>
      <c r="G1654" s="3"/>
      <c r="H1654" s="3"/>
      <c r="I1654" s="3"/>
    </row>
    <row r="1655" spans="1:9" ht="15.75" customHeight="1" x14ac:dyDescent="0.2">
      <c r="A1655" s="9"/>
      <c r="B1655" s="9"/>
      <c r="C1655" s="3"/>
      <c r="D1655" s="3"/>
      <c r="E1655" s="3"/>
      <c r="F1655" s="3"/>
      <c r="G1655" s="3"/>
      <c r="H1655" s="3"/>
      <c r="I1655" s="3"/>
    </row>
    <row r="1656" spans="1:9" ht="15.75" customHeight="1" x14ac:dyDescent="0.2">
      <c r="A1656" s="9"/>
      <c r="B1656" s="9"/>
      <c r="C1656" s="3"/>
      <c r="D1656" s="3"/>
      <c r="E1656" s="3"/>
      <c r="F1656" s="3"/>
      <c r="G1656" s="3"/>
      <c r="H1656" s="3"/>
      <c r="I1656" s="3"/>
    </row>
    <row r="1657" spans="1:9" ht="15.75" customHeight="1" x14ac:dyDescent="0.2">
      <c r="A1657" s="9"/>
      <c r="B1657" s="9"/>
      <c r="C1657" s="3"/>
      <c r="D1657" s="3"/>
      <c r="E1657" s="3"/>
      <c r="F1657" s="3"/>
      <c r="G1657" s="3"/>
      <c r="H1657" s="3"/>
      <c r="I1657" s="3"/>
    </row>
    <row r="1658" spans="1:9" ht="15.75" customHeight="1" x14ac:dyDescent="0.2">
      <c r="A1658" s="9"/>
      <c r="B1658" s="9"/>
      <c r="C1658" s="3"/>
      <c r="D1658" s="3"/>
      <c r="E1658" s="3"/>
      <c r="F1658" s="3"/>
      <c r="G1658" s="3"/>
      <c r="H1658" s="3"/>
      <c r="I1658" s="3"/>
    </row>
    <row r="1659" spans="1:9" ht="15.75" customHeight="1" x14ac:dyDescent="0.2">
      <c r="A1659" s="9"/>
      <c r="B1659" s="9"/>
      <c r="C1659" s="3"/>
      <c r="D1659" s="3"/>
      <c r="E1659" s="3"/>
      <c r="F1659" s="3"/>
      <c r="G1659" s="3"/>
      <c r="H1659" s="3"/>
      <c r="I1659" s="3"/>
    </row>
    <row r="1660" spans="1:9" ht="15.75" customHeight="1" x14ac:dyDescent="0.2">
      <c r="A1660" s="9"/>
      <c r="B1660" s="9"/>
      <c r="C1660" s="3"/>
      <c r="D1660" s="3"/>
      <c r="E1660" s="3"/>
      <c r="F1660" s="3"/>
      <c r="G1660" s="3"/>
      <c r="H1660" s="3"/>
      <c r="I1660" s="3"/>
    </row>
    <row r="1661" spans="1:9" ht="15.75" customHeight="1" x14ac:dyDescent="0.2">
      <c r="A1661" s="9"/>
      <c r="B1661" s="9"/>
      <c r="C1661" s="3"/>
      <c r="D1661" s="3"/>
      <c r="E1661" s="3"/>
      <c r="F1661" s="3"/>
      <c r="G1661" s="3"/>
      <c r="H1661" s="3"/>
      <c r="I1661" s="3"/>
    </row>
    <row r="1662" spans="1:9" ht="15.75" customHeight="1" x14ac:dyDescent="0.2">
      <c r="A1662" s="9"/>
      <c r="B1662" s="9"/>
      <c r="C1662" s="3"/>
      <c r="D1662" s="3"/>
      <c r="E1662" s="3"/>
      <c r="F1662" s="3"/>
      <c r="G1662" s="3"/>
      <c r="H1662" s="3"/>
      <c r="I1662" s="3"/>
    </row>
    <row r="1663" spans="1:9" ht="15.75" customHeight="1" x14ac:dyDescent="0.2">
      <c r="A1663" s="9"/>
      <c r="B1663" s="9"/>
      <c r="C1663" s="3"/>
      <c r="D1663" s="3"/>
      <c r="E1663" s="3"/>
      <c r="F1663" s="3"/>
      <c r="G1663" s="3"/>
      <c r="H1663" s="3"/>
      <c r="I1663" s="3"/>
    </row>
    <row r="1664" spans="1:9" ht="15.75" customHeight="1" x14ac:dyDescent="0.2">
      <c r="A1664" s="9"/>
      <c r="B1664" s="9"/>
      <c r="C1664" s="3"/>
      <c r="D1664" s="3"/>
      <c r="E1664" s="3"/>
      <c r="F1664" s="3"/>
      <c r="G1664" s="3"/>
      <c r="H1664" s="3"/>
      <c r="I1664" s="3"/>
    </row>
    <row r="1665" spans="1:9" ht="15.75" customHeight="1" x14ac:dyDescent="0.2">
      <c r="A1665" s="9"/>
      <c r="B1665" s="9"/>
      <c r="C1665" s="3"/>
      <c r="D1665" s="3"/>
      <c r="E1665" s="3"/>
      <c r="F1665" s="3"/>
      <c r="G1665" s="3"/>
      <c r="H1665" s="3"/>
      <c r="I1665" s="3"/>
    </row>
    <row r="1666" spans="1:9" ht="15.75" customHeight="1" x14ac:dyDescent="0.2">
      <c r="A1666" s="9"/>
      <c r="B1666" s="9"/>
      <c r="C1666" s="3"/>
      <c r="D1666" s="3"/>
      <c r="E1666" s="3"/>
      <c r="F1666" s="3"/>
      <c r="G1666" s="3"/>
      <c r="H1666" s="3"/>
      <c r="I1666" s="3"/>
    </row>
    <row r="1667" spans="1:9" ht="15.75" customHeight="1" x14ac:dyDescent="0.2">
      <c r="A1667" s="9"/>
      <c r="B1667" s="9"/>
      <c r="C1667" s="3"/>
      <c r="D1667" s="3"/>
      <c r="E1667" s="3"/>
      <c r="F1667" s="3"/>
      <c r="G1667" s="3"/>
      <c r="H1667" s="3"/>
      <c r="I1667" s="3"/>
    </row>
    <row r="1668" spans="1:9" ht="15.75" customHeight="1" x14ac:dyDescent="0.2">
      <c r="A1668" s="9"/>
      <c r="B1668" s="9"/>
      <c r="C1668" s="3"/>
      <c r="D1668" s="3"/>
      <c r="E1668" s="3"/>
      <c r="F1668" s="3"/>
      <c r="G1668" s="3"/>
      <c r="H1668" s="3"/>
      <c r="I1668" s="3"/>
    </row>
    <row r="1669" spans="1:9" ht="15.75" customHeight="1" x14ac:dyDescent="0.2">
      <c r="A1669" s="9"/>
      <c r="B1669" s="9"/>
      <c r="C1669" s="3"/>
      <c r="D1669" s="3"/>
      <c r="E1669" s="3"/>
      <c r="F1669" s="3"/>
      <c r="G1669" s="3"/>
      <c r="H1669" s="3"/>
      <c r="I1669" s="3"/>
    </row>
    <row r="1670" spans="1:9" ht="15.75" customHeight="1" x14ac:dyDescent="0.2">
      <c r="A1670" s="9"/>
      <c r="B1670" s="9"/>
      <c r="C1670" s="3"/>
      <c r="D1670" s="3"/>
      <c r="E1670" s="3"/>
      <c r="F1670" s="3"/>
      <c r="G1670" s="3"/>
      <c r="H1670" s="3"/>
      <c r="I1670" s="3"/>
    </row>
    <row r="1671" spans="1:9" ht="15.75" customHeight="1" x14ac:dyDescent="0.2">
      <c r="A1671" s="9"/>
      <c r="B1671" s="9"/>
      <c r="C1671" s="3"/>
      <c r="D1671" s="3"/>
      <c r="E1671" s="3"/>
      <c r="F1671" s="3"/>
      <c r="G1671" s="3"/>
      <c r="H1671" s="3"/>
      <c r="I1671" s="3"/>
    </row>
    <row r="1672" spans="1:9" ht="15.75" customHeight="1" x14ac:dyDescent="0.2">
      <c r="A1672" s="9"/>
      <c r="B1672" s="9"/>
      <c r="C1672" s="3"/>
      <c r="D1672" s="3"/>
      <c r="E1672" s="3"/>
      <c r="F1672" s="3"/>
      <c r="G1672" s="3"/>
      <c r="H1672" s="3"/>
      <c r="I1672" s="3"/>
    </row>
    <row r="1673" spans="1:9" ht="15.75" customHeight="1" x14ac:dyDescent="0.2">
      <c r="A1673" s="9"/>
      <c r="B1673" s="9"/>
      <c r="C1673" s="3"/>
      <c r="D1673" s="3"/>
      <c r="E1673" s="3"/>
      <c r="F1673" s="3"/>
      <c r="G1673" s="3"/>
      <c r="H1673" s="3"/>
      <c r="I1673" s="3"/>
    </row>
    <row r="1674" spans="1:9" ht="15.75" customHeight="1" x14ac:dyDescent="0.2">
      <c r="A1674" s="9"/>
      <c r="B1674" s="9"/>
      <c r="C1674" s="3"/>
      <c r="D1674" s="3"/>
      <c r="E1674" s="3"/>
      <c r="F1674" s="3"/>
      <c r="G1674" s="3"/>
      <c r="H1674" s="3"/>
      <c r="I1674" s="3"/>
    </row>
    <row r="1675" spans="1:9" ht="15.75" customHeight="1" x14ac:dyDescent="0.2">
      <c r="A1675" s="9"/>
      <c r="B1675" s="9"/>
      <c r="C1675" s="3"/>
      <c r="D1675" s="3"/>
      <c r="E1675" s="3"/>
      <c r="F1675" s="3"/>
      <c r="G1675" s="3"/>
      <c r="H1675" s="3"/>
      <c r="I1675" s="3"/>
    </row>
    <row r="1676" spans="1:9" ht="15.75" customHeight="1" x14ac:dyDescent="0.2">
      <c r="A1676" s="9"/>
      <c r="B1676" s="9"/>
      <c r="C1676" s="3"/>
      <c r="D1676" s="3"/>
      <c r="E1676" s="3"/>
      <c r="F1676" s="3"/>
      <c r="G1676" s="3"/>
      <c r="H1676" s="3"/>
      <c r="I1676" s="3"/>
    </row>
    <row r="1677" spans="1:9" ht="15.75" customHeight="1" x14ac:dyDescent="0.2">
      <c r="A1677" s="9"/>
      <c r="B1677" s="9"/>
      <c r="C1677" s="3"/>
      <c r="D1677" s="3"/>
      <c r="E1677" s="3"/>
      <c r="F1677" s="3"/>
      <c r="G1677" s="3"/>
      <c r="H1677" s="3"/>
      <c r="I1677" s="3"/>
    </row>
    <row r="1678" spans="1:9" ht="15.75" customHeight="1" x14ac:dyDescent="0.2">
      <c r="A1678" s="9"/>
      <c r="B1678" s="9"/>
      <c r="C1678" s="3"/>
      <c r="D1678" s="3"/>
      <c r="E1678" s="3"/>
      <c r="F1678" s="3"/>
      <c r="G1678" s="3"/>
      <c r="H1678" s="3"/>
      <c r="I1678" s="3"/>
    </row>
    <row r="1679" spans="1:9" ht="15.75" customHeight="1" x14ac:dyDescent="0.2">
      <c r="A1679" s="9"/>
      <c r="B1679" s="9"/>
      <c r="C1679" s="3"/>
      <c r="D1679" s="3"/>
      <c r="E1679" s="3"/>
      <c r="F1679" s="3"/>
      <c r="G1679" s="3"/>
      <c r="H1679" s="3"/>
      <c r="I1679" s="3"/>
    </row>
    <row r="1680" spans="1:9" ht="15.75" customHeight="1" x14ac:dyDescent="0.2">
      <c r="A1680" s="9"/>
      <c r="B1680" s="9"/>
      <c r="C1680" s="3"/>
      <c r="D1680" s="3"/>
      <c r="E1680" s="3"/>
      <c r="F1680" s="3"/>
      <c r="G1680" s="3"/>
      <c r="H1680" s="3"/>
      <c r="I1680" s="3"/>
    </row>
    <row r="1681" spans="1:9" ht="15.75" customHeight="1" x14ac:dyDescent="0.2">
      <c r="A1681" s="9"/>
      <c r="B1681" s="9"/>
      <c r="C1681" s="3"/>
      <c r="D1681" s="3"/>
      <c r="E1681" s="3"/>
      <c r="F1681" s="3"/>
      <c r="G1681" s="3"/>
      <c r="H1681" s="3"/>
      <c r="I1681" s="3"/>
    </row>
    <row r="1682" spans="1:9" ht="15.75" customHeight="1" x14ac:dyDescent="0.2">
      <c r="A1682" s="9"/>
      <c r="B1682" s="9"/>
      <c r="C1682" s="3"/>
      <c r="D1682" s="3"/>
      <c r="E1682" s="3"/>
      <c r="F1682" s="3"/>
      <c r="G1682" s="3"/>
      <c r="H1682" s="3"/>
      <c r="I1682" s="3"/>
    </row>
    <row r="1683" spans="1:9" ht="15.75" customHeight="1" x14ac:dyDescent="0.2">
      <c r="A1683" s="9"/>
      <c r="B1683" s="9"/>
      <c r="C1683" s="3"/>
      <c r="D1683" s="3"/>
      <c r="E1683" s="3"/>
      <c r="F1683" s="3"/>
      <c r="G1683" s="3"/>
      <c r="H1683" s="3"/>
      <c r="I1683" s="3"/>
    </row>
    <row r="1684" spans="1:9" ht="15.75" customHeight="1" x14ac:dyDescent="0.2">
      <c r="A1684" s="9"/>
      <c r="B1684" s="9"/>
      <c r="C1684" s="3"/>
      <c r="D1684" s="3"/>
      <c r="E1684" s="3"/>
      <c r="F1684" s="3"/>
      <c r="G1684" s="3"/>
      <c r="H1684" s="3"/>
      <c r="I1684" s="3"/>
    </row>
    <row r="1685" spans="1:9" ht="15.75" customHeight="1" x14ac:dyDescent="0.2">
      <c r="A1685" s="9"/>
      <c r="B1685" s="9"/>
      <c r="C1685" s="3"/>
      <c r="D1685" s="3"/>
      <c r="E1685" s="3"/>
      <c r="F1685" s="3"/>
      <c r="G1685" s="3"/>
      <c r="H1685" s="3"/>
      <c r="I1685" s="3"/>
    </row>
    <row r="1686" spans="1:9" ht="15.75" customHeight="1" x14ac:dyDescent="0.2">
      <c r="A1686" s="9"/>
      <c r="B1686" s="9"/>
      <c r="C1686" s="3"/>
      <c r="D1686" s="3"/>
      <c r="E1686" s="3"/>
      <c r="F1686" s="3"/>
      <c r="G1686" s="3"/>
      <c r="H1686" s="3"/>
      <c r="I1686" s="3"/>
    </row>
    <row r="1687" spans="1:9" ht="15.75" customHeight="1" x14ac:dyDescent="0.2">
      <c r="A1687" s="9"/>
      <c r="B1687" s="9"/>
      <c r="C1687" s="3"/>
      <c r="D1687" s="3"/>
      <c r="E1687" s="3"/>
      <c r="F1687" s="3"/>
      <c r="G1687" s="3"/>
      <c r="H1687" s="3"/>
      <c r="I1687" s="3"/>
    </row>
    <row r="1688" spans="1:9" ht="15.75" customHeight="1" x14ac:dyDescent="0.2">
      <c r="A1688" s="9"/>
      <c r="B1688" s="9"/>
      <c r="C1688" s="3"/>
      <c r="D1688" s="3"/>
      <c r="E1688" s="3"/>
      <c r="F1688" s="3"/>
      <c r="G1688" s="3"/>
      <c r="H1688" s="3"/>
      <c r="I1688" s="3"/>
    </row>
    <row r="1689" spans="1:9" ht="15.75" customHeight="1" x14ac:dyDescent="0.2">
      <c r="A1689" s="9"/>
      <c r="B1689" s="9"/>
      <c r="C1689" s="3"/>
      <c r="D1689" s="3"/>
      <c r="E1689" s="3"/>
      <c r="F1689" s="3"/>
      <c r="G1689" s="3"/>
      <c r="H1689" s="3"/>
      <c r="I1689" s="3"/>
    </row>
    <row r="1690" spans="1:9" ht="15.75" customHeight="1" x14ac:dyDescent="0.2">
      <c r="A1690" s="9"/>
      <c r="B1690" s="9"/>
      <c r="C1690" s="3"/>
      <c r="D1690" s="3"/>
      <c r="E1690" s="3"/>
      <c r="F1690" s="3"/>
      <c r="G1690" s="3"/>
      <c r="H1690" s="3"/>
      <c r="I1690" s="3"/>
    </row>
    <row r="1691" spans="1:9" ht="15.75" customHeight="1" x14ac:dyDescent="0.2">
      <c r="A1691" s="9"/>
      <c r="B1691" s="9"/>
      <c r="C1691" s="3"/>
      <c r="D1691" s="3"/>
      <c r="E1691" s="3"/>
      <c r="F1691" s="3"/>
      <c r="G1691" s="3"/>
      <c r="H1691" s="3"/>
      <c r="I1691" s="3"/>
    </row>
    <row r="1692" spans="1:9" ht="15.75" customHeight="1" x14ac:dyDescent="0.2">
      <c r="A1692" s="9"/>
      <c r="B1692" s="9"/>
      <c r="C1692" s="3"/>
      <c r="D1692" s="3"/>
      <c r="E1692" s="3"/>
      <c r="F1692" s="3"/>
      <c r="G1692" s="3"/>
      <c r="H1692" s="3"/>
      <c r="I1692" s="3"/>
    </row>
    <row r="1693" spans="1:9" ht="15.75" customHeight="1" x14ac:dyDescent="0.2">
      <c r="A1693" s="9"/>
      <c r="B1693" s="9"/>
      <c r="C1693" s="3"/>
      <c r="D1693" s="3"/>
      <c r="E1693" s="3"/>
      <c r="F1693" s="3"/>
      <c r="G1693" s="3"/>
      <c r="H1693" s="3"/>
      <c r="I1693" s="3"/>
    </row>
    <row r="1694" spans="1:9" ht="15.75" customHeight="1" x14ac:dyDescent="0.2">
      <c r="A1694" s="9"/>
      <c r="B1694" s="9"/>
      <c r="C1694" s="3"/>
      <c r="D1694" s="3"/>
      <c r="E1694" s="3"/>
      <c r="F1694" s="3"/>
      <c r="G1694" s="3"/>
      <c r="H1694" s="3"/>
      <c r="I1694" s="3"/>
    </row>
    <row r="1695" spans="1:9" ht="15.75" customHeight="1" x14ac:dyDescent="0.2">
      <c r="A1695" s="9"/>
      <c r="B1695" s="9"/>
      <c r="C1695" s="3"/>
      <c r="D1695" s="3"/>
      <c r="E1695" s="3"/>
      <c r="F1695" s="3"/>
      <c r="G1695" s="3"/>
      <c r="H1695" s="3"/>
      <c r="I1695" s="3"/>
    </row>
    <row r="1696" spans="1:9" ht="15.75" customHeight="1" x14ac:dyDescent="0.2">
      <c r="A1696" s="9"/>
      <c r="B1696" s="9"/>
      <c r="C1696" s="3"/>
      <c r="D1696" s="3"/>
      <c r="E1696" s="3"/>
      <c r="F1696" s="3"/>
      <c r="G1696" s="3"/>
      <c r="H1696" s="3"/>
      <c r="I1696" s="3"/>
    </row>
    <row r="1697" spans="1:9" ht="15.75" customHeight="1" x14ac:dyDescent="0.2">
      <c r="A1697" s="9"/>
      <c r="B1697" s="9"/>
      <c r="C1697" s="3"/>
      <c r="D1697" s="3"/>
      <c r="E1697" s="3"/>
      <c r="F1697" s="3"/>
      <c r="G1697" s="3"/>
      <c r="H1697" s="3"/>
      <c r="I1697" s="3"/>
    </row>
    <row r="1698" spans="1:9" ht="15.75" customHeight="1" x14ac:dyDescent="0.2">
      <c r="A1698" s="9"/>
      <c r="B1698" s="9"/>
      <c r="C1698" s="3"/>
      <c r="D1698" s="3"/>
      <c r="E1698" s="3"/>
      <c r="F1698" s="3"/>
      <c r="G1698" s="3"/>
      <c r="H1698" s="3"/>
      <c r="I1698" s="3"/>
    </row>
    <row r="1699" spans="1:9" ht="15.75" customHeight="1" x14ac:dyDescent="0.2">
      <c r="A1699" s="9"/>
      <c r="B1699" s="9"/>
      <c r="C1699" s="3"/>
      <c r="D1699" s="3"/>
      <c r="E1699" s="3"/>
      <c r="F1699" s="3"/>
      <c r="G1699" s="3"/>
      <c r="H1699" s="3"/>
      <c r="I1699" s="3"/>
    </row>
    <row r="1700" spans="1:9" ht="15.75" customHeight="1" x14ac:dyDescent="0.2">
      <c r="A1700" s="9"/>
      <c r="B1700" s="9"/>
      <c r="C1700" s="3"/>
      <c r="D1700" s="3"/>
      <c r="E1700" s="3"/>
      <c r="F1700" s="3"/>
      <c r="G1700" s="3"/>
      <c r="H1700" s="3"/>
      <c r="I1700" s="3"/>
    </row>
    <row r="1701" spans="1:9" ht="15.75" customHeight="1" x14ac:dyDescent="0.2">
      <c r="A1701" s="9"/>
      <c r="B1701" s="9"/>
      <c r="C1701" s="3"/>
      <c r="D1701" s="3"/>
      <c r="E1701" s="3"/>
      <c r="F1701" s="3"/>
      <c r="G1701" s="3"/>
      <c r="H1701" s="3"/>
      <c r="I1701" s="3"/>
    </row>
    <row r="1702" spans="1:9" ht="15.75" customHeight="1" x14ac:dyDescent="0.2">
      <c r="A1702" s="9"/>
      <c r="B1702" s="9"/>
      <c r="C1702" s="3"/>
      <c r="D1702" s="3"/>
      <c r="E1702" s="3"/>
      <c r="F1702" s="3"/>
      <c r="G1702" s="3"/>
      <c r="H1702" s="3"/>
      <c r="I1702" s="3"/>
    </row>
    <row r="1703" spans="1:9" ht="15.75" customHeight="1" x14ac:dyDescent="0.2">
      <c r="A1703" s="9"/>
      <c r="B1703" s="9"/>
      <c r="C1703" s="3"/>
      <c r="D1703" s="3"/>
      <c r="E1703" s="3"/>
      <c r="F1703" s="3"/>
      <c r="G1703" s="3"/>
      <c r="H1703" s="3"/>
      <c r="I1703" s="3"/>
    </row>
    <row r="1704" spans="1:9" ht="15.75" customHeight="1" x14ac:dyDescent="0.2">
      <c r="A1704" s="9"/>
      <c r="B1704" s="9"/>
      <c r="C1704" s="3"/>
      <c r="D1704" s="3"/>
      <c r="E1704" s="3"/>
      <c r="F1704" s="3"/>
      <c r="G1704" s="3"/>
      <c r="H1704" s="3"/>
      <c r="I1704" s="3"/>
    </row>
    <row r="1705" spans="1:9" ht="15.75" customHeight="1" x14ac:dyDescent="0.2">
      <c r="A1705" s="9"/>
      <c r="B1705" s="9"/>
      <c r="C1705" s="3"/>
      <c r="D1705" s="3"/>
      <c r="E1705" s="3"/>
      <c r="F1705" s="3"/>
      <c r="G1705" s="3"/>
      <c r="H1705" s="3"/>
      <c r="I1705" s="3"/>
    </row>
    <row r="1706" spans="1:9" ht="15.75" customHeight="1" x14ac:dyDescent="0.2">
      <c r="A1706" s="9"/>
      <c r="B1706" s="9"/>
      <c r="C1706" s="3"/>
      <c r="D1706" s="3"/>
      <c r="E1706" s="3"/>
      <c r="F1706" s="3"/>
      <c r="G1706" s="3"/>
      <c r="H1706" s="3"/>
      <c r="I1706" s="3"/>
    </row>
    <row r="1707" spans="1:9" ht="15.75" customHeight="1" x14ac:dyDescent="0.2">
      <c r="A1707" s="9"/>
      <c r="B1707" s="9"/>
      <c r="C1707" s="3"/>
      <c r="D1707" s="3"/>
      <c r="E1707" s="3"/>
      <c r="F1707" s="3"/>
      <c r="G1707" s="3"/>
      <c r="H1707" s="3"/>
      <c r="I1707" s="3"/>
    </row>
    <row r="1708" spans="1:9" ht="15.75" customHeight="1" x14ac:dyDescent="0.2">
      <c r="A1708" s="9"/>
      <c r="B1708" s="9"/>
      <c r="C1708" s="3"/>
      <c r="D1708" s="3"/>
      <c r="E1708" s="3"/>
      <c r="F1708" s="3"/>
      <c r="G1708" s="3"/>
      <c r="H1708" s="3"/>
      <c r="I1708" s="3"/>
    </row>
    <row r="1709" spans="1:9" ht="15.75" customHeight="1" x14ac:dyDescent="0.2">
      <c r="A1709" s="9"/>
      <c r="B1709" s="9"/>
      <c r="C1709" s="3"/>
      <c r="D1709" s="3"/>
      <c r="E1709" s="3"/>
      <c r="F1709" s="3"/>
      <c r="G1709" s="3"/>
      <c r="H1709" s="3"/>
      <c r="I1709" s="3"/>
    </row>
    <row r="1710" spans="1:9" ht="15.75" customHeight="1" x14ac:dyDescent="0.2">
      <c r="A1710" s="9"/>
      <c r="B1710" s="9"/>
      <c r="C1710" s="3"/>
      <c r="D1710" s="3"/>
      <c r="E1710" s="3"/>
      <c r="F1710" s="3"/>
      <c r="G1710" s="3"/>
      <c r="H1710" s="3"/>
      <c r="I1710" s="3"/>
    </row>
    <row r="1711" spans="1:9" ht="15.75" customHeight="1" x14ac:dyDescent="0.2">
      <c r="A1711" s="9"/>
      <c r="B1711" s="9"/>
      <c r="C1711" s="3"/>
      <c r="D1711" s="3"/>
      <c r="E1711" s="3"/>
      <c r="F1711" s="3"/>
      <c r="G1711" s="3"/>
      <c r="H1711" s="3"/>
      <c r="I1711" s="3"/>
    </row>
    <row r="1712" spans="1:9" ht="15.75" customHeight="1" x14ac:dyDescent="0.2">
      <c r="A1712" s="9"/>
      <c r="B1712" s="9"/>
      <c r="C1712" s="3"/>
      <c r="D1712" s="3"/>
      <c r="E1712" s="3"/>
      <c r="F1712" s="3"/>
      <c r="G1712" s="3"/>
      <c r="H1712" s="3"/>
      <c r="I1712" s="3"/>
    </row>
    <row r="1713" spans="1:9" ht="15.75" customHeight="1" x14ac:dyDescent="0.2">
      <c r="A1713" s="9"/>
      <c r="B1713" s="9"/>
      <c r="C1713" s="3"/>
      <c r="D1713" s="3"/>
      <c r="E1713" s="3"/>
      <c r="F1713" s="3"/>
      <c r="G1713" s="3"/>
      <c r="H1713" s="3"/>
      <c r="I1713" s="3"/>
    </row>
    <row r="1714" spans="1:9" ht="15.75" customHeight="1" x14ac:dyDescent="0.2">
      <c r="A1714" s="9"/>
      <c r="B1714" s="9"/>
      <c r="C1714" s="3"/>
      <c r="D1714" s="3"/>
      <c r="E1714" s="3"/>
      <c r="F1714" s="3"/>
      <c r="G1714" s="3"/>
      <c r="H1714" s="3"/>
      <c r="I1714" s="3"/>
    </row>
    <row r="1715" spans="1:9" ht="15.75" customHeight="1" x14ac:dyDescent="0.2">
      <c r="A1715" s="9"/>
      <c r="B1715" s="9"/>
      <c r="C1715" s="3"/>
      <c r="D1715" s="3"/>
      <c r="E1715" s="3"/>
      <c r="F1715" s="3"/>
      <c r="G1715" s="3"/>
      <c r="H1715" s="3"/>
      <c r="I1715" s="3"/>
    </row>
    <row r="1716" spans="1:9" ht="15.75" customHeight="1" x14ac:dyDescent="0.2">
      <c r="A1716" s="9"/>
      <c r="B1716" s="9"/>
      <c r="C1716" s="3"/>
      <c r="D1716" s="3"/>
      <c r="E1716" s="3"/>
      <c r="F1716" s="3"/>
      <c r="G1716" s="3"/>
      <c r="H1716" s="3"/>
      <c r="I1716" s="3"/>
    </row>
    <row r="1717" spans="1:9" ht="15.75" customHeight="1" x14ac:dyDescent="0.2">
      <c r="A1717" s="9"/>
      <c r="B1717" s="9"/>
      <c r="C1717" s="3"/>
      <c r="D1717" s="3"/>
      <c r="E1717" s="3"/>
      <c r="F1717" s="3"/>
      <c r="G1717" s="3"/>
      <c r="H1717" s="3"/>
      <c r="I1717" s="3"/>
    </row>
    <row r="1718" spans="1:9" ht="15.75" customHeight="1" x14ac:dyDescent="0.2">
      <c r="A1718" s="9"/>
      <c r="B1718" s="9"/>
      <c r="C1718" s="3"/>
      <c r="D1718" s="3"/>
      <c r="E1718" s="3"/>
      <c r="F1718" s="3"/>
      <c r="G1718" s="3"/>
      <c r="H1718" s="3"/>
      <c r="I1718" s="3"/>
    </row>
    <row r="1719" spans="1:9" ht="15.75" customHeight="1" x14ac:dyDescent="0.2">
      <c r="A1719" s="9"/>
      <c r="B1719" s="9"/>
      <c r="C1719" s="3"/>
      <c r="D1719" s="3"/>
      <c r="E1719" s="3"/>
      <c r="F1719" s="3"/>
      <c r="G1719" s="3"/>
      <c r="H1719" s="3"/>
      <c r="I1719" s="3"/>
    </row>
    <row r="1720" spans="1:9" ht="15.75" customHeight="1" x14ac:dyDescent="0.2">
      <c r="A1720" s="9"/>
      <c r="B1720" s="9"/>
      <c r="C1720" s="3"/>
      <c r="D1720" s="3"/>
      <c r="E1720" s="3"/>
      <c r="F1720" s="3"/>
      <c r="G1720" s="3"/>
      <c r="H1720" s="3"/>
      <c r="I1720" s="3"/>
    </row>
    <row r="1721" spans="1:9" ht="15.75" customHeight="1" x14ac:dyDescent="0.2">
      <c r="A1721" s="9"/>
      <c r="B1721" s="9"/>
      <c r="C1721" s="3"/>
      <c r="D1721" s="3"/>
      <c r="E1721" s="3"/>
      <c r="F1721" s="3"/>
      <c r="G1721" s="3"/>
      <c r="H1721" s="3"/>
      <c r="I1721" s="3"/>
    </row>
    <row r="1722" spans="1:9" ht="15.75" customHeight="1" x14ac:dyDescent="0.2">
      <c r="A1722" s="9"/>
      <c r="B1722" s="9"/>
      <c r="C1722" s="3"/>
      <c r="D1722" s="3"/>
      <c r="E1722" s="3"/>
      <c r="F1722" s="3"/>
      <c r="G1722" s="3"/>
      <c r="H1722" s="3"/>
      <c r="I1722" s="3"/>
    </row>
    <row r="1723" spans="1:9" ht="15.75" customHeight="1" x14ac:dyDescent="0.2">
      <c r="A1723" s="9"/>
      <c r="B1723" s="9"/>
      <c r="C1723" s="3"/>
      <c r="D1723" s="3"/>
      <c r="E1723" s="3"/>
      <c r="F1723" s="3"/>
      <c r="G1723" s="3"/>
      <c r="H1723" s="3"/>
      <c r="I1723" s="3"/>
    </row>
    <row r="1724" spans="1:9" ht="15.75" customHeight="1" x14ac:dyDescent="0.2">
      <c r="A1724" s="9"/>
      <c r="B1724" s="9"/>
      <c r="C1724" s="3"/>
      <c r="D1724" s="3"/>
      <c r="E1724" s="3"/>
      <c r="F1724" s="3"/>
      <c r="G1724" s="3"/>
      <c r="H1724" s="3"/>
      <c r="I1724" s="3"/>
    </row>
    <row r="1725" spans="1:9" ht="15.75" customHeight="1" x14ac:dyDescent="0.2">
      <c r="A1725" s="9"/>
      <c r="B1725" s="9"/>
      <c r="C1725" s="3"/>
      <c r="D1725" s="3"/>
      <c r="E1725" s="3"/>
      <c r="F1725" s="3"/>
      <c r="G1725" s="3"/>
      <c r="H1725" s="3"/>
      <c r="I1725" s="3"/>
    </row>
    <row r="1726" spans="1:9" ht="15.75" customHeight="1" x14ac:dyDescent="0.2">
      <c r="A1726" s="9"/>
      <c r="B1726" s="9"/>
      <c r="C1726" s="3"/>
      <c r="D1726" s="3"/>
      <c r="E1726" s="3"/>
      <c r="F1726" s="3"/>
      <c r="G1726" s="3"/>
      <c r="H1726" s="3"/>
      <c r="I1726" s="3"/>
    </row>
    <row r="1727" spans="1:9" ht="15.75" customHeight="1" x14ac:dyDescent="0.2">
      <c r="A1727" s="9"/>
      <c r="B1727" s="9"/>
      <c r="C1727" s="3"/>
      <c r="D1727" s="3"/>
      <c r="E1727" s="3"/>
      <c r="F1727" s="3"/>
      <c r="G1727" s="3"/>
      <c r="H1727" s="3"/>
      <c r="I1727" s="3"/>
    </row>
    <row r="1728" spans="1:9" ht="15.75" customHeight="1" x14ac:dyDescent="0.2">
      <c r="A1728" s="9"/>
      <c r="B1728" s="9"/>
      <c r="C1728" s="3"/>
      <c r="D1728" s="3"/>
      <c r="E1728" s="3"/>
      <c r="F1728" s="3"/>
      <c r="G1728" s="3"/>
      <c r="H1728" s="3"/>
      <c r="I1728" s="3"/>
    </row>
    <row r="1729" spans="1:9" ht="15.75" customHeight="1" x14ac:dyDescent="0.2">
      <c r="A1729" s="9"/>
      <c r="B1729" s="9"/>
      <c r="C1729" s="3"/>
      <c r="D1729" s="3"/>
      <c r="E1729" s="3"/>
      <c r="F1729" s="3"/>
      <c r="G1729" s="3"/>
      <c r="H1729" s="3"/>
      <c r="I1729" s="3"/>
    </row>
    <row r="1730" spans="1:9" ht="15.75" customHeight="1" x14ac:dyDescent="0.2">
      <c r="A1730" s="9"/>
      <c r="B1730" s="9"/>
      <c r="C1730" s="3"/>
      <c r="D1730" s="3"/>
      <c r="E1730" s="3"/>
      <c r="F1730" s="3"/>
      <c r="G1730" s="3"/>
      <c r="H1730" s="3"/>
      <c r="I1730" s="3"/>
    </row>
    <row r="1731" spans="1:9" ht="15.75" customHeight="1" x14ac:dyDescent="0.2">
      <c r="A1731" s="9"/>
      <c r="B1731" s="9"/>
      <c r="C1731" s="3"/>
      <c r="D1731" s="3"/>
      <c r="E1731" s="3"/>
      <c r="F1731" s="3"/>
      <c r="G1731" s="3"/>
      <c r="H1731" s="3"/>
      <c r="I1731" s="3"/>
    </row>
    <row r="1732" spans="1:9" ht="15.75" customHeight="1" x14ac:dyDescent="0.2">
      <c r="A1732" s="9"/>
      <c r="B1732" s="9"/>
      <c r="C1732" s="3"/>
      <c r="D1732" s="3"/>
      <c r="E1732" s="3"/>
      <c r="F1732" s="3"/>
      <c r="G1732" s="3"/>
      <c r="H1732" s="3"/>
      <c r="I1732" s="3"/>
    </row>
    <row r="1733" spans="1:9" ht="15.75" customHeight="1" x14ac:dyDescent="0.2">
      <c r="A1733" s="9"/>
      <c r="B1733" s="9"/>
      <c r="C1733" s="3"/>
      <c r="D1733" s="3"/>
      <c r="E1733" s="3"/>
      <c r="F1733" s="3"/>
      <c r="G1733" s="3"/>
      <c r="H1733" s="3"/>
      <c r="I1733" s="3"/>
    </row>
    <row r="1734" spans="1:9" ht="15.75" customHeight="1" x14ac:dyDescent="0.2">
      <c r="A1734" s="9"/>
      <c r="B1734" s="9"/>
      <c r="C1734" s="3"/>
      <c r="D1734" s="3"/>
      <c r="E1734" s="3"/>
      <c r="F1734" s="3"/>
      <c r="G1734" s="3"/>
      <c r="H1734" s="3"/>
      <c r="I1734" s="3"/>
    </row>
    <row r="1735" spans="1:9" ht="15.75" customHeight="1" x14ac:dyDescent="0.2">
      <c r="A1735" s="9"/>
      <c r="B1735" s="9"/>
      <c r="C1735" s="3"/>
      <c r="D1735" s="3"/>
      <c r="E1735" s="3"/>
      <c r="F1735" s="3"/>
      <c r="G1735" s="3"/>
      <c r="H1735" s="3"/>
      <c r="I1735" s="3"/>
    </row>
    <row r="1736" spans="1:9" ht="15.75" customHeight="1" x14ac:dyDescent="0.2">
      <c r="A1736" s="9"/>
      <c r="B1736" s="9"/>
      <c r="C1736" s="3"/>
      <c r="D1736" s="3"/>
      <c r="E1736" s="3"/>
      <c r="F1736" s="3"/>
      <c r="G1736" s="3"/>
      <c r="H1736" s="3"/>
      <c r="I1736" s="3"/>
    </row>
    <row r="1737" spans="1:9" ht="15.75" customHeight="1" x14ac:dyDescent="0.2">
      <c r="A1737" s="9"/>
      <c r="B1737" s="9"/>
      <c r="C1737" s="3"/>
      <c r="D1737" s="3"/>
      <c r="E1737" s="3"/>
      <c r="F1737" s="3"/>
      <c r="G1737" s="3"/>
      <c r="H1737" s="3"/>
      <c r="I1737" s="3"/>
    </row>
    <row r="1738" spans="1:9" ht="15.75" customHeight="1" x14ac:dyDescent="0.2">
      <c r="A1738" s="9"/>
      <c r="B1738" s="9"/>
      <c r="C1738" s="3"/>
      <c r="D1738" s="3"/>
      <c r="E1738" s="3"/>
      <c r="F1738" s="3"/>
      <c r="G1738" s="3"/>
      <c r="H1738" s="3"/>
      <c r="I1738" s="3"/>
    </row>
    <row r="1739" spans="1:9" ht="15.75" customHeight="1" x14ac:dyDescent="0.2">
      <c r="A1739" s="9"/>
      <c r="B1739" s="9"/>
      <c r="C1739" s="3"/>
      <c r="D1739" s="3"/>
      <c r="E1739" s="3"/>
      <c r="F1739" s="3"/>
      <c r="G1739" s="3"/>
      <c r="H1739" s="3"/>
      <c r="I1739" s="3"/>
    </row>
    <row r="1740" spans="1:9" ht="15.75" customHeight="1" x14ac:dyDescent="0.2">
      <c r="A1740" s="9"/>
      <c r="B1740" s="9"/>
      <c r="C1740" s="3"/>
      <c r="D1740" s="3"/>
      <c r="E1740" s="3"/>
      <c r="F1740" s="3"/>
      <c r="G1740" s="3"/>
      <c r="H1740" s="3"/>
      <c r="I1740" s="3"/>
    </row>
    <row r="1741" spans="1:9" ht="15.75" customHeight="1" x14ac:dyDescent="0.2">
      <c r="A1741" s="9"/>
      <c r="B1741" s="9"/>
      <c r="C1741" s="3"/>
      <c r="D1741" s="3"/>
      <c r="E1741" s="3"/>
      <c r="F1741" s="3"/>
      <c r="G1741" s="3"/>
      <c r="H1741" s="3"/>
      <c r="I1741" s="3"/>
    </row>
    <row r="1742" spans="1:9" ht="15.75" customHeight="1" x14ac:dyDescent="0.2">
      <c r="A1742" s="9"/>
      <c r="B1742" s="9"/>
      <c r="C1742" s="3"/>
      <c r="D1742" s="3"/>
      <c r="E1742" s="3"/>
      <c r="F1742" s="3"/>
      <c r="G1742" s="3"/>
      <c r="H1742" s="3"/>
      <c r="I1742" s="3"/>
    </row>
    <row r="1743" spans="1:9" ht="15.75" customHeight="1" x14ac:dyDescent="0.2">
      <c r="A1743" s="9"/>
      <c r="B1743" s="9"/>
      <c r="C1743" s="3"/>
      <c r="D1743" s="3"/>
      <c r="E1743" s="3"/>
      <c r="F1743" s="3"/>
      <c r="G1743" s="3"/>
      <c r="H1743" s="3"/>
      <c r="I1743" s="3"/>
    </row>
    <row r="1744" spans="1:9" ht="15.75" customHeight="1" x14ac:dyDescent="0.2">
      <c r="A1744" s="9"/>
      <c r="B1744" s="9"/>
      <c r="C1744" s="3"/>
      <c r="D1744" s="3"/>
      <c r="E1744" s="3"/>
      <c r="F1744" s="3"/>
      <c r="G1744" s="3"/>
      <c r="H1744" s="3"/>
      <c r="I1744" s="3"/>
    </row>
    <row r="1745" spans="1:9" ht="15.75" customHeight="1" x14ac:dyDescent="0.2">
      <c r="A1745" s="9"/>
      <c r="B1745" s="9"/>
      <c r="C1745" s="3"/>
      <c r="D1745" s="3"/>
      <c r="E1745" s="3"/>
      <c r="F1745" s="3"/>
      <c r="G1745" s="3"/>
      <c r="H1745" s="3"/>
      <c r="I1745" s="3"/>
    </row>
    <row r="1746" spans="1:9" ht="15.75" customHeight="1" x14ac:dyDescent="0.2">
      <c r="A1746" s="9"/>
      <c r="B1746" s="9"/>
      <c r="C1746" s="3"/>
      <c r="D1746" s="3"/>
      <c r="E1746" s="3"/>
      <c r="F1746" s="3"/>
      <c r="G1746" s="3"/>
      <c r="H1746" s="3"/>
      <c r="I1746" s="3"/>
    </row>
    <row r="1747" spans="1:9" ht="15.75" customHeight="1" x14ac:dyDescent="0.2">
      <c r="A1747" s="9"/>
      <c r="B1747" s="9"/>
      <c r="C1747" s="3"/>
      <c r="D1747" s="3"/>
      <c r="E1747" s="3"/>
      <c r="F1747" s="3"/>
      <c r="G1747" s="3"/>
      <c r="H1747" s="3"/>
      <c r="I1747" s="3"/>
    </row>
    <row r="1748" spans="1:9" ht="15.75" customHeight="1" x14ac:dyDescent="0.2">
      <c r="A1748" s="9"/>
      <c r="B1748" s="9"/>
      <c r="C1748" s="3"/>
      <c r="D1748" s="3"/>
      <c r="E1748" s="3"/>
      <c r="F1748" s="3"/>
      <c r="G1748" s="3"/>
      <c r="H1748" s="3"/>
      <c r="I1748" s="3"/>
    </row>
    <row r="1749" spans="1:9" ht="15.75" customHeight="1" x14ac:dyDescent="0.2">
      <c r="A1749" s="9"/>
      <c r="B1749" s="9"/>
      <c r="C1749" s="3"/>
      <c r="D1749" s="3"/>
      <c r="E1749" s="3"/>
      <c r="F1749" s="3"/>
      <c r="G1749" s="3"/>
      <c r="H1749" s="3"/>
      <c r="I1749" s="3"/>
    </row>
    <row r="1750" spans="1:9" ht="15.75" customHeight="1" x14ac:dyDescent="0.2">
      <c r="A1750" s="9"/>
      <c r="B1750" s="9"/>
      <c r="C1750" s="3"/>
      <c r="D1750" s="3"/>
      <c r="E1750" s="3"/>
      <c r="F1750" s="3"/>
      <c r="G1750" s="3"/>
      <c r="H1750" s="3"/>
      <c r="I1750" s="3"/>
    </row>
    <row r="1751" spans="1:9" ht="15.75" customHeight="1" x14ac:dyDescent="0.2">
      <c r="A1751" s="9"/>
      <c r="B1751" s="9"/>
      <c r="C1751" s="3"/>
      <c r="D1751" s="3"/>
      <c r="E1751" s="3"/>
      <c r="F1751" s="3"/>
      <c r="G1751" s="3"/>
      <c r="H1751" s="3"/>
      <c r="I1751" s="3"/>
    </row>
    <row r="1752" spans="1:9" ht="15.75" customHeight="1" x14ac:dyDescent="0.2">
      <c r="A1752" s="9"/>
      <c r="B1752" s="9"/>
      <c r="C1752" s="3"/>
      <c r="D1752" s="3"/>
      <c r="E1752" s="3"/>
      <c r="F1752" s="3"/>
      <c r="G1752" s="3"/>
      <c r="H1752" s="3"/>
      <c r="I1752" s="3"/>
    </row>
    <row r="1753" spans="1:9" ht="15.75" customHeight="1" x14ac:dyDescent="0.2">
      <c r="A1753" s="9"/>
      <c r="B1753" s="9"/>
      <c r="C1753" s="3"/>
      <c r="D1753" s="3"/>
      <c r="E1753" s="3"/>
      <c r="F1753" s="3"/>
      <c r="G1753" s="3"/>
      <c r="H1753" s="3"/>
      <c r="I1753" s="3"/>
    </row>
    <row r="1754" spans="1:9" ht="15.75" customHeight="1" x14ac:dyDescent="0.2">
      <c r="A1754" s="9"/>
      <c r="B1754" s="9"/>
      <c r="C1754" s="3"/>
      <c r="D1754" s="3"/>
      <c r="E1754" s="3"/>
      <c r="F1754" s="3"/>
      <c r="G1754" s="3"/>
      <c r="H1754" s="3"/>
      <c r="I1754" s="3"/>
    </row>
    <row r="1755" spans="1:9" ht="15.75" customHeight="1" x14ac:dyDescent="0.2">
      <c r="A1755" s="9"/>
      <c r="B1755" s="9"/>
      <c r="C1755" s="3"/>
      <c r="D1755" s="3"/>
      <c r="E1755" s="3"/>
      <c r="F1755" s="3"/>
      <c r="G1755" s="3"/>
      <c r="H1755" s="3"/>
      <c r="I1755" s="3"/>
    </row>
    <row r="1756" spans="1:9" ht="15.75" customHeight="1" x14ac:dyDescent="0.2">
      <c r="A1756" s="9"/>
      <c r="B1756" s="9"/>
      <c r="C1756" s="3"/>
      <c r="D1756" s="3"/>
      <c r="E1756" s="3"/>
      <c r="F1756" s="3"/>
      <c r="G1756" s="3"/>
      <c r="H1756" s="3"/>
      <c r="I1756" s="3"/>
    </row>
    <row r="1757" spans="1:9" ht="15.75" customHeight="1" x14ac:dyDescent="0.2">
      <c r="A1757" s="9"/>
      <c r="B1757" s="9"/>
      <c r="C1757" s="3"/>
      <c r="D1757" s="3"/>
      <c r="E1757" s="3"/>
      <c r="F1757" s="3"/>
      <c r="G1757" s="3"/>
      <c r="H1757" s="3"/>
      <c r="I1757" s="3"/>
    </row>
    <row r="1758" spans="1:9" ht="15.75" customHeight="1" x14ac:dyDescent="0.2">
      <c r="A1758" s="9"/>
      <c r="B1758" s="9"/>
      <c r="C1758" s="3"/>
      <c r="D1758" s="3"/>
      <c r="E1758" s="3"/>
      <c r="F1758" s="3"/>
      <c r="G1758" s="3"/>
      <c r="H1758" s="3"/>
      <c r="I1758" s="3"/>
    </row>
    <row r="1759" spans="1:9" ht="15.75" customHeight="1" x14ac:dyDescent="0.2">
      <c r="A1759" s="9"/>
      <c r="B1759" s="9"/>
      <c r="C1759" s="3"/>
      <c r="D1759" s="3"/>
      <c r="E1759" s="3"/>
      <c r="F1759" s="3"/>
      <c r="G1759" s="3"/>
      <c r="H1759" s="3"/>
      <c r="I1759" s="3"/>
    </row>
    <row r="1760" spans="1:9" ht="15.75" customHeight="1" x14ac:dyDescent="0.2">
      <c r="A1760" s="9"/>
      <c r="B1760" s="9"/>
      <c r="C1760" s="3"/>
      <c r="D1760" s="3"/>
      <c r="E1760" s="3"/>
      <c r="F1760" s="3"/>
      <c r="G1760" s="3"/>
      <c r="H1760" s="3"/>
      <c r="I1760" s="3"/>
    </row>
    <row r="1761" spans="1:9" ht="15.75" customHeight="1" x14ac:dyDescent="0.2">
      <c r="A1761" s="9"/>
      <c r="B1761" s="9"/>
      <c r="C1761" s="3"/>
      <c r="D1761" s="3"/>
      <c r="E1761" s="3"/>
      <c r="F1761" s="3"/>
      <c r="G1761" s="3"/>
      <c r="H1761" s="3"/>
      <c r="I1761" s="3"/>
    </row>
    <row r="1762" spans="1:9" ht="15.75" customHeight="1" x14ac:dyDescent="0.2">
      <c r="A1762" s="9"/>
      <c r="B1762" s="9"/>
      <c r="C1762" s="3"/>
      <c r="D1762" s="3"/>
      <c r="E1762" s="3"/>
      <c r="F1762" s="3"/>
      <c r="G1762" s="3"/>
      <c r="H1762" s="3"/>
      <c r="I1762" s="3"/>
    </row>
    <row r="1763" spans="1:9" ht="15.75" customHeight="1" x14ac:dyDescent="0.2">
      <c r="A1763" s="9"/>
      <c r="B1763" s="9"/>
      <c r="C1763" s="3"/>
      <c r="D1763" s="3"/>
      <c r="E1763" s="3"/>
      <c r="F1763" s="3"/>
      <c r="G1763" s="3"/>
      <c r="H1763" s="3"/>
      <c r="I1763" s="3"/>
    </row>
    <row r="1764" spans="1:9" ht="15.75" customHeight="1" x14ac:dyDescent="0.2">
      <c r="A1764" s="9"/>
      <c r="B1764" s="9"/>
      <c r="C1764" s="3"/>
      <c r="D1764" s="3"/>
      <c r="E1764" s="3"/>
      <c r="F1764" s="3"/>
      <c r="G1764" s="3"/>
      <c r="H1764" s="3"/>
      <c r="I1764" s="3"/>
    </row>
    <row r="1765" spans="1:9" ht="15.75" customHeight="1" x14ac:dyDescent="0.2">
      <c r="A1765" s="9"/>
      <c r="B1765" s="9"/>
      <c r="C1765" s="3"/>
      <c r="D1765" s="3"/>
      <c r="E1765" s="3"/>
      <c r="F1765" s="3"/>
      <c r="G1765" s="3"/>
      <c r="H1765" s="3"/>
      <c r="I1765" s="3"/>
    </row>
    <row r="1766" spans="1:9" ht="15.75" customHeight="1" x14ac:dyDescent="0.2">
      <c r="A1766" s="9"/>
      <c r="B1766" s="9"/>
      <c r="C1766" s="3"/>
      <c r="D1766" s="3"/>
      <c r="E1766" s="3"/>
      <c r="F1766" s="3"/>
      <c r="G1766" s="3"/>
      <c r="H1766" s="3"/>
      <c r="I1766" s="3"/>
    </row>
    <row r="1767" spans="1:9" ht="15.75" customHeight="1" x14ac:dyDescent="0.2">
      <c r="A1767" s="9"/>
      <c r="B1767" s="9"/>
      <c r="C1767" s="3"/>
      <c r="D1767" s="3"/>
      <c r="E1767" s="3"/>
      <c r="F1767" s="3"/>
      <c r="G1767" s="3"/>
      <c r="H1767" s="3"/>
      <c r="I1767" s="3"/>
    </row>
    <row r="1768" spans="1:9" ht="15.75" customHeight="1" x14ac:dyDescent="0.2">
      <c r="A1768" s="9"/>
      <c r="B1768" s="9"/>
      <c r="C1768" s="3"/>
      <c r="D1768" s="3"/>
      <c r="E1768" s="3"/>
      <c r="F1768" s="3"/>
      <c r="G1768" s="3"/>
      <c r="H1768" s="3"/>
      <c r="I1768" s="3"/>
    </row>
    <row r="1769" spans="1:9" ht="15.75" customHeight="1" x14ac:dyDescent="0.2">
      <c r="A1769" s="9"/>
      <c r="B1769" s="9"/>
      <c r="C1769" s="3"/>
      <c r="D1769" s="3"/>
      <c r="E1769" s="3"/>
      <c r="F1769" s="3"/>
      <c r="G1769" s="3"/>
      <c r="H1769" s="3"/>
      <c r="I1769" s="3"/>
    </row>
    <row r="1770" spans="1:9" ht="15.75" customHeight="1" x14ac:dyDescent="0.2">
      <c r="A1770" s="9"/>
      <c r="B1770" s="9"/>
      <c r="C1770" s="3"/>
      <c r="D1770" s="3"/>
      <c r="E1770" s="3"/>
      <c r="F1770" s="3"/>
      <c r="G1770" s="3"/>
      <c r="H1770" s="3"/>
      <c r="I1770" s="3"/>
    </row>
    <row r="1771" spans="1:9" ht="15.75" customHeight="1" x14ac:dyDescent="0.2">
      <c r="A1771" s="9"/>
      <c r="B1771" s="9"/>
      <c r="C1771" s="3"/>
      <c r="D1771" s="3"/>
      <c r="E1771" s="3"/>
      <c r="F1771" s="3"/>
      <c r="G1771" s="3"/>
      <c r="H1771" s="3"/>
      <c r="I1771" s="3"/>
    </row>
    <row r="1772" spans="1:9" ht="15.75" customHeight="1" x14ac:dyDescent="0.2">
      <c r="A1772" s="9"/>
      <c r="B1772" s="9"/>
      <c r="C1772" s="3"/>
      <c r="D1772" s="3"/>
      <c r="E1772" s="3"/>
      <c r="F1772" s="3"/>
      <c r="G1772" s="3"/>
      <c r="H1772" s="3"/>
      <c r="I1772" s="3"/>
    </row>
    <row r="1773" spans="1:9" ht="15.75" customHeight="1" x14ac:dyDescent="0.2">
      <c r="A1773" s="9"/>
      <c r="B1773" s="9"/>
      <c r="C1773" s="3"/>
      <c r="D1773" s="3"/>
      <c r="E1773" s="3"/>
      <c r="F1773" s="3"/>
      <c r="G1773" s="3"/>
      <c r="H1773" s="3"/>
      <c r="I1773" s="3"/>
    </row>
    <row r="1774" spans="1:9" ht="15.75" customHeight="1" x14ac:dyDescent="0.2">
      <c r="A1774" s="9"/>
      <c r="B1774" s="9"/>
      <c r="C1774" s="3"/>
      <c r="D1774" s="3"/>
      <c r="E1774" s="3"/>
      <c r="F1774" s="3"/>
      <c r="G1774" s="3"/>
      <c r="H1774" s="3"/>
      <c r="I1774" s="3"/>
    </row>
    <row r="1775" spans="1:9" ht="15.75" customHeight="1" x14ac:dyDescent="0.2">
      <c r="A1775" s="9"/>
      <c r="B1775" s="9"/>
      <c r="C1775" s="3"/>
      <c r="D1775" s="3"/>
      <c r="E1775" s="3"/>
      <c r="F1775" s="3"/>
      <c r="G1775" s="3"/>
      <c r="H1775" s="3"/>
      <c r="I1775" s="3"/>
    </row>
    <row r="1776" spans="1:9" ht="15.75" customHeight="1" x14ac:dyDescent="0.2">
      <c r="A1776" s="9"/>
      <c r="B1776" s="9"/>
      <c r="C1776" s="3"/>
      <c r="D1776" s="3"/>
      <c r="E1776" s="3"/>
      <c r="F1776" s="3"/>
      <c r="G1776" s="3"/>
      <c r="H1776" s="3"/>
      <c r="I1776" s="3"/>
    </row>
    <row r="1777" spans="1:9" ht="15.75" customHeight="1" x14ac:dyDescent="0.2">
      <c r="A1777" s="9"/>
      <c r="B1777" s="9"/>
      <c r="C1777" s="3"/>
      <c r="D1777" s="3"/>
      <c r="E1777" s="3"/>
      <c r="F1777" s="3"/>
      <c r="G1777" s="3"/>
      <c r="H1777" s="3"/>
      <c r="I1777" s="3"/>
    </row>
    <row r="1778" spans="1:9" ht="15.75" customHeight="1" x14ac:dyDescent="0.2">
      <c r="A1778" s="9"/>
      <c r="B1778" s="9"/>
      <c r="C1778" s="3"/>
      <c r="D1778" s="3"/>
      <c r="E1778" s="3"/>
      <c r="F1778" s="3"/>
      <c r="G1778" s="3"/>
      <c r="H1778" s="3"/>
      <c r="I1778" s="3"/>
    </row>
    <row r="1779" spans="1:9" ht="15.75" customHeight="1" x14ac:dyDescent="0.2">
      <c r="A1779" s="9"/>
      <c r="B1779" s="9"/>
      <c r="C1779" s="3"/>
      <c r="D1779" s="3"/>
      <c r="E1779" s="3"/>
      <c r="F1779" s="3"/>
      <c r="G1779" s="3"/>
      <c r="H1779" s="3"/>
      <c r="I1779" s="3"/>
    </row>
    <row r="1780" spans="1:9" ht="15.75" customHeight="1" x14ac:dyDescent="0.2">
      <c r="A1780" s="9"/>
      <c r="B1780" s="9"/>
      <c r="C1780" s="3"/>
      <c r="D1780" s="3"/>
      <c r="E1780" s="3"/>
      <c r="F1780" s="3"/>
      <c r="G1780" s="3"/>
      <c r="H1780" s="3"/>
      <c r="I1780" s="3"/>
    </row>
    <row r="1781" spans="1:9" ht="15.75" customHeight="1" x14ac:dyDescent="0.2">
      <c r="A1781" s="9"/>
      <c r="B1781" s="9"/>
      <c r="C1781" s="3"/>
      <c r="D1781" s="3"/>
      <c r="E1781" s="3"/>
      <c r="F1781" s="3"/>
      <c r="G1781" s="3"/>
      <c r="H1781" s="3"/>
      <c r="I1781" s="3"/>
    </row>
    <row r="1782" spans="1:9" ht="15.75" customHeight="1" x14ac:dyDescent="0.2">
      <c r="A1782" s="9"/>
      <c r="B1782" s="9"/>
      <c r="C1782" s="3"/>
      <c r="D1782" s="3"/>
      <c r="E1782" s="3"/>
      <c r="F1782" s="3"/>
      <c r="G1782" s="3"/>
      <c r="H1782" s="3"/>
      <c r="I1782" s="3"/>
    </row>
    <row r="1783" spans="1:9" ht="15.75" customHeight="1" x14ac:dyDescent="0.2">
      <c r="A1783" s="9"/>
      <c r="B1783" s="9"/>
      <c r="C1783" s="3"/>
      <c r="D1783" s="3"/>
      <c r="E1783" s="3"/>
      <c r="F1783" s="3"/>
      <c r="G1783" s="3"/>
      <c r="H1783" s="3"/>
      <c r="I1783" s="3"/>
    </row>
    <row r="1784" spans="1:9" ht="15.75" customHeight="1" x14ac:dyDescent="0.2">
      <c r="A1784" s="9"/>
      <c r="B1784" s="9"/>
      <c r="C1784" s="3"/>
      <c r="D1784" s="3"/>
      <c r="E1784" s="3"/>
      <c r="F1784" s="3"/>
      <c r="G1784" s="3"/>
      <c r="H1784" s="3"/>
      <c r="I1784" s="3"/>
    </row>
    <row r="1785" spans="1:9" ht="15.75" customHeight="1" x14ac:dyDescent="0.2">
      <c r="A1785" s="9"/>
      <c r="B1785" s="9"/>
      <c r="C1785" s="3"/>
      <c r="D1785" s="3"/>
      <c r="E1785" s="3"/>
      <c r="F1785" s="3"/>
      <c r="G1785" s="3"/>
      <c r="H1785" s="3"/>
      <c r="I1785" s="3"/>
    </row>
    <row r="1786" spans="1:9" ht="15.75" customHeight="1" x14ac:dyDescent="0.2">
      <c r="A1786" s="9"/>
      <c r="B1786" s="9"/>
      <c r="C1786" s="3"/>
      <c r="D1786" s="3"/>
      <c r="E1786" s="3"/>
      <c r="F1786" s="3"/>
      <c r="G1786" s="3"/>
      <c r="H1786" s="3"/>
      <c r="I1786" s="3"/>
    </row>
    <row r="1787" spans="1:9" ht="15.75" customHeight="1" x14ac:dyDescent="0.2">
      <c r="A1787" s="9"/>
      <c r="B1787" s="9"/>
      <c r="C1787" s="3"/>
      <c r="D1787" s="3"/>
      <c r="E1787" s="3"/>
      <c r="F1787" s="3"/>
      <c r="G1787" s="3"/>
      <c r="H1787" s="3"/>
      <c r="I1787" s="3"/>
    </row>
    <row r="1788" spans="1:9" ht="15.75" customHeight="1" x14ac:dyDescent="0.2">
      <c r="A1788" s="9"/>
      <c r="B1788" s="9"/>
      <c r="C1788" s="3"/>
      <c r="D1788" s="3"/>
      <c r="E1788" s="3"/>
      <c r="F1788" s="3"/>
      <c r="G1788" s="3"/>
      <c r="H1788" s="3"/>
      <c r="I1788" s="3"/>
    </row>
    <row r="1789" spans="1:9" ht="15.75" customHeight="1" x14ac:dyDescent="0.2">
      <c r="A1789" s="9"/>
      <c r="B1789" s="9"/>
      <c r="C1789" s="3"/>
      <c r="D1789" s="3"/>
      <c r="E1789" s="3"/>
      <c r="F1789" s="3"/>
      <c r="G1789" s="3"/>
      <c r="H1789" s="3"/>
      <c r="I1789" s="3"/>
    </row>
    <row r="1790" spans="1:9" ht="15.75" customHeight="1" x14ac:dyDescent="0.2">
      <c r="A1790" s="9"/>
      <c r="B1790" s="9"/>
      <c r="C1790" s="3"/>
      <c r="D1790" s="3"/>
      <c r="E1790" s="3"/>
      <c r="F1790" s="3"/>
      <c r="G1790" s="3"/>
      <c r="H1790" s="3"/>
      <c r="I1790" s="3"/>
    </row>
    <row r="1791" spans="1:9" ht="15.75" customHeight="1" x14ac:dyDescent="0.2">
      <c r="A1791" s="9"/>
      <c r="B1791" s="9"/>
      <c r="C1791" s="3"/>
      <c r="D1791" s="3"/>
      <c r="E1791" s="3"/>
      <c r="F1791" s="3"/>
      <c r="G1791" s="3"/>
      <c r="H1791" s="3"/>
      <c r="I1791" s="3"/>
    </row>
    <row r="1792" spans="1:9" ht="15.75" customHeight="1" x14ac:dyDescent="0.2">
      <c r="A1792" s="9"/>
      <c r="B1792" s="9"/>
      <c r="C1792" s="3"/>
      <c r="D1792" s="3"/>
      <c r="E1792" s="3"/>
      <c r="F1792" s="3"/>
      <c r="G1792" s="3"/>
      <c r="H1792" s="3"/>
      <c r="I1792" s="3"/>
    </row>
    <row r="1793" spans="1:9" ht="15.75" customHeight="1" x14ac:dyDescent="0.2">
      <c r="A1793" s="9"/>
      <c r="B1793" s="9"/>
      <c r="C1793" s="3"/>
      <c r="D1793" s="3"/>
      <c r="E1793" s="3"/>
      <c r="F1793" s="3"/>
      <c r="G1793" s="3"/>
      <c r="H1793" s="3"/>
      <c r="I1793" s="3"/>
    </row>
    <row r="1794" spans="1:9" ht="15.75" customHeight="1" x14ac:dyDescent="0.2">
      <c r="A1794" s="9"/>
      <c r="B1794" s="9"/>
      <c r="C1794" s="3"/>
      <c r="D1794" s="3"/>
      <c r="E1794" s="3"/>
      <c r="F1794" s="3"/>
      <c r="G1794" s="3"/>
      <c r="H1794" s="3"/>
      <c r="I1794" s="3"/>
    </row>
    <row r="1795" spans="1:9" ht="15.75" customHeight="1" x14ac:dyDescent="0.2">
      <c r="A1795" s="9"/>
      <c r="B1795" s="9"/>
      <c r="C1795" s="3"/>
      <c r="D1795" s="3"/>
      <c r="E1795" s="3"/>
      <c r="F1795" s="3"/>
      <c r="G1795" s="3"/>
      <c r="H1795" s="3"/>
      <c r="I1795" s="3"/>
    </row>
    <row r="1796" spans="1:9" ht="15.75" customHeight="1" x14ac:dyDescent="0.2">
      <c r="A1796" s="9"/>
      <c r="B1796" s="9"/>
      <c r="C1796" s="3"/>
      <c r="D1796" s="3"/>
      <c r="E1796" s="3"/>
      <c r="F1796" s="3"/>
      <c r="G1796" s="3"/>
      <c r="H1796" s="3"/>
      <c r="I1796" s="3"/>
    </row>
    <row r="1797" spans="1:9" ht="15.75" customHeight="1" x14ac:dyDescent="0.2">
      <c r="A1797" s="9"/>
      <c r="B1797" s="9"/>
      <c r="C1797" s="3"/>
      <c r="D1797" s="3"/>
      <c r="E1797" s="3"/>
      <c r="F1797" s="3"/>
      <c r="G1797" s="3"/>
      <c r="H1797" s="3"/>
      <c r="I1797" s="3"/>
    </row>
    <row r="1798" spans="1:9" ht="15.75" customHeight="1" x14ac:dyDescent="0.2">
      <c r="A1798" s="9"/>
      <c r="B1798" s="9"/>
      <c r="C1798" s="3"/>
      <c r="D1798" s="3"/>
      <c r="E1798" s="3"/>
      <c r="F1798" s="3"/>
      <c r="G1798" s="3"/>
      <c r="H1798" s="3"/>
      <c r="I1798" s="3"/>
    </row>
    <row r="1799" spans="1:9" ht="15.75" customHeight="1" x14ac:dyDescent="0.2">
      <c r="A1799" s="9"/>
      <c r="B1799" s="9"/>
      <c r="C1799" s="3"/>
      <c r="D1799" s="3"/>
      <c r="E1799" s="3"/>
      <c r="F1799" s="3"/>
      <c r="G1799" s="3"/>
      <c r="H1799" s="3"/>
      <c r="I1799" s="3"/>
    </row>
    <row r="1800" spans="1:9" ht="15.75" customHeight="1" x14ac:dyDescent="0.2">
      <c r="A1800" s="9"/>
      <c r="B1800" s="9"/>
      <c r="C1800" s="3"/>
      <c r="D1800" s="3"/>
      <c r="E1800" s="3"/>
      <c r="F1800" s="3"/>
      <c r="G1800" s="3"/>
      <c r="H1800" s="3"/>
      <c r="I1800" s="3"/>
    </row>
    <row r="1801" spans="1:9" ht="15.75" customHeight="1" x14ac:dyDescent="0.2">
      <c r="A1801" s="9"/>
      <c r="B1801" s="9"/>
      <c r="C1801" s="3"/>
      <c r="D1801" s="3"/>
      <c r="E1801" s="3"/>
      <c r="F1801" s="3"/>
      <c r="G1801" s="3"/>
      <c r="H1801" s="3"/>
      <c r="I1801" s="3"/>
    </row>
    <row r="1802" spans="1:9" ht="15.75" customHeight="1" x14ac:dyDescent="0.2">
      <c r="A1802" s="9"/>
      <c r="B1802" s="9"/>
      <c r="C1802" s="3"/>
      <c r="D1802" s="3"/>
      <c r="E1802" s="3"/>
      <c r="F1802" s="3"/>
      <c r="G1802" s="3"/>
      <c r="H1802" s="3"/>
      <c r="I1802" s="3"/>
    </row>
    <row r="1803" spans="1:9" ht="15.75" customHeight="1" x14ac:dyDescent="0.2">
      <c r="A1803" s="9"/>
      <c r="B1803" s="9"/>
      <c r="C1803" s="3"/>
      <c r="D1803" s="3"/>
      <c r="E1803" s="3"/>
      <c r="F1803" s="3"/>
      <c r="G1803" s="3"/>
      <c r="H1803" s="3"/>
      <c r="I1803" s="3"/>
    </row>
    <row r="1804" spans="1:9" ht="15.75" customHeight="1" x14ac:dyDescent="0.2">
      <c r="A1804" s="9"/>
      <c r="B1804" s="9"/>
      <c r="C1804" s="3"/>
      <c r="D1804" s="3"/>
      <c r="E1804" s="3"/>
      <c r="F1804" s="3"/>
      <c r="G1804" s="3"/>
      <c r="H1804" s="3"/>
      <c r="I1804" s="3"/>
    </row>
    <row r="1805" spans="1:9" ht="15.75" customHeight="1" x14ac:dyDescent="0.2">
      <c r="A1805" s="9"/>
      <c r="B1805" s="9"/>
      <c r="C1805" s="3"/>
      <c r="D1805" s="3"/>
      <c r="E1805" s="3"/>
      <c r="F1805" s="3"/>
      <c r="G1805" s="3"/>
      <c r="H1805" s="3"/>
      <c r="I1805" s="3"/>
    </row>
    <row r="1806" spans="1:9" ht="15.75" customHeight="1" x14ac:dyDescent="0.2">
      <c r="A1806" s="9"/>
      <c r="B1806" s="9"/>
      <c r="C1806" s="3"/>
      <c r="D1806" s="3"/>
      <c r="E1806" s="3"/>
      <c r="F1806" s="3"/>
      <c r="G1806" s="3"/>
      <c r="H1806" s="3"/>
      <c r="I1806" s="3"/>
    </row>
    <row r="1807" spans="1:9" ht="15.75" customHeight="1" x14ac:dyDescent="0.2">
      <c r="A1807" s="9"/>
      <c r="B1807" s="9"/>
      <c r="C1807" s="3"/>
      <c r="D1807" s="3"/>
      <c r="E1807" s="3"/>
      <c r="F1807" s="3"/>
      <c r="G1807" s="3"/>
      <c r="H1807" s="3"/>
      <c r="I1807" s="3"/>
    </row>
    <row r="1808" spans="1:9" ht="15.75" customHeight="1" x14ac:dyDescent="0.2">
      <c r="A1808" s="9"/>
      <c r="B1808" s="9"/>
      <c r="C1808" s="3"/>
      <c r="D1808" s="3"/>
      <c r="E1808" s="3"/>
      <c r="F1808" s="3"/>
      <c r="G1808" s="3"/>
      <c r="H1808" s="3"/>
      <c r="I1808" s="3"/>
    </row>
    <row r="1809" spans="1:9" ht="15.75" customHeight="1" x14ac:dyDescent="0.2">
      <c r="A1809" s="9"/>
      <c r="B1809" s="9"/>
      <c r="C1809" s="3"/>
      <c r="D1809" s="3"/>
      <c r="E1809" s="3"/>
      <c r="F1809" s="3"/>
      <c r="G1809" s="3"/>
      <c r="H1809" s="3"/>
      <c r="I1809" s="3"/>
    </row>
    <row r="1810" spans="1:9" ht="15.75" customHeight="1" x14ac:dyDescent="0.2">
      <c r="A1810" s="9"/>
      <c r="B1810" s="9"/>
      <c r="C1810" s="3"/>
      <c r="D1810" s="3"/>
      <c r="E1810" s="3"/>
      <c r="F1810" s="3"/>
      <c r="G1810" s="3"/>
      <c r="H1810" s="3"/>
      <c r="I1810" s="3"/>
    </row>
    <row r="1811" spans="1:9" ht="15.75" customHeight="1" x14ac:dyDescent="0.2">
      <c r="A1811" s="9"/>
      <c r="B1811" s="9"/>
      <c r="C1811" s="3"/>
      <c r="D1811" s="3"/>
      <c r="E1811" s="3"/>
      <c r="F1811" s="3"/>
      <c r="G1811" s="3"/>
      <c r="H1811" s="3"/>
      <c r="I1811" s="3"/>
    </row>
    <row r="1812" spans="1:9" ht="15.75" customHeight="1" x14ac:dyDescent="0.2">
      <c r="A1812" s="9"/>
      <c r="B1812" s="9"/>
      <c r="C1812" s="3"/>
      <c r="D1812" s="3"/>
      <c r="E1812" s="3"/>
      <c r="F1812" s="3"/>
      <c r="G1812" s="3"/>
      <c r="H1812" s="3"/>
      <c r="I1812" s="3"/>
    </row>
    <row r="1813" spans="1:9" ht="15.75" customHeight="1" x14ac:dyDescent="0.2">
      <c r="A1813" s="9"/>
      <c r="B1813" s="9"/>
      <c r="C1813" s="3"/>
      <c r="D1813" s="3"/>
      <c r="E1813" s="3"/>
      <c r="F1813" s="3"/>
      <c r="G1813" s="3"/>
      <c r="H1813" s="3"/>
      <c r="I1813" s="3"/>
    </row>
    <row r="1814" spans="1:9" ht="15.75" customHeight="1" x14ac:dyDescent="0.2">
      <c r="A1814" s="9"/>
      <c r="B1814" s="9"/>
      <c r="C1814" s="3"/>
      <c r="D1814" s="3"/>
      <c r="E1814" s="3"/>
      <c r="F1814" s="3"/>
      <c r="G1814" s="3"/>
      <c r="H1814" s="3"/>
      <c r="I1814" s="3"/>
    </row>
    <row r="1815" spans="1:9" ht="15.75" customHeight="1" x14ac:dyDescent="0.2">
      <c r="A1815" s="9"/>
      <c r="B1815" s="9"/>
      <c r="C1815" s="3"/>
      <c r="D1815" s="3"/>
      <c r="E1815" s="3"/>
      <c r="F1815" s="3"/>
      <c r="G1815" s="3"/>
      <c r="H1815" s="3"/>
      <c r="I1815" s="3"/>
    </row>
    <row r="1816" spans="1:9" ht="15.75" customHeight="1" x14ac:dyDescent="0.2">
      <c r="A1816" s="9"/>
      <c r="B1816" s="9"/>
      <c r="C1816" s="3"/>
      <c r="D1816" s="3"/>
      <c r="E1816" s="3"/>
      <c r="F1816" s="3"/>
      <c r="G1816" s="3"/>
      <c r="H1816" s="3"/>
      <c r="I1816" s="3"/>
    </row>
    <row r="1817" spans="1:9" ht="15.75" customHeight="1" x14ac:dyDescent="0.2">
      <c r="A1817" s="9"/>
      <c r="B1817" s="9"/>
      <c r="C1817" s="3"/>
      <c r="D1817" s="3"/>
      <c r="E1817" s="3"/>
      <c r="F1817" s="3"/>
      <c r="G1817" s="3"/>
      <c r="H1817" s="3"/>
      <c r="I1817" s="3"/>
    </row>
    <row r="1818" spans="1:9" ht="15.75" customHeight="1" x14ac:dyDescent="0.2">
      <c r="A1818" s="9"/>
      <c r="B1818" s="9"/>
      <c r="C1818" s="3"/>
      <c r="D1818" s="3"/>
      <c r="E1818" s="3"/>
      <c r="F1818" s="3"/>
      <c r="G1818" s="3"/>
      <c r="H1818" s="3"/>
      <c r="I1818" s="3"/>
    </row>
    <row r="1819" spans="1:9" ht="15.75" customHeight="1" x14ac:dyDescent="0.2">
      <c r="A1819" s="9"/>
      <c r="B1819" s="9"/>
      <c r="C1819" s="3"/>
      <c r="D1819" s="3"/>
      <c r="E1819" s="3"/>
      <c r="F1819" s="3"/>
      <c r="G1819" s="3"/>
      <c r="H1819" s="3"/>
      <c r="I1819" s="3"/>
    </row>
    <row r="1820" spans="1:9" ht="15.75" customHeight="1" x14ac:dyDescent="0.2">
      <c r="A1820" s="9"/>
      <c r="B1820" s="9"/>
      <c r="C1820" s="3"/>
      <c r="D1820" s="3"/>
      <c r="E1820" s="3"/>
      <c r="F1820" s="3"/>
      <c r="G1820" s="3"/>
      <c r="H1820" s="3"/>
      <c r="I1820" s="3"/>
    </row>
    <row r="1821" spans="1:9" ht="15.75" customHeight="1" x14ac:dyDescent="0.2">
      <c r="A1821" s="9"/>
      <c r="B1821" s="9"/>
      <c r="C1821" s="3"/>
      <c r="D1821" s="3"/>
      <c r="E1821" s="3"/>
      <c r="F1821" s="3"/>
      <c r="G1821" s="3"/>
      <c r="H1821" s="3"/>
      <c r="I1821" s="3"/>
    </row>
    <row r="1822" spans="1:9" ht="15.75" customHeight="1" x14ac:dyDescent="0.2">
      <c r="A1822" s="9"/>
      <c r="B1822" s="9"/>
      <c r="C1822" s="3"/>
      <c r="D1822" s="3"/>
      <c r="E1822" s="3"/>
      <c r="F1822" s="3"/>
      <c r="G1822" s="3"/>
      <c r="H1822" s="3"/>
      <c r="I1822" s="3"/>
    </row>
    <row r="1823" spans="1:9" ht="15.75" customHeight="1" x14ac:dyDescent="0.2">
      <c r="A1823" s="9"/>
      <c r="B1823" s="9"/>
      <c r="C1823" s="3"/>
      <c r="D1823" s="3"/>
      <c r="E1823" s="3"/>
      <c r="F1823" s="3"/>
      <c r="G1823" s="3"/>
      <c r="H1823" s="3"/>
      <c r="I1823" s="3"/>
    </row>
    <row r="1824" spans="1:9" ht="15.75" customHeight="1" x14ac:dyDescent="0.2">
      <c r="A1824" s="9"/>
      <c r="B1824" s="9"/>
      <c r="C1824" s="3"/>
      <c r="D1824" s="3"/>
      <c r="E1824" s="3"/>
      <c r="F1824" s="3"/>
      <c r="G1824" s="3"/>
      <c r="H1824" s="3"/>
      <c r="I1824" s="3"/>
    </row>
    <row r="1825" spans="1:9" ht="15.75" customHeight="1" x14ac:dyDescent="0.2">
      <c r="A1825" s="9"/>
      <c r="B1825" s="9"/>
      <c r="C1825" s="3"/>
      <c r="D1825" s="3"/>
      <c r="E1825" s="3"/>
      <c r="F1825" s="3"/>
      <c r="G1825" s="3"/>
      <c r="H1825" s="3"/>
      <c r="I1825" s="3"/>
    </row>
    <row r="1826" spans="1:9" ht="15.75" customHeight="1" x14ac:dyDescent="0.2">
      <c r="A1826" s="9"/>
      <c r="B1826" s="9"/>
      <c r="C1826" s="3"/>
      <c r="D1826" s="3"/>
      <c r="E1826" s="3"/>
      <c r="F1826" s="3"/>
      <c r="G1826" s="3"/>
      <c r="H1826" s="3"/>
      <c r="I1826" s="3"/>
    </row>
    <row r="1827" spans="1:9" ht="15.75" customHeight="1" x14ac:dyDescent="0.2">
      <c r="A1827" s="9"/>
      <c r="B1827" s="9"/>
      <c r="C1827" s="3"/>
      <c r="D1827" s="3"/>
      <c r="E1827" s="3"/>
      <c r="F1827" s="3"/>
      <c r="G1827" s="3"/>
      <c r="H1827" s="3"/>
      <c r="I1827" s="3"/>
    </row>
    <row r="1828" spans="1:9" ht="15.75" customHeight="1" x14ac:dyDescent="0.2">
      <c r="A1828" s="9"/>
      <c r="B1828" s="9"/>
      <c r="C1828" s="3"/>
      <c r="D1828" s="3"/>
      <c r="E1828" s="3"/>
      <c r="F1828" s="3"/>
      <c r="G1828" s="3"/>
      <c r="H1828" s="3"/>
      <c r="I1828" s="3"/>
    </row>
    <row r="1829" spans="1:9" ht="15.75" customHeight="1" x14ac:dyDescent="0.2">
      <c r="A1829" s="9"/>
      <c r="B1829" s="9"/>
      <c r="C1829" s="3"/>
      <c r="D1829" s="3"/>
      <c r="E1829" s="3"/>
      <c r="F1829" s="3"/>
      <c r="G1829" s="3"/>
      <c r="H1829" s="3"/>
      <c r="I1829" s="3"/>
    </row>
    <row r="1830" spans="1:9" ht="15.75" customHeight="1" x14ac:dyDescent="0.2">
      <c r="A1830" s="9"/>
      <c r="B1830" s="9"/>
      <c r="C1830" s="3"/>
      <c r="D1830" s="3"/>
      <c r="E1830" s="3"/>
      <c r="F1830" s="3"/>
      <c r="G1830" s="3"/>
      <c r="H1830" s="3"/>
      <c r="I1830" s="3"/>
    </row>
    <row r="1831" spans="1:9" ht="15.75" customHeight="1" x14ac:dyDescent="0.2">
      <c r="A1831" s="9"/>
      <c r="B1831" s="9"/>
      <c r="C1831" s="3"/>
      <c r="D1831" s="3"/>
      <c r="E1831" s="3"/>
      <c r="F1831" s="3"/>
      <c r="G1831" s="3"/>
      <c r="H1831" s="3"/>
      <c r="I1831" s="3"/>
    </row>
    <row r="1832" spans="1:9" ht="15.75" customHeight="1" x14ac:dyDescent="0.2">
      <c r="A1832" s="9"/>
      <c r="B1832" s="9"/>
      <c r="C1832" s="3"/>
      <c r="D1832" s="3"/>
      <c r="E1832" s="3"/>
      <c r="F1832" s="3"/>
      <c r="G1832" s="3"/>
      <c r="H1832" s="3"/>
      <c r="I1832" s="3"/>
    </row>
    <row r="1833" spans="1:9" ht="15.75" customHeight="1" x14ac:dyDescent="0.2">
      <c r="A1833" s="9"/>
      <c r="B1833" s="9"/>
      <c r="C1833" s="3"/>
      <c r="D1833" s="3"/>
      <c r="E1833" s="3"/>
      <c r="F1833" s="3"/>
      <c r="G1833" s="3"/>
      <c r="H1833" s="3"/>
      <c r="I1833" s="3"/>
    </row>
    <row r="1834" spans="1:9" ht="15.75" customHeight="1" x14ac:dyDescent="0.2">
      <c r="A1834" s="9"/>
      <c r="B1834" s="9"/>
      <c r="C1834" s="3"/>
      <c r="D1834" s="3"/>
      <c r="E1834" s="3"/>
      <c r="F1834" s="3"/>
      <c r="G1834" s="3"/>
      <c r="H1834" s="3"/>
      <c r="I1834" s="3"/>
    </row>
    <row r="1835" spans="1:9" ht="15.75" customHeight="1" x14ac:dyDescent="0.2">
      <c r="A1835" s="9"/>
      <c r="B1835" s="9"/>
      <c r="C1835" s="3"/>
      <c r="D1835" s="3"/>
      <c r="E1835" s="3"/>
      <c r="F1835" s="3"/>
      <c r="G1835" s="3"/>
      <c r="H1835" s="3"/>
      <c r="I1835" s="3"/>
    </row>
    <row r="1836" spans="1:9" ht="15.75" customHeight="1" x14ac:dyDescent="0.2">
      <c r="A1836" s="9"/>
      <c r="B1836" s="9"/>
      <c r="C1836" s="3"/>
      <c r="D1836" s="3"/>
      <c r="E1836" s="3"/>
      <c r="F1836" s="3"/>
      <c r="G1836" s="3"/>
      <c r="H1836" s="3"/>
      <c r="I1836" s="3"/>
    </row>
    <row r="1837" spans="1:9" ht="15.75" customHeight="1" x14ac:dyDescent="0.2">
      <c r="A1837" s="9"/>
      <c r="B1837" s="9"/>
      <c r="C1837" s="3"/>
      <c r="D1837" s="3"/>
      <c r="E1837" s="3"/>
      <c r="F1837" s="3"/>
      <c r="G1837" s="3"/>
      <c r="H1837" s="3"/>
      <c r="I1837" s="3"/>
    </row>
    <row r="1838" spans="1:9" ht="15.75" customHeight="1" x14ac:dyDescent="0.2">
      <c r="A1838" s="9"/>
      <c r="B1838" s="9"/>
      <c r="C1838" s="3"/>
      <c r="D1838" s="3"/>
      <c r="E1838" s="3"/>
      <c r="F1838" s="3"/>
      <c r="G1838" s="3"/>
      <c r="H1838" s="3"/>
      <c r="I1838" s="3"/>
    </row>
    <row r="1839" spans="1:9" ht="15.75" customHeight="1" x14ac:dyDescent="0.2">
      <c r="A1839" s="9"/>
      <c r="B1839" s="9"/>
      <c r="C1839" s="3"/>
      <c r="D1839" s="3"/>
      <c r="E1839" s="3"/>
      <c r="F1839" s="3"/>
      <c r="G1839" s="3"/>
      <c r="H1839" s="3"/>
      <c r="I1839" s="3"/>
    </row>
    <row r="1840" spans="1:9" ht="15.75" customHeight="1" x14ac:dyDescent="0.2">
      <c r="A1840" s="9"/>
      <c r="B1840" s="9"/>
      <c r="C1840" s="3"/>
      <c r="D1840" s="3"/>
      <c r="E1840" s="3"/>
      <c r="F1840" s="3"/>
      <c r="G1840" s="3"/>
      <c r="H1840" s="3"/>
      <c r="I1840" s="3"/>
    </row>
    <row r="1841" spans="1:9" ht="15.75" customHeight="1" x14ac:dyDescent="0.2">
      <c r="A1841" s="9"/>
      <c r="B1841" s="9"/>
      <c r="C1841" s="3"/>
      <c r="D1841" s="3"/>
      <c r="E1841" s="3"/>
      <c r="F1841" s="3"/>
      <c r="G1841" s="3"/>
      <c r="H1841" s="3"/>
      <c r="I1841" s="3"/>
    </row>
    <row r="1842" spans="1:9" ht="15.75" customHeight="1" x14ac:dyDescent="0.2">
      <c r="A1842" s="9"/>
      <c r="B1842" s="9"/>
      <c r="C1842" s="3"/>
      <c r="D1842" s="3"/>
      <c r="E1842" s="3"/>
      <c r="F1842" s="3"/>
      <c r="G1842" s="3"/>
      <c r="H1842" s="3"/>
      <c r="I1842" s="3"/>
    </row>
    <row r="1843" spans="1:9" ht="15.75" customHeight="1" x14ac:dyDescent="0.2">
      <c r="A1843" s="9"/>
      <c r="B1843" s="9"/>
      <c r="C1843" s="3"/>
      <c r="D1843" s="3"/>
      <c r="E1843" s="3"/>
      <c r="F1843" s="3"/>
      <c r="G1843" s="3"/>
      <c r="H1843" s="3"/>
      <c r="I1843" s="3"/>
    </row>
    <row r="1844" spans="1:9" ht="15.75" customHeight="1" x14ac:dyDescent="0.2">
      <c r="A1844" s="9"/>
      <c r="B1844" s="9"/>
      <c r="C1844" s="3"/>
      <c r="D1844" s="3"/>
      <c r="E1844" s="3"/>
      <c r="F1844" s="3"/>
      <c r="G1844" s="3"/>
      <c r="H1844" s="3"/>
      <c r="I1844" s="3"/>
    </row>
    <row r="1845" spans="1:9" ht="15.75" customHeight="1" x14ac:dyDescent="0.2">
      <c r="A1845" s="9"/>
      <c r="B1845" s="9"/>
      <c r="C1845" s="3"/>
      <c r="D1845" s="3"/>
      <c r="E1845" s="3"/>
      <c r="F1845" s="3"/>
      <c r="G1845" s="3"/>
      <c r="H1845" s="3"/>
      <c r="I1845" s="3"/>
    </row>
    <row r="1846" spans="1:9" ht="15.75" customHeight="1" x14ac:dyDescent="0.2">
      <c r="A1846" s="9"/>
      <c r="B1846" s="9"/>
      <c r="C1846" s="3"/>
      <c r="D1846" s="3"/>
      <c r="E1846" s="3"/>
      <c r="F1846" s="3"/>
      <c r="G1846" s="3"/>
      <c r="H1846" s="3"/>
      <c r="I1846" s="3"/>
    </row>
    <row r="1847" spans="1:9" ht="15.75" customHeight="1" x14ac:dyDescent="0.2">
      <c r="A1847" s="9"/>
      <c r="B1847" s="9"/>
      <c r="C1847" s="3"/>
      <c r="D1847" s="3"/>
      <c r="E1847" s="3"/>
      <c r="F1847" s="3"/>
      <c r="G1847" s="3"/>
      <c r="H1847" s="3"/>
      <c r="I1847" s="3"/>
    </row>
    <row r="1848" spans="1:9" ht="15.75" customHeight="1" x14ac:dyDescent="0.2">
      <c r="A1848" s="9"/>
      <c r="B1848" s="9"/>
      <c r="C1848" s="3"/>
      <c r="D1848" s="3"/>
      <c r="E1848" s="3"/>
      <c r="F1848" s="3"/>
      <c r="G1848" s="3"/>
      <c r="H1848" s="3"/>
      <c r="I1848" s="3"/>
    </row>
    <row r="1849" spans="1:9" ht="15.75" customHeight="1" x14ac:dyDescent="0.2">
      <c r="A1849" s="9"/>
      <c r="B1849" s="9"/>
      <c r="C1849" s="3"/>
      <c r="D1849" s="3"/>
      <c r="E1849" s="3"/>
      <c r="F1849" s="3"/>
      <c r="G1849" s="3"/>
      <c r="H1849" s="3"/>
      <c r="I1849" s="3"/>
    </row>
    <row r="1850" spans="1:9" ht="15.75" customHeight="1" x14ac:dyDescent="0.2">
      <c r="A1850" s="9"/>
      <c r="B1850" s="9"/>
      <c r="C1850" s="3"/>
      <c r="D1850" s="3"/>
      <c r="E1850" s="3"/>
      <c r="F1850" s="3"/>
      <c r="G1850" s="3"/>
      <c r="H1850" s="3"/>
      <c r="I1850" s="3"/>
    </row>
    <row r="1851" spans="1:9" ht="15.75" customHeight="1" x14ac:dyDescent="0.2">
      <c r="A1851" s="9"/>
      <c r="B1851" s="9"/>
      <c r="C1851" s="3"/>
      <c r="D1851" s="3"/>
      <c r="E1851" s="3"/>
      <c r="F1851" s="3"/>
      <c r="G1851" s="3"/>
      <c r="H1851" s="3"/>
      <c r="I1851" s="3"/>
    </row>
    <row r="1852" spans="1:9" ht="15.75" customHeight="1" x14ac:dyDescent="0.2">
      <c r="A1852" s="9"/>
      <c r="B1852" s="9"/>
      <c r="C1852" s="3"/>
      <c r="D1852" s="3"/>
      <c r="E1852" s="3"/>
      <c r="F1852" s="3"/>
      <c r="G1852" s="3"/>
      <c r="H1852" s="3"/>
      <c r="I1852" s="3"/>
    </row>
    <row r="1853" spans="1:9" ht="15.75" customHeight="1" x14ac:dyDescent="0.2">
      <c r="A1853" s="9"/>
      <c r="B1853" s="9"/>
      <c r="C1853" s="3"/>
      <c r="D1853" s="3"/>
      <c r="E1853" s="3"/>
      <c r="F1853" s="3"/>
      <c r="G1853" s="3"/>
      <c r="H1853" s="3"/>
      <c r="I1853" s="3"/>
    </row>
    <row r="1854" spans="1:9" ht="15.75" customHeight="1" x14ac:dyDescent="0.2">
      <c r="A1854" s="9"/>
      <c r="B1854" s="9"/>
      <c r="C1854" s="3"/>
      <c r="D1854" s="3"/>
      <c r="E1854" s="3"/>
      <c r="F1854" s="3"/>
      <c r="G1854" s="3"/>
      <c r="H1854" s="3"/>
      <c r="I1854" s="3"/>
    </row>
    <row r="1855" spans="1:9" ht="15.75" customHeight="1" x14ac:dyDescent="0.2">
      <c r="A1855" s="9"/>
      <c r="B1855" s="9"/>
      <c r="C1855" s="3"/>
      <c r="D1855" s="3"/>
      <c r="E1855" s="3"/>
      <c r="F1855" s="3"/>
      <c r="G1855" s="3"/>
      <c r="H1855" s="3"/>
      <c r="I1855" s="3"/>
    </row>
    <row r="1856" spans="1:9" ht="15.75" customHeight="1" x14ac:dyDescent="0.2">
      <c r="A1856" s="9"/>
      <c r="B1856" s="9"/>
      <c r="C1856" s="3"/>
      <c r="D1856" s="3"/>
      <c r="E1856" s="3"/>
      <c r="F1856" s="3"/>
      <c r="G1856" s="3"/>
      <c r="H1856" s="3"/>
      <c r="I1856" s="3"/>
    </row>
    <row r="1857" spans="1:9" ht="15.75" customHeight="1" x14ac:dyDescent="0.2">
      <c r="A1857" s="9"/>
      <c r="B1857" s="9"/>
      <c r="C1857" s="3"/>
      <c r="D1857" s="3"/>
      <c r="E1857" s="3"/>
      <c r="F1857" s="3"/>
      <c r="G1857" s="3"/>
      <c r="H1857" s="3"/>
      <c r="I1857" s="3"/>
    </row>
    <row r="1858" spans="1:9" ht="15.75" customHeight="1" x14ac:dyDescent="0.2">
      <c r="A1858" s="9"/>
      <c r="B1858" s="9"/>
      <c r="C1858" s="3"/>
      <c r="D1858" s="3"/>
      <c r="E1858" s="3"/>
      <c r="F1858" s="3"/>
      <c r="G1858" s="3"/>
      <c r="H1858" s="3"/>
      <c r="I1858" s="3"/>
    </row>
    <row r="1859" spans="1:9" ht="15.75" customHeight="1" x14ac:dyDescent="0.2">
      <c r="A1859" s="9"/>
      <c r="B1859" s="9"/>
      <c r="C1859" s="3"/>
      <c r="D1859" s="3"/>
      <c r="E1859" s="3"/>
      <c r="F1859" s="3"/>
      <c r="G1859" s="3"/>
      <c r="H1859" s="3"/>
      <c r="I1859" s="3"/>
    </row>
    <row r="1860" spans="1:9" ht="15.75" customHeight="1" x14ac:dyDescent="0.2">
      <c r="A1860" s="9"/>
      <c r="B1860" s="9"/>
      <c r="C1860" s="3"/>
      <c r="D1860" s="3"/>
      <c r="E1860" s="3"/>
      <c r="F1860" s="3"/>
      <c r="G1860" s="3"/>
      <c r="H1860" s="3"/>
      <c r="I1860" s="3"/>
    </row>
    <row r="1861" spans="1:9" ht="15.75" customHeight="1" x14ac:dyDescent="0.2">
      <c r="A1861" s="9"/>
      <c r="B1861" s="9"/>
      <c r="C1861" s="3"/>
      <c r="D1861" s="3"/>
      <c r="E1861" s="3"/>
      <c r="F1861" s="3"/>
      <c r="G1861" s="3"/>
      <c r="H1861" s="3"/>
      <c r="I1861" s="3"/>
    </row>
    <row r="1862" spans="1:9" ht="15.75" customHeight="1" x14ac:dyDescent="0.2">
      <c r="A1862" s="9"/>
      <c r="B1862" s="9"/>
      <c r="C1862" s="3"/>
      <c r="D1862" s="3"/>
      <c r="E1862" s="3"/>
      <c r="F1862" s="3"/>
      <c r="G1862" s="3"/>
      <c r="H1862" s="3"/>
      <c r="I1862" s="3"/>
    </row>
    <row r="1863" spans="1:9" ht="15.75" customHeight="1" x14ac:dyDescent="0.2">
      <c r="A1863" s="9"/>
      <c r="B1863" s="9"/>
      <c r="C1863" s="3"/>
      <c r="D1863" s="3"/>
      <c r="E1863" s="3"/>
      <c r="F1863" s="3"/>
      <c r="G1863" s="3"/>
      <c r="H1863" s="3"/>
      <c r="I1863" s="3"/>
    </row>
    <row r="1864" spans="1:9" ht="15.75" customHeight="1" x14ac:dyDescent="0.2">
      <c r="A1864" s="9"/>
      <c r="B1864" s="9"/>
      <c r="C1864" s="3"/>
      <c r="D1864" s="3"/>
      <c r="E1864" s="3"/>
      <c r="F1864" s="3"/>
      <c r="G1864" s="3"/>
      <c r="H1864" s="3"/>
      <c r="I1864" s="3"/>
    </row>
    <row r="1865" spans="1:9" ht="15.75" customHeight="1" x14ac:dyDescent="0.2">
      <c r="A1865" s="9"/>
      <c r="B1865" s="9"/>
      <c r="C1865" s="3"/>
      <c r="D1865" s="3"/>
      <c r="E1865" s="3"/>
      <c r="F1865" s="3"/>
      <c r="G1865" s="3"/>
      <c r="H1865" s="3"/>
      <c r="I1865" s="3"/>
    </row>
    <row r="1866" spans="1:9" ht="15.75" customHeight="1" x14ac:dyDescent="0.2">
      <c r="A1866" s="9"/>
      <c r="B1866" s="9"/>
      <c r="C1866" s="3"/>
      <c r="D1866" s="3"/>
      <c r="E1866" s="3"/>
      <c r="F1866" s="3"/>
      <c r="G1866" s="3"/>
      <c r="H1866" s="3"/>
      <c r="I1866" s="3"/>
    </row>
    <row r="1867" spans="1:9" ht="15.75" customHeight="1" x14ac:dyDescent="0.2">
      <c r="A1867" s="9"/>
      <c r="B1867" s="9"/>
      <c r="C1867" s="3"/>
      <c r="D1867" s="3"/>
      <c r="E1867" s="3"/>
      <c r="F1867" s="3"/>
      <c r="G1867" s="3"/>
      <c r="H1867" s="3"/>
      <c r="I1867" s="3"/>
    </row>
    <row r="1868" spans="1:9" ht="15.75" customHeight="1" x14ac:dyDescent="0.2">
      <c r="A1868" s="9"/>
      <c r="B1868" s="9"/>
      <c r="C1868" s="3"/>
      <c r="D1868" s="3"/>
      <c r="E1868" s="3"/>
      <c r="F1868" s="3"/>
      <c r="G1868" s="3"/>
      <c r="H1868" s="3"/>
      <c r="I1868" s="3"/>
    </row>
    <row r="1869" spans="1:9" ht="15.75" customHeight="1" x14ac:dyDescent="0.2">
      <c r="A1869" s="9"/>
      <c r="B1869" s="9"/>
      <c r="C1869" s="3"/>
      <c r="D1869" s="3"/>
      <c r="E1869" s="3"/>
      <c r="F1869" s="3"/>
      <c r="G1869" s="3"/>
      <c r="H1869" s="3"/>
      <c r="I1869" s="3"/>
    </row>
    <row r="1870" spans="1:9" ht="15.75" customHeight="1" x14ac:dyDescent="0.2">
      <c r="A1870" s="9"/>
      <c r="B1870" s="9"/>
      <c r="C1870" s="3"/>
      <c r="D1870" s="3"/>
      <c r="E1870" s="3"/>
      <c r="F1870" s="3"/>
      <c r="G1870" s="3"/>
      <c r="H1870" s="3"/>
      <c r="I1870" s="3"/>
    </row>
    <row r="1871" spans="1:9" ht="15.75" customHeight="1" x14ac:dyDescent="0.2">
      <c r="A1871" s="9"/>
      <c r="B1871" s="9"/>
      <c r="C1871" s="3"/>
      <c r="D1871" s="3"/>
      <c r="E1871" s="3"/>
      <c r="F1871" s="3"/>
      <c r="G1871" s="3"/>
      <c r="H1871" s="3"/>
      <c r="I1871" s="3"/>
    </row>
    <row r="1872" spans="1:9" ht="15.75" customHeight="1" x14ac:dyDescent="0.2">
      <c r="A1872" s="9"/>
      <c r="B1872" s="9"/>
      <c r="C1872" s="3"/>
      <c r="D1872" s="3"/>
      <c r="E1872" s="3"/>
      <c r="F1872" s="3"/>
      <c r="G1872" s="3"/>
      <c r="H1872" s="3"/>
      <c r="I1872" s="3"/>
    </row>
    <row r="1873" spans="1:9" ht="15.75" customHeight="1" x14ac:dyDescent="0.2">
      <c r="A1873" s="9"/>
      <c r="B1873" s="9"/>
      <c r="C1873" s="3"/>
      <c r="D1873" s="3"/>
      <c r="E1873" s="3"/>
      <c r="F1873" s="3"/>
      <c r="G1873" s="3"/>
      <c r="H1873" s="3"/>
      <c r="I1873" s="3"/>
    </row>
    <row r="1874" spans="1:9" ht="15.75" customHeight="1" x14ac:dyDescent="0.2">
      <c r="A1874" s="9"/>
      <c r="B1874" s="9"/>
      <c r="C1874" s="3"/>
      <c r="D1874" s="3"/>
      <c r="E1874" s="3"/>
      <c r="F1874" s="3"/>
      <c r="G1874" s="3"/>
      <c r="H1874" s="3"/>
      <c r="I1874" s="3"/>
    </row>
    <row r="1875" spans="1:9" ht="15.75" customHeight="1" x14ac:dyDescent="0.2">
      <c r="A1875" s="9"/>
      <c r="B1875" s="9"/>
      <c r="C1875" s="3"/>
      <c r="D1875" s="3"/>
      <c r="E1875" s="3"/>
      <c r="F1875" s="3"/>
      <c r="G1875" s="3"/>
      <c r="H1875" s="3"/>
      <c r="I1875" s="3"/>
    </row>
    <row r="1876" spans="1:9" ht="15.75" customHeight="1" x14ac:dyDescent="0.2">
      <c r="A1876" s="9"/>
      <c r="B1876" s="9"/>
      <c r="C1876" s="3"/>
      <c r="D1876" s="3"/>
      <c r="E1876" s="3"/>
      <c r="F1876" s="3"/>
      <c r="G1876" s="3"/>
      <c r="H1876" s="3"/>
      <c r="I1876" s="3"/>
    </row>
    <row r="1877" spans="1:9" ht="15.75" customHeight="1" x14ac:dyDescent="0.2">
      <c r="A1877" s="9"/>
      <c r="B1877" s="9"/>
      <c r="C1877" s="3"/>
      <c r="D1877" s="3"/>
      <c r="E1877" s="3"/>
      <c r="F1877" s="3"/>
      <c r="G1877" s="3"/>
      <c r="H1877" s="3"/>
      <c r="I1877" s="3"/>
    </row>
    <row r="1878" spans="1:9" ht="15.75" customHeight="1" x14ac:dyDescent="0.2">
      <c r="A1878" s="9"/>
      <c r="B1878" s="9"/>
      <c r="C1878" s="3"/>
      <c r="D1878" s="3"/>
      <c r="E1878" s="3"/>
      <c r="F1878" s="3"/>
      <c r="G1878" s="3"/>
      <c r="H1878" s="3"/>
      <c r="I1878" s="3"/>
    </row>
    <row r="1879" spans="1:9" ht="15.75" customHeight="1" x14ac:dyDescent="0.2">
      <c r="A1879" s="9"/>
      <c r="B1879" s="9"/>
      <c r="C1879" s="3"/>
      <c r="D1879" s="3"/>
      <c r="E1879" s="3"/>
      <c r="F1879" s="3"/>
      <c r="G1879" s="3"/>
      <c r="H1879" s="3"/>
      <c r="I1879" s="3"/>
    </row>
    <row r="1880" spans="1:9" ht="15.75" customHeight="1" x14ac:dyDescent="0.2">
      <c r="A1880" s="9"/>
      <c r="B1880" s="9"/>
      <c r="C1880" s="3"/>
      <c r="D1880" s="3"/>
      <c r="E1880" s="3"/>
      <c r="F1880" s="3"/>
      <c r="G1880" s="3"/>
      <c r="H1880" s="3"/>
      <c r="I1880" s="3"/>
    </row>
    <row r="1881" spans="1:9" ht="15.75" customHeight="1" x14ac:dyDescent="0.2">
      <c r="A1881" s="9"/>
      <c r="B1881" s="9"/>
      <c r="C1881" s="3"/>
      <c r="D1881" s="3"/>
      <c r="E1881" s="3"/>
      <c r="F1881" s="3"/>
      <c r="G1881" s="3"/>
      <c r="H1881" s="3"/>
      <c r="I1881" s="3"/>
    </row>
    <row r="1882" spans="1:9" ht="15.75" customHeight="1" x14ac:dyDescent="0.2">
      <c r="A1882" s="9"/>
      <c r="B1882" s="9"/>
      <c r="C1882" s="3"/>
      <c r="D1882" s="3"/>
      <c r="E1882" s="3"/>
      <c r="F1882" s="3"/>
      <c r="G1882" s="3"/>
      <c r="H1882" s="3"/>
      <c r="I1882" s="3"/>
    </row>
    <row r="1883" spans="1:9" ht="15.75" customHeight="1" x14ac:dyDescent="0.2">
      <c r="A1883" s="9"/>
      <c r="B1883" s="9"/>
      <c r="C1883" s="3"/>
      <c r="D1883" s="3"/>
      <c r="E1883" s="3"/>
      <c r="F1883" s="3"/>
      <c r="G1883" s="3"/>
      <c r="H1883" s="3"/>
      <c r="I1883" s="3"/>
    </row>
    <row r="1884" spans="1:9" ht="15.75" customHeight="1" x14ac:dyDescent="0.2">
      <c r="A1884" s="9"/>
      <c r="B1884" s="9"/>
      <c r="C1884" s="3"/>
      <c r="D1884" s="3"/>
      <c r="E1884" s="3"/>
      <c r="F1884" s="3"/>
      <c r="G1884" s="3"/>
      <c r="H1884" s="3"/>
      <c r="I1884" s="3"/>
    </row>
    <row r="1885" spans="1:9" ht="15.75" customHeight="1" x14ac:dyDescent="0.2">
      <c r="A1885" s="9"/>
      <c r="B1885" s="9"/>
      <c r="C1885" s="3"/>
      <c r="D1885" s="3"/>
      <c r="E1885" s="3"/>
      <c r="F1885" s="3"/>
      <c r="G1885" s="3"/>
      <c r="H1885" s="3"/>
      <c r="I1885" s="3"/>
    </row>
    <row r="1886" spans="1:9" ht="15.75" customHeight="1" x14ac:dyDescent="0.2">
      <c r="A1886" s="9"/>
      <c r="B1886" s="9"/>
      <c r="C1886" s="3"/>
      <c r="D1886" s="3"/>
      <c r="E1886" s="3"/>
      <c r="F1886" s="3"/>
      <c r="G1886" s="3"/>
      <c r="H1886" s="3"/>
      <c r="I1886" s="3"/>
    </row>
    <row r="1887" spans="1:9" ht="15.75" customHeight="1" x14ac:dyDescent="0.2">
      <c r="A1887" s="9"/>
      <c r="B1887" s="9"/>
      <c r="C1887" s="3"/>
      <c r="D1887" s="3"/>
      <c r="E1887" s="3"/>
      <c r="F1887" s="3"/>
      <c r="G1887" s="3"/>
      <c r="H1887" s="3"/>
      <c r="I1887" s="3"/>
    </row>
    <row r="1888" spans="1:9" ht="15.75" customHeight="1" x14ac:dyDescent="0.2">
      <c r="A1888" s="9"/>
      <c r="B1888" s="9"/>
      <c r="C1888" s="3"/>
      <c r="D1888" s="3"/>
      <c r="E1888" s="3"/>
      <c r="F1888" s="3"/>
      <c r="G1888" s="3"/>
      <c r="H1888" s="3"/>
      <c r="I1888" s="3"/>
    </row>
    <row r="1889" spans="1:9" ht="15.75" customHeight="1" x14ac:dyDescent="0.2">
      <c r="A1889" s="9"/>
      <c r="B1889" s="9"/>
      <c r="C1889" s="3"/>
      <c r="D1889" s="3"/>
      <c r="E1889" s="3"/>
      <c r="F1889" s="3"/>
      <c r="G1889" s="3"/>
      <c r="H1889" s="3"/>
      <c r="I1889" s="3"/>
    </row>
    <row r="1890" spans="1:9" ht="15.75" customHeight="1" x14ac:dyDescent="0.2">
      <c r="A1890" s="9"/>
      <c r="B1890" s="9"/>
      <c r="C1890" s="3"/>
      <c r="D1890" s="3"/>
      <c r="E1890" s="3"/>
      <c r="F1890" s="3"/>
      <c r="G1890" s="3"/>
      <c r="H1890" s="3"/>
      <c r="I1890" s="3"/>
    </row>
    <row r="1891" spans="1:9" ht="15.75" customHeight="1" x14ac:dyDescent="0.2">
      <c r="A1891" s="9"/>
      <c r="B1891" s="9"/>
      <c r="C1891" s="3"/>
      <c r="D1891" s="3"/>
      <c r="E1891" s="3"/>
      <c r="F1891" s="3"/>
      <c r="G1891" s="3"/>
      <c r="H1891" s="3"/>
      <c r="I1891" s="3"/>
    </row>
    <row r="1892" spans="1:9" ht="15.75" customHeight="1" x14ac:dyDescent="0.2">
      <c r="A1892" s="9"/>
      <c r="B1892" s="9"/>
      <c r="C1892" s="3"/>
      <c r="D1892" s="3"/>
      <c r="E1892" s="3"/>
      <c r="F1892" s="3"/>
      <c r="G1892" s="3"/>
      <c r="H1892" s="3"/>
      <c r="I1892" s="3"/>
    </row>
    <row r="1893" spans="1:9" ht="15.75" customHeight="1" x14ac:dyDescent="0.2">
      <c r="A1893" s="9"/>
      <c r="B1893" s="9"/>
      <c r="C1893" s="3"/>
      <c r="D1893" s="3"/>
      <c r="E1893" s="3"/>
      <c r="F1893" s="3"/>
      <c r="G1893" s="3"/>
      <c r="H1893" s="3"/>
      <c r="I1893" s="3"/>
    </row>
    <row r="1894" spans="1:9" ht="15.75" customHeight="1" x14ac:dyDescent="0.2">
      <c r="A1894" s="9"/>
      <c r="B1894" s="9"/>
      <c r="C1894" s="3"/>
      <c r="D1894" s="3"/>
      <c r="E1894" s="3"/>
      <c r="F1894" s="3"/>
      <c r="G1894" s="3"/>
      <c r="H1894" s="3"/>
      <c r="I1894" s="3"/>
    </row>
    <row r="1895" spans="1:9" ht="15.75" customHeight="1" x14ac:dyDescent="0.2">
      <c r="A1895" s="9"/>
      <c r="B1895" s="9"/>
      <c r="C1895" s="3"/>
      <c r="D1895" s="3"/>
      <c r="E1895" s="3"/>
      <c r="F1895" s="3"/>
      <c r="G1895" s="3"/>
      <c r="H1895" s="3"/>
      <c r="I1895" s="3"/>
    </row>
    <row r="1896" spans="1:9" ht="15.75" customHeight="1" x14ac:dyDescent="0.2">
      <c r="A1896" s="9"/>
      <c r="B1896" s="9"/>
      <c r="C1896" s="3"/>
      <c r="D1896" s="3"/>
      <c r="E1896" s="3"/>
      <c r="F1896" s="3"/>
      <c r="G1896" s="3"/>
      <c r="H1896" s="3"/>
      <c r="I1896" s="3"/>
    </row>
    <row r="1897" spans="1:9" ht="15.75" customHeight="1" x14ac:dyDescent="0.2">
      <c r="A1897" s="9"/>
      <c r="B1897" s="9"/>
      <c r="C1897" s="3"/>
      <c r="D1897" s="3"/>
      <c r="E1897" s="3"/>
      <c r="F1897" s="3"/>
      <c r="G1897" s="3"/>
      <c r="H1897" s="3"/>
      <c r="I1897" s="3"/>
    </row>
    <row r="1898" spans="1:9" ht="15.75" customHeight="1" x14ac:dyDescent="0.2">
      <c r="A1898" s="9"/>
      <c r="B1898" s="9"/>
      <c r="C1898" s="3"/>
      <c r="D1898" s="3"/>
      <c r="E1898" s="3"/>
      <c r="F1898" s="3"/>
      <c r="G1898" s="3"/>
      <c r="H1898" s="3"/>
      <c r="I1898" s="3"/>
    </row>
    <row r="1899" spans="1:9" ht="15.75" customHeight="1" x14ac:dyDescent="0.2">
      <c r="A1899" s="9"/>
      <c r="B1899" s="9"/>
      <c r="C1899" s="3"/>
      <c r="D1899" s="3"/>
      <c r="E1899" s="3"/>
      <c r="F1899" s="3"/>
      <c r="G1899" s="3"/>
      <c r="H1899" s="3"/>
      <c r="I1899" s="3"/>
    </row>
    <row r="1900" spans="1:9" ht="15.75" customHeight="1" x14ac:dyDescent="0.2">
      <c r="A1900" s="9"/>
      <c r="B1900" s="9"/>
      <c r="C1900" s="3"/>
      <c r="D1900" s="3"/>
      <c r="E1900" s="3"/>
      <c r="F1900" s="3"/>
      <c r="G1900" s="3"/>
      <c r="H1900" s="3"/>
      <c r="I1900" s="3"/>
    </row>
    <row r="1901" spans="1:9" ht="15.75" customHeight="1" x14ac:dyDescent="0.2">
      <c r="A1901" s="9"/>
      <c r="B1901" s="9"/>
      <c r="C1901" s="3"/>
      <c r="D1901" s="3"/>
      <c r="E1901" s="3"/>
      <c r="F1901" s="3"/>
      <c r="G1901" s="3"/>
      <c r="H1901" s="3"/>
      <c r="I1901" s="3"/>
    </row>
    <row r="1902" spans="1:9" ht="15.75" customHeight="1" x14ac:dyDescent="0.2">
      <c r="A1902" s="9"/>
      <c r="B1902" s="9"/>
      <c r="C1902" s="3"/>
      <c r="D1902" s="3"/>
      <c r="E1902" s="3"/>
      <c r="F1902" s="3"/>
      <c r="G1902" s="3"/>
      <c r="H1902" s="3"/>
      <c r="I1902" s="3"/>
    </row>
    <row r="1903" spans="1:9" ht="15.75" customHeight="1" x14ac:dyDescent="0.2">
      <c r="A1903" s="9"/>
      <c r="B1903" s="9"/>
      <c r="C1903" s="3"/>
      <c r="D1903" s="3"/>
      <c r="E1903" s="3"/>
      <c r="F1903" s="3"/>
      <c r="G1903" s="3"/>
      <c r="H1903" s="3"/>
      <c r="I1903" s="3"/>
    </row>
    <row r="1904" spans="1:9" ht="15.75" customHeight="1" x14ac:dyDescent="0.2">
      <c r="A1904" s="9"/>
      <c r="B1904" s="9"/>
      <c r="C1904" s="3"/>
      <c r="D1904" s="3"/>
      <c r="E1904" s="3"/>
      <c r="F1904" s="3"/>
      <c r="G1904" s="3"/>
      <c r="H1904" s="3"/>
      <c r="I1904" s="3"/>
    </row>
    <row r="1905" spans="1:9" ht="15.75" customHeight="1" x14ac:dyDescent="0.2">
      <c r="A1905" s="9"/>
      <c r="B1905" s="9"/>
      <c r="C1905" s="3"/>
      <c r="D1905" s="3"/>
      <c r="E1905" s="3"/>
      <c r="F1905" s="3"/>
      <c r="G1905" s="3"/>
      <c r="H1905" s="3"/>
      <c r="I1905" s="3"/>
    </row>
    <row r="1906" spans="1:9" ht="15.75" customHeight="1" x14ac:dyDescent="0.2">
      <c r="A1906" s="9"/>
      <c r="B1906" s="9"/>
      <c r="C1906" s="3"/>
      <c r="D1906" s="3"/>
      <c r="E1906" s="3"/>
      <c r="F1906" s="3"/>
      <c r="G1906" s="3"/>
      <c r="H1906" s="3"/>
      <c r="I1906" s="3"/>
    </row>
    <row r="1907" spans="1:9" ht="15.75" customHeight="1" x14ac:dyDescent="0.2">
      <c r="A1907" s="9"/>
      <c r="B1907" s="9"/>
      <c r="C1907" s="3"/>
      <c r="D1907" s="3"/>
      <c r="E1907" s="3"/>
      <c r="F1907" s="3"/>
      <c r="G1907" s="3"/>
      <c r="H1907" s="3"/>
      <c r="I1907" s="3"/>
    </row>
    <row r="1908" spans="1:9" ht="15.75" customHeight="1" x14ac:dyDescent="0.2">
      <c r="A1908" s="9"/>
      <c r="B1908" s="9"/>
      <c r="C1908" s="3"/>
      <c r="D1908" s="3"/>
      <c r="E1908" s="3"/>
      <c r="F1908" s="3"/>
      <c r="G1908" s="3"/>
      <c r="H1908" s="3"/>
      <c r="I1908" s="3"/>
    </row>
    <row r="1909" spans="1:9" ht="15.75" customHeight="1" x14ac:dyDescent="0.2">
      <c r="A1909" s="9"/>
      <c r="B1909" s="9"/>
      <c r="C1909" s="3"/>
      <c r="D1909" s="3"/>
      <c r="E1909" s="3"/>
      <c r="F1909" s="3"/>
      <c r="G1909" s="3"/>
      <c r="H1909" s="3"/>
      <c r="I1909" s="3"/>
    </row>
    <row r="1910" spans="1:9" ht="15.75" customHeight="1" x14ac:dyDescent="0.2">
      <c r="A1910" s="9"/>
      <c r="B1910" s="9"/>
      <c r="C1910" s="3"/>
      <c r="D1910" s="3"/>
      <c r="E1910" s="3"/>
      <c r="F1910" s="3"/>
      <c r="G1910" s="3"/>
      <c r="H1910" s="3"/>
      <c r="I1910" s="3"/>
    </row>
    <row r="1911" spans="1:9" ht="15.75" customHeight="1" x14ac:dyDescent="0.2">
      <c r="A1911" s="9"/>
      <c r="B1911" s="9"/>
      <c r="C1911" s="3"/>
      <c r="D1911" s="3"/>
      <c r="E1911" s="3"/>
      <c r="F1911" s="3"/>
      <c r="G1911" s="3"/>
      <c r="H1911" s="3"/>
      <c r="I1911" s="3"/>
    </row>
    <row r="1912" spans="1:9" ht="15.75" customHeight="1" x14ac:dyDescent="0.2">
      <c r="A1912" s="9"/>
      <c r="B1912" s="9"/>
      <c r="C1912" s="3"/>
      <c r="D1912" s="3"/>
      <c r="E1912" s="3"/>
      <c r="F1912" s="3"/>
      <c r="G1912" s="3"/>
      <c r="H1912" s="3"/>
      <c r="I1912" s="3"/>
    </row>
    <row r="1913" spans="1:9" ht="15.75" customHeight="1" x14ac:dyDescent="0.2">
      <c r="A1913" s="9"/>
      <c r="B1913" s="9"/>
      <c r="C1913" s="3"/>
      <c r="D1913" s="3"/>
      <c r="E1913" s="3"/>
      <c r="F1913" s="3"/>
      <c r="G1913" s="3"/>
      <c r="H1913" s="3"/>
      <c r="I1913" s="3"/>
    </row>
    <row r="1914" spans="1:9" ht="15.75" customHeight="1" x14ac:dyDescent="0.2">
      <c r="A1914" s="9"/>
      <c r="B1914" s="9"/>
      <c r="C1914" s="3"/>
      <c r="D1914" s="3"/>
      <c r="E1914" s="3"/>
      <c r="F1914" s="3"/>
      <c r="G1914" s="3"/>
      <c r="H1914" s="3"/>
      <c r="I1914" s="3"/>
    </row>
    <row r="1915" spans="1:9" ht="15.75" customHeight="1" x14ac:dyDescent="0.2">
      <c r="A1915" s="9"/>
      <c r="B1915" s="9"/>
      <c r="C1915" s="3"/>
      <c r="D1915" s="3"/>
      <c r="E1915" s="3"/>
      <c r="F1915" s="3"/>
      <c r="G1915" s="3"/>
      <c r="H1915" s="3"/>
      <c r="I1915" s="3"/>
    </row>
    <row r="1916" spans="1:9" ht="15.75" customHeight="1" x14ac:dyDescent="0.2">
      <c r="A1916" s="9"/>
      <c r="B1916" s="9"/>
      <c r="C1916" s="3"/>
      <c r="D1916" s="3"/>
      <c r="E1916" s="3"/>
      <c r="F1916" s="3"/>
      <c r="G1916" s="3"/>
      <c r="H1916" s="3"/>
      <c r="I1916" s="3"/>
    </row>
    <row r="1917" spans="1:9" ht="15.75" customHeight="1" x14ac:dyDescent="0.2">
      <c r="A1917" s="9"/>
      <c r="B1917" s="9"/>
      <c r="C1917" s="3"/>
      <c r="D1917" s="3"/>
      <c r="E1917" s="3"/>
      <c r="F1917" s="3"/>
      <c r="G1917" s="3"/>
      <c r="H1917" s="3"/>
      <c r="I1917" s="3"/>
    </row>
    <row r="1918" spans="1:9" ht="15.75" customHeight="1" x14ac:dyDescent="0.2">
      <c r="A1918" s="9"/>
      <c r="B1918" s="9"/>
      <c r="C1918" s="3"/>
      <c r="D1918" s="3"/>
      <c r="E1918" s="3"/>
      <c r="F1918" s="3"/>
      <c r="G1918" s="3"/>
      <c r="H1918" s="3"/>
      <c r="I1918" s="3"/>
    </row>
    <row r="1919" spans="1:9" ht="15.75" customHeight="1" x14ac:dyDescent="0.2">
      <c r="A1919" s="9"/>
      <c r="B1919" s="9"/>
      <c r="C1919" s="3"/>
      <c r="D1919" s="3"/>
      <c r="E1919" s="3"/>
      <c r="F1919" s="3"/>
      <c r="G1919" s="3"/>
      <c r="H1919" s="3"/>
      <c r="I1919" s="3"/>
    </row>
    <row r="1920" spans="1:9" ht="15.75" customHeight="1" x14ac:dyDescent="0.2">
      <c r="A1920" s="9"/>
      <c r="B1920" s="9"/>
      <c r="C1920" s="3"/>
      <c r="D1920" s="3"/>
      <c r="E1920" s="3"/>
      <c r="F1920" s="3"/>
      <c r="G1920" s="3"/>
      <c r="H1920" s="3"/>
      <c r="I1920" s="3"/>
    </row>
    <row r="1921" spans="1:9" ht="15.75" customHeight="1" x14ac:dyDescent="0.2">
      <c r="A1921" s="9"/>
      <c r="B1921" s="9"/>
      <c r="C1921" s="3"/>
      <c r="D1921" s="3"/>
      <c r="E1921" s="3"/>
      <c r="F1921" s="3"/>
      <c r="G1921" s="3"/>
      <c r="H1921" s="3"/>
      <c r="I1921" s="3"/>
    </row>
    <row r="1922" spans="1:9" ht="15.75" customHeight="1" x14ac:dyDescent="0.2">
      <c r="A1922" s="9"/>
      <c r="B1922" s="9"/>
      <c r="C1922" s="3"/>
      <c r="D1922" s="3"/>
      <c r="E1922" s="3"/>
      <c r="F1922" s="3"/>
      <c r="G1922" s="3"/>
      <c r="H1922" s="3"/>
      <c r="I1922" s="3"/>
    </row>
    <row r="1923" spans="1:9" ht="15.75" customHeight="1" x14ac:dyDescent="0.2">
      <c r="A1923" s="9"/>
      <c r="B1923" s="9"/>
      <c r="C1923" s="3"/>
      <c r="D1923" s="3"/>
      <c r="E1923" s="3"/>
      <c r="F1923" s="3"/>
      <c r="G1923" s="3"/>
      <c r="H1923" s="3"/>
      <c r="I1923" s="3"/>
    </row>
    <row r="1924" spans="1:9" ht="15.75" customHeight="1" x14ac:dyDescent="0.2">
      <c r="A1924" s="9"/>
      <c r="B1924" s="9"/>
      <c r="C1924" s="3"/>
      <c r="D1924" s="3"/>
      <c r="E1924" s="3"/>
      <c r="F1924" s="3"/>
      <c r="G1924" s="3"/>
      <c r="H1924" s="3"/>
      <c r="I1924" s="3"/>
    </row>
    <row r="1925" spans="1:9" ht="15.75" customHeight="1" x14ac:dyDescent="0.2">
      <c r="A1925" s="9"/>
      <c r="B1925" s="9"/>
      <c r="C1925" s="3"/>
      <c r="D1925" s="3"/>
      <c r="E1925" s="3"/>
      <c r="F1925" s="3"/>
      <c r="G1925" s="3"/>
      <c r="H1925" s="3"/>
      <c r="I1925" s="3"/>
    </row>
    <row r="1926" spans="1:9" ht="15.75" customHeight="1" x14ac:dyDescent="0.2">
      <c r="A1926" s="9"/>
      <c r="B1926" s="9"/>
      <c r="C1926" s="3"/>
      <c r="D1926" s="3"/>
      <c r="E1926" s="3"/>
      <c r="F1926" s="3"/>
      <c r="G1926" s="3"/>
      <c r="H1926" s="3"/>
      <c r="I1926" s="3"/>
    </row>
    <row r="1927" spans="1:9" ht="15.75" customHeight="1" x14ac:dyDescent="0.2">
      <c r="A1927" s="9"/>
      <c r="B1927" s="9"/>
      <c r="C1927" s="3"/>
      <c r="D1927" s="3"/>
      <c r="E1927" s="3"/>
      <c r="F1927" s="3"/>
      <c r="G1927" s="3"/>
      <c r="H1927" s="3"/>
      <c r="I1927" s="3"/>
    </row>
    <row r="1928" spans="1:9" ht="15.75" customHeight="1" x14ac:dyDescent="0.2">
      <c r="A1928" s="9"/>
      <c r="B1928" s="9"/>
      <c r="C1928" s="3"/>
      <c r="D1928" s="3"/>
      <c r="E1928" s="3"/>
      <c r="F1928" s="3"/>
      <c r="G1928" s="3"/>
      <c r="H1928" s="3"/>
      <c r="I1928" s="3"/>
    </row>
    <row r="1929" spans="1:9" ht="15.75" customHeight="1" x14ac:dyDescent="0.2">
      <c r="A1929" s="9"/>
      <c r="B1929" s="9"/>
      <c r="C1929" s="3"/>
      <c r="D1929" s="3"/>
      <c r="E1929" s="3"/>
      <c r="F1929" s="3"/>
      <c r="G1929" s="3"/>
      <c r="H1929" s="3"/>
      <c r="I1929" s="3"/>
    </row>
    <row r="1930" spans="1:9" ht="15.75" customHeight="1" x14ac:dyDescent="0.2">
      <c r="A1930" s="9"/>
      <c r="B1930" s="9"/>
      <c r="C1930" s="3"/>
      <c r="D1930" s="3"/>
      <c r="E1930" s="3"/>
      <c r="F1930" s="3"/>
      <c r="G1930" s="3"/>
      <c r="H1930" s="3"/>
      <c r="I1930" s="3"/>
    </row>
    <row r="1931" spans="1:9" ht="15.75" customHeight="1" x14ac:dyDescent="0.2">
      <c r="A1931" s="9"/>
      <c r="B1931" s="9"/>
      <c r="C1931" s="3"/>
      <c r="D1931" s="3"/>
      <c r="E1931" s="3"/>
      <c r="F1931" s="3"/>
      <c r="G1931" s="3"/>
      <c r="H1931" s="3"/>
      <c r="I1931" s="3"/>
    </row>
    <row r="1932" spans="1:9" ht="15.75" customHeight="1" x14ac:dyDescent="0.2">
      <c r="A1932" s="9"/>
      <c r="B1932" s="9"/>
      <c r="C1932" s="3"/>
      <c r="D1932" s="3"/>
      <c r="E1932" s="3"/>
      <c r="F1932" s="3"/>
      <c r="G1932" s="3"/>
      <c r="H1932" s="3"/>
      <c r="I1932" s="3"/>
    </row>
    <row r="1933" spans="1:9" ht="15.75" customHeight="1" x14ac:dyDescent="0.2">
      <c r="A1933" s="9"/>
      <c r="B1933" s="9"/>
      <c r="C1933" s="3"/>
      <c r="D1933" s="3"/>
      <c r="E1933" s="3"/>
      <c r="F1933" s="3"/>
      <c r="G1933" s="3"/>
      <c r="H1933" s="3"/>
      <c r="I1933" s="3"/>
    </row>
    <row r="1934" spans="1:9" ht="15.75" customHeight="1" x14ac:dyDescent="0.2">
      <c r="A1934" s="9"/>
      <c r="B1934" s="9"/>
      <c r="C1934" s="3"/>
      <c r="D1934" s="3"/>
      <c r="E1934" s="3"/>
      <c r="F1934" s="3"/>
      <c r="G1934" s="3"/>
      <c r="H1934" s="3"/>
      <c r="I1934" s="3"/>
    </row>
    <row r="1935" spans="1:9" ht="15.75" customHeight="1" x14ac:dyDescent="0.2">
      <c r="A1935" s="9"/>
      <c r="B1935" s="9"/>
      <c r="C1935" s="3"/>
      <c r="D1935" s="3"/>
      <c r="E1935" s="3"/>
      <c r="F1935" s="3"/>
      <c r="G1935" s="3"/>
      <c r="H1935" s="3"/>
      <c r="I1935" s="3"/>
    </row>
    <row r="1936" spans="1:9" ht="15.75" customHeight="1" x14ac:dyDescent="0.2">
      <c r="A1936" s="9"/>
      <c r="B1936" s="9"/>
      <c r="C1936" s="3"/>
      <c r="D1936" s="3"/>
      <c r="E1936" s="3"/>
      <c r="F1936" s="3"/>
      <c r="G1936" s="3"/>
      <c r="H1936" s="3"/>
      <c r="I1936" s="3"/>
    </row>
    <row r="1937" spans="1:9" ht="15.75" customHeight="1" x14ac:dyDescent="0.2">
      <c r="A1937" s="9"/>
      <c r="B1937" s="9"/>
      <c r="C1937" s="3"/>
      <c r="D1937" s="3"/>
      <c r="E1937" s="3"/>
      <c r="F1937" s="3"/>
      <c r="G1937" s="3"/>
      <c r="H1937" s="3"/>
      <c r="I1937" s="3"/>
    </row>
    <row r="1938" spans="1:9" ht="15.75" customHeight="1" x14ac:dyDescent="0.2">
      <c r="A1938" s="9"/>
      <c r="B1938" s="9"/>
      <c r="C1938" s="3"/>
      <c r="D1938" s="3"/>
      <c r="E1938" s="3"/>
      <c r="F1938" s="3"/>
      <c r="G1938" s="3"/>
      <c r="H1938" s="3"/>
      <c r="I1938" s="3"/>
    </row>
    <row r="1939" spans="1:9" ht="15.75" customHeight="1" x14ac:dyDescent="0.2">
      <c r="A1939" s="9"/>
      <c r="B1939" s="9"/>
      <c r="C1939" s="3"/>
      <c r="D1939" s="3"/>
      <c r="E1939" s="3"/>
      <c r="F1939" s="3"/>
      <c r="G1939" s="3"/>
      <c r="H1939" s="3"/>
      <c r="I1939" s="3"/>
    </row>
    <row r="1940" spans="1:9" ht="15.75" customHeight="1" x14ac:dyDescent="0.2">
      <c r="A1940" s="9"/>
      <c r="B1940" s="9"/>
      <c r="C1940" s="3"/>
      <c r="D1940" s="3"/>
      <c r="E1940" s="3"/>
      <c r="F1940" s="3"/>
      <c r="G1940" s="3"/>
      <c r="H1940" s="3"/>
      <c r="I1940" s="3"/>
    </row>
    <row r="1941" spans="1:9" ht="15.75" customHeight="1" x14ac:dyDescent="0.2">
      <c r="A1941" s="9"/>
      <c r="B1941" s="9"/>
      <c r="C1941" s="3"/>
      <c r="D1941" s="3"/>
      <c r="E1941" s="3"/>
      <c r="F1941" s="3"/>
      <c r="G1941" s="3"/>
      <c r="H1941" s="3"/>
      <c r="I1941" s="3"/>
    </row>
    <row r="1942" spans="1:9" ht="15.75" customHeight="1" x14ac:dyDescent="0.2">
      <c r="A1942" s="9"/>
      <c r="B1942" s="9"/>
      <c r="C1942" s="3"/>
      <c r="D1942" s="3"/>
      <c r="E1942" s="3"/>
      <c r="F1942" s="3"/>
      <c r="G1942" s="3"/>
      <c r="H1942" s="3"/>
      <c r="I1942" s="3"/>
    </row>
    <row r="1943" spans="1:9" ht="15.75" customHeight="1" x14ac:dyDescent="0.2">
      <c r="A1943" s="9"/>
      <c r="B1943" s="9"/>
      <c r="C1943" s="3"/>
      <c r="D1943" s="3"/>
      <c r="E1943" s="3"/>
      <c r="F1943" s="3"/>
      <c r="G1943" s="3"/>
      <c r="H1943" s="3"/>
      <c r="I1943" s="3"/>
    </row>
    <row r="1944" spans="1:9" ht="15.75" customHeight="1" x14ac:dyDescent="0.2">
      <c r="A1944" s="9"/>
      <c r="B1944" s="9"/>
      <c r="C1944" s="3"/>
      <c r="D1944" s="3"/>
      <c r="E1944" s="3"/>
      <c r="F1944" s="3"/>
      <c r="G1944" s="3"/>
      <c r="H1944" s="3"/>
      <c r="I1944" s="3"/>
    </row>
    <row r="1945" spans="1:9" x14ac:dyDescent="0.2">
      <c r="A1945" s="9"/>
      <c r="B1945" s="9"/>
      <c r="C1945" s="3"/>
      <c r="D1945" s="3"/>
      <c r="E1945" s="3"/>
      <c r="F1945" s="3"/>
      <c r="G1945" s="3"/>
      <c r="H1945" s="3"/>
      <c r="I1945" s="3"/>
    </row>
    <row r="1946" spans="1:9" x14ac:dyDescent="0.2">
      <c r="A1946" s="9"/>
      <c r="B1946" s="9"/>
      <c r="C1946" s="3"/>
      <c r="D1946" s="3"/>
      <c r="E1946" s="3"/>
      <c r="F1946" s="3"/>
      <c r="G1946" s="3"/>
      <c r="H1946" s="3"/>
      <c r="I1946" s="3"/>
    </row>
  </sheetData>
  <sheetProtection sheet="1" objects="1" scenarios="1"/>
  <protectedRanges>
    <protectedRange sqref="C5:I364" name="Range1"/>
  </protectedRanges>
  <mergeCells count="246">
    <mergeCell ref="A1:I1"/>
    <mergeCell ref="A2:I2"/>
    <mergeCell ref="A5:A7"/>
    <mergeCell ref="B5:B7"/>
    <mergeCell ref="A8:A10"/>
    <mergeCell ref="B8:B10"/>
    <mergeCell ref="A11:A13"/>
    <mergeCell ref="B11:B13"/>
    <mergeCell ref="A23:A25"/>
    <mergeCell ref="B23:B25"/>
    <mergeCell ref="A3:C3"/>
    <mergeCell ref="D3:E3"/>
    <mergeCell ref="F3:G3"/>
    <mergeCell ref="H3:I3"/>
    <mergeCell ref="A26:A28"/>
    <mergeCell ref="B26:B28"/>
    <mergeCell ref="A29:A31"/>
    <mergeCell ref="B29:B31"/>
    <mergeCell ref="A14:A16"/>
    <mergeCell ref="B14:B16"/>
    <mergeCell ref="A17:A19"/>
    <mergeCell ref="B17:B19"/>
    <mergeCell ref="A20:A22"/>
    <mergeCell ref="B20:B22"/>
    <mergeCell ref="B35:B37"/>
    <mergeCell ref="B38:B40"/>
    <mergeCell ref="B41:B43"/>
    <mergeCell ref="B44:B46"/>
    <mergeCell ref="B47:B49"/>
    <mergeCell ref="B50:B52"/>
    <mergeCell ref="A32:A34"/>
    <mergeCell ref="B32:B34"/>
    <mergeCell ref="A35:A37"/>
    <mergeCell ref="A38:A40"/>
    <mergeCell ref="A41:A43"/>
    <mergeCell ref="A44:A46"/>
    <mergeCell ref="B53:B55"/>
    <mergeCell ref="B56:B58"/>
    <mergeCell ref="B59:B61"/>
    <mergeCell ref="B62:B64"/>
    <mergeCell ref="A59:A61"/>
    <mergeCell ref="A62:A64"/>
    <mergeCell ref="A47:A49"/>
    <mergeCell ref="A50:A52"/>
    <mergeCell ref="A53:A55"/>
    <mergeCell ref="A56:A58"/>
    <mergeCell ref="B65:B67"/>
    <mergeCell ref="B68:B70"/>
    <mergeCell ref="B71:B73"/>
    <mergeCell ref="B74:B76"/>
    <mergeCell ref="B77:B79"/>
    <mergeCell ref="B80:B82"/>
    <mergeCell ref="A65:A67"/>
    <mergeCell ref="A68:A70"/>
    <mergeCell ref="A71:A73"/>
    <mergeCell ref="A74:A76"/>
    <mergeCell ref="A77:A79"/>
    <mergeCell ref="A80:A82"/>
    <mergeCell ref="A98:A100"/>
    <mergeCell ref="B98:B100"/>
    <mergeCell ref="A101:A103"/>
    <mergeCell ref="A104:A106"/>
    <mergeCell ref="A107:A109"/>
    <mergeCell ref="A110:A112"/>
    <mergeCell ref="B83:B85"/>
    <mergeCell ref="B86:B88"/>
    <mergeCell ref="B89:B91"/>
    <mergeCell ref="B92:B94"/>
    <mergeCell ref="B95:B97"/>
    <mergeCell ref="A95:A97"/>
    <mergeCell ref="A83:A85"/>
    <mergeCell ref="A86:A88"/>
    <mergeCell ref="A89:A91"/>
    <mergeCell ref="A92:A94"/>
    <mergeCell ref="A113:A115"/>
    <mergeCell ref="A116:A118"/>
    <mergeCell ref="A119:A121"/>
    <mergeCell ref="A122:A124"/>
    <mergeCell ref="B101:B103"/>
    <mergeCell ref="B104:B106"/>
    <mergeCell ref="B107:B109"/>
    <mergeCell ref="B110:B112"/>
    <mergeCell ref="B113:B115"/>
    <mergeCell ref="B116:B118"/>
    <mergeCell ref="A131:A133"/>
    <mergeCell ref="B131:B133"/>
    <mergeCell ref="A134:A136"/>
    <mergeCell ref="B134:B136"/>
    <mergeCell ref="A137:A139"/>
    <mergeCell ref="B137:B139"/>
    <mergeCell ref="B119:B121"/>
    <mergeCell ref="B122:B124"/>
    <mergeCell ref="A125:A127"/>
    <mergeCell ref="B125:B127"/>
    <mergeCell ref="A128:A130"/>
    <mergeCell ref="B128:B130"/>
    <mergeCell ref="A149:A151"/>
    <mergeCell ref="B149:B151"/>
    <mergeCell ref="A152:A154"/>
    <mergeCell ref="B152:B154"/>
    <mergeCell ref="A155:A157"/>
    <mergeCell ref="B155:B157"/>
    <mergeCell ref="A140:A142"/>
    <mergeCell ref="B140:B142"/>
    <mergeCell ref="A143:A145"/>
    <mergeCell ref="B143:B145"/>
    <mergeCell ref="A146:A148"/>
    <mergeCell ref="B146:B148"/>
    <mergeCell ref="A167:A169"/>
    <mergeCell ref="B167:B169"/>
    <mergeCell ref="A170:A172"/>
    <mergeCell ref="B170:B172"/>
    <mergeCell ref="A173:A175"/>
    <mergeCell ref="B173:B175"/>
    <mergeCell ref="A158:A160"/>
    <mergeCell ref="B158:B160"/>
    <mergeCell ref="A161:A163"/>
    <mergeCell ref="B161:B163"/>
    <mergeCell ref="A164:A166"/>
    <mergeCell ref="B164:B166"/>
    <mergeCell ref="A185:A187"/>
    <mergeCell ref="B185:B187"/>
    <mergeCell ref="A188:A190"/>
    <mergeCell ref="B188:B190"/>
    <mergeCell ref="A191:A193"/>
    <mergeCell ref="B191:B193"/>
    <mergeCell ref="A200:A202"/>
    <mergeCell ref="A176:A178"/>
    <mergeCell ref="B176:B178"/>
    <mergeCell ref="A179:A181"/>
    <mergeCell ref="B179:B181"/>
    <mergeCell ref="A182:A184"/>
    <mergeCell ref="B182:B184"/>
    <mergeCell ref="A203:A205"/>
    <mergeCell ref="A206:A208"/>
    <mergeCell ref="A209:A211"/>
    <mergeCell ref="B212:B214"/>
    <mergeCell ref="A212:A214"/>
    <mergeCell ref="B203:B205"/>
    <mergeCell ref="B206:B208"/>
    <mergeCell ref="B209:B211"/>
    <mergeCell ref="A194:A196"/>
    <mergeCell ref="B194:B196"/>
    <mergeCell ref="A197:A199"/>
    <mergeCell ref="B197:B199"/>
    <mergeCell ref="B200:B202"/>
    <mergeCell ref="A215:A217"/>
    <mergeCell ref="B215:B217"/>
    <mergeCell ref="A218:A220"/>
    <mergeCell ref="B218:B220"/>
    <mergeCell ref="A221:A223"/>
    <mergeCell ref="B221:B223"/>
    <mergeCell ref="A224:A226"/>
    <mergeCell ref="B224:B226"/>
    <mergeCell ref="A227:A229"/>
    <mergeCell ref="B227:B229"/>
    <mergeCell ref="A230:A232"/>
    <mergeCell ref="B230:B232"/>
    <mergeCell ref="A233:A235"/>
    <mergeCell ref="B233:B235"/>
    <mergeCell ref="A236:A238"/>
    <mergeCell ref="B236:B238"/>
    <mergeCell ref="A239:A241"/>
    <mergeCell ref="B239:B241"/>
    <mergeCell ref="A242:A244"/>
    <mergeCell ref="B242:B244"/>
    <mergeCell ref="A245:A247"/>
    <mergeCell ref="B245:B247"/>
    <mergeCell ref="A248:A250"/>
    <mergeCell ref="B248:B250"/>
    <mergeCell ref="A251:A253"/>
    <mergeCell ref="B251:B253"/>
    <mergeCell ref="A254:A256"/>
    <mergeCell ref="B254:B256"/>
    <mergeCell ref="A257:A259"/>
    <mergeCell ref="B257:B259"/>
    <mergeCell ref="A260:A262"/>
    <mergeCell ref="B260:B262"/>
    <mergeCell ref="A263:A265"/>
    <mergeCell ref="B263:B265"/>
    <mergeCell ref="A266:A268"/>
    <mergeCell ref="B266:B268"/>
    <mergeCell ref="A269:A271"/>
    <mergeCell ref="B269:B271"/>
    <mergeCell ref="A272:A274"/>
    <mergeCell ref="B272:B274"/>
    <mergeCell ref="A275:A277"/>
    <mergeCell ref="B275:B277"/>
    <mergeCell ref="A278:A280"/>
    <mergeCell ref="B278:B280"/>
    <mergeCell ref="A281:A283"/>
    <mergeCell ref="B281:B283"/>
    <mergeCell ref="A284:A286"/>
    <mergeCell ref="B284:B286"/>
    <mergeCell ref="A287:A289"/>
    <mergeCell ref="B287:B289"/>
    <mergeCell ref="A290:A292"/>
    <mergeCell ref="B290:B292"/>
    <mergeCell ref="A293:A295"/>
    <mergeCell ref="B293:B295"/>
    <mergeCell ref="A296:A298"/>
    <mergeCell ref="B296:B298"/>
    <mergeCell ref="A299:A301"/>
    <mergeCell ref="B299:B301"/>
    <mergeCell ref="A302:A304"/>
    <mergeCell ref="B302:B304"/>
    <mergeCell ref="A305:A307"/>
    <mergeCell ref="B305:B307"/>
    <mergeCell ref="A308:A310"/>
    <mergeCell ref="B308:B310"/>
    <mergeCell ref="A311:A313"/>
    <mergeCell ref="B311:B313"/>
    <mergeCell ref="A314:A316"/>
    <mergeCell ref="B314:B316"/>
    <mergeCell ref="A317:A319"/>
    <mergeCell ref="B317:B319"/>
    <mergeCell ref="A320:A322"/>
    <mergeCell ref="B320:B322"/>
    <mergeCell ref="A323:A325"/>
    <mergeCell ref="B323:B325"/>
    <mergeCell ref="A326:A328"/>
    <mergeCell ref="B326:B328"/>
    <mergeCell ref="A329:A331"/>
    <mergeCell ref="B329:B331"/>
    <mergeCell ref="A332:A334"/>
    <mergeCell ref="B332:B334"/>
    <mergeCell ref="A335:A337"/>
    <mergeCell ref="B335:B337"/>
    <mergeCell ref="A338:A340"/>
    <mergeCell ref="B338:B340"/>
    <mergeCell ref="A341:A343"/>
    <mergeCell ref="B341:B343"/>
    <mergeCell ref="A344:A346"/>
    <mergeCell ref="B344:B346"/>
    <mergeCell ref="A347:A349"/>
    <mergeCell ref="B347:B349"/>
    <mergeCell ref="A350:A352"/>
    <mergeCell ref="B350:B352"/>
    <mergeCell ref="A353:A355"/>
    <mergeCell ref="B353:B355"/>
    <mergeCell ref="A356:A358"/>
    <mergeCell ref="B356:B358"/>
    <mergeCell ref="A359:A361"/>
    <mergeCell ref="B359:B361"/>
    <mergeCell ref="A362:A364"/>
    <mergeCell ref="B362:B364"/>
  </mergeCells>
  <conditionalFormatting sqref="A6:I364">
    <cfRule type="expression" dxfId="9" priority="10">
      <formula>$J4="Break"</formula>
    </cfRule>
  </conditionalFormatting>
  <conditionalFormatting sqref="A5:I5">
    <cfRule type="expression" dxfId="8" priority="11">
      <formula>$J2="Break"</formula>
    </cfRule>
  </conditionalFormatting>
  <conditionalFormatting sqref="D5:I212 D215:I215 D218:I218 D221:I221 D224:I224 D227:I227 D230:I230 D233:I233 D236:I236 D239:I239 D242:I242 D245:I245 D248:I248 D251:I251 D254:I254 D257:I257 D260:I260 D263:I263 D266:I266 D269:I269 D272:I272 D275:I275 D278:I278 D281:I281 D284:I284 D287:I287 D290:I290 D293:I293 D296:I296 D299:I299 D302:I302 D305:I305 D308:I308 D311:I311 D314:I314 D317:I317 D320:I320 D323:I323 D326:I326 D329:I329 D332:I332 D335:I335 D338:I338 D341:I341 D344:I344 D347:I347 D350:I350 D353:I353 D356:I356 D359:I359 D362:I362">
    <cfRule type="expression" dxfId="7" priority="1">
      <formula>D6="SCRATCH"</formula>
    </cfRule>
    <cfRule type="expression" dxfId="6" priority="2">
      <formula>D6="scratch"</formula>
    </cfRule>
    <cfRule type="expression" dxfId="5" priority="3">
      <formula>D6="scr"</formula>
    </cfRule>
    <cfRule type="expression" dxfId="4" priority="4">
      <formula>D6="SCRATCHED"</formula>
    </cfRule>
  </conditionalFormatting>
  <pageMargins left="0.25" right="0.25" top="0.75" bottom="0.75" header="0.3" footer="0.3"/>
  <pageSetup scale="90" fitToWidth="0" fitToHeight="0" orientation="landscape" r:id="rId1"/>
  <headerFooter>
    <oddFooter>&amp;R&amp;"Aptos Narrow,Regular"&amp;K000000Page &amp;P</oddFooter>
  </headerFooter>
  <rowBreaks count="13" manualBreakCount="13">
    <brk id="31" max="8" man="1"/>
    <brk id="58" max="8" man="1"/>
    <brk id="85" max="8" man="1"/>
    <brk id="112" max="8" man="1"/>
    <brk id="139" max="8" man="1"/>
    <brk id="166" max="8" man="1"/>
    <brk id="193" max="8" man="1"/>
    <brk id="220" max="8" man="1"/>
    <brk id="247" max="8" man="1"/>
    <brk id="274" max="8" man="1"/>
    <brk id="301" max="8" man="1"/>
    <brk id="328" max="8" man="1"/>
    <brk id="355" max="8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16C8C-F941-4D49-923D-B75BB4DC0FAC}">
  <sheetPr codeName="Sheet4"/>
  <dimension ref="A1:I674"/>
  <sheetViews>
    <sheetView zoomScale="154" zoomScaleNormal="154" zoomScaleSheetLayoutView="109" zoomScalePageLayoutView="136" workbookViewId="0">
      <pane ySplit="4" topLeftCell="A5" activePane="bottomLeft" state="frozen"/>
      <selection pane="bottomLeft" activeCell="D3" sqref="D3:I3"/>
    </sheetView>
  </sheetViews>
  <sheetFormatPr baseColWidth="10" defaultColWidth="11" defaultRowHeight="15.75" customHeight="1" x14ac:dyDescent="0.2"/>
  <cols>
    <col min="1" max="1" width="4.83203125" style="9" customWidth="1"/>
    <col min="2" max="2" width="10.83203125" style="9" customWidth="1"/>
    <col min="3" max="6" width="13.83203125" customWidth="1"/>
    <col min="7" max="7" width="14" customWidth="1"/>
    <col min="8" max="8" width="13.83203125" customWidth="1"/>
    <col min="9" max="9" width="14.1640625" customWidth="1"/>
  </cols>
  <sheetData>
    <row r="1" spans="1:9" ht="26.25" customHeight="1" x14ac:dyDescent="0.2">
      <c r="A1" s="187" t="str">
        <f>'Regatta Attributes'!B6 &amp; " Regatta Results"</f>
        <v>Charlie Brown Classic Regatta Results</v>
      </c>
      <c r="B1" s="187"/>
      <c r="C1" s="187"/>
      <c r="D1" s="187"/>
      <c r="E1" s="187"/>
      <c r="F1" s="187"/>
      <c r="G1" s="187"/>
      <c r="H1" s="187"/>
      <c r="I1" s="187"/>
    </row>
    <row r="2" spans="1:9" ht="30" customHeight="1" x14ac:dyDescent="0.2">
      <c r="A2" s="188">
        <f>'Regatta Attributes'!B7</f>
        <v>46508</v>
      </c>
      <c r="B2" s="188"/>
      <c r="C2" s="188"/>
      <c r="D2" s="188"/>
      <c r="E2" s="188"/>
      <c r="F2" s="188"/>
      <c r="G2" s="188"/>
      <c r="H2" s="188"/>
      <c r="I2" s="188"/>
    </row>
    <row r="3" spans="1:9" ht="15.75" customHeight="1" x14ac:dyDescent="0.2">
      <c r="A3" s="208"/>
      <c r="B3" s="209"/>
      <c r="C3" s="210"/>
      <c r="D3" s="211"/>
      <c r="E3" s="212"/>
      <c r="F3" s="213"/>
      <c r="G3" s="214"/>
      <c r="H3" s="215"/>
      <c r="I3" s="212"/>
    </row>
    <row r="4" spans="1:9" s="110" customFormat="1" ht="34" customHeight="1" x14ac:dyDescent="0.2">
      <c r="A4" s="121" t="s">
        <v>13</v>
      </c>
      <c r="B4" s="121" t="s">
        <v>14</v>
      </c>
      <c r="C4" s="121" t="s">
        <v>15</v>
      </c>
      <c r="D4" s="121" t="s">
        <v>16</v>
      </c>
      <c r="E4" s="121" t="s">
        <v>17</v>
      </c>
      <c r="F4" s="121" t="s">
        <v>18</v>
      </c>
      <c r="G4" s="121" t="s">
        <v>19</v>
      </c>
      <c r="H4" s="121" t="s">
        <v>20</v>
      </c>
      <c r="I4" s="121" t="s">
        <v>21</v>
      </c>
    </row>
    <row r="5" spans="1:9" ht="15.75" customHeight="1" x14ac:dyDescent="0.2">
      <c r="A5" s="201">
        <v>1</v>
      </c>
      <c r="B5" s="205" t="str">
        <f>IFERROR(VLOOKUP(A5,'Heat Sheet'!$A:$I, 2, FALSE), "")</f>
        <v>09:00 AM</v>
      </c>
      <c r="C5" s="132" t="str" cm="1">
        <f t="array" aca="1" ref="C5" ca="1">_xlfn.LET(_xlpm.VAL, INDEX('Heat Sheet'!$A:$I, _xlfn.XMATCH(INDIRECT("A"&amp;ROW()),'Heat Sheet'!$A:$A), COLUMN()), IF(ISNA(_xlpm.VAL), "", IF(_xlpm.VAL=0, "", _xlpm.VAL)))</f>
        <v>M-1x</v>
      </c>
      <c r="D5" s="152" t="str" cm="1">
        <f t="array" aca="1" ref="D5" ca="1">_xlfn.LET(_xlpm.VAL, INDEX('Heat Sheet'!$A:$I, _xlfn.XMATCH(INDIRECT("A"&amp;ROW()),'Heat Sheet'!$A:$A), COLUMN()), IF(ISNA(_xlpm.VAL), "", IF(_xlpm.VAL=0, "", _xlpm.VAL)))</f>
        <v/>
      </c>
      <c r="E5" s="152" t="str" cm="1">
        <f t="array" aca="1" ref="E5" ca="1">_xlfn.LET(_xlpm.VAL, INDEX('Heat Sheet'!$A:$I, _xlfn.XMATCH(INDIRECT("A"&amp;ROW()),'Heat Sheet'!$A:$A), COLUMN()), IF(ISNA(_xlpm.VAL), "", IF(_xlpm.VAL=0, "", _xlpm.VAL)))</f>
        <v>Pig Pen</v>
      </c>
      <c r="F5" s="152" t="str" cm="1">
        <f t="array" aca="1" ref="F5" ca="1">_xlfn.LET(_xlpm.VAL, INDEX('Heat Sheet'!$A:$I, _xlfn.XMATCH(INDIRECT("A"&amp;ROW()),'Heat Sheet'!$A:$A), COLUMN()), IF(ISNA(_xlpm.VAL), "", IF(_xlpm.VAL=0, "", _xlpm.VAL)))</f>
        <v>Woodstock</v>
      </c>
      <c r="G5" s="152" t="str" cm="1">
        <f t="array" aca="1" ref="G5" ca="1">_xlfn.LET(_xlpm.VAL, INDEX('Heat Sheet'!$A:$I, _xlfn.XMATCH(INDIRECT("A"&amp;ROW()),'Heat Sheet'!$A:$A), COLUMN()), IF(ISNA(_xlpm.VAL), "", IF(_xlpm.VAL=0, "", _xlpm.VAL)))</f>
        <v>Snoopy</v>
      </c>
      <c r="H5" s="152" t="str" cm="1">
        <f t="array" aca="1" ref="H5" ca="1">_xlfn.LET(_xlpm.VAL, INDEX('Heat Sheet'!$A:$I, _xlfn.XMATCH(INDIRECT("A"&amp;ROW()),'Heat Sheet'!$A:$A), COLUMN()), IF(ISNA(_xlpm.VAL), "", IF(_xlpm.VAL=0, "", _xlpm.VAL)))</f>
        <v>Linus</v>
      </c>
      <c r="I5" s="153" t="str" cm="1">
        <f t="array" aca="1" ref="I5" ca="1">_xlfn.LET(_xlpm.VAL, INDEX('Heat Sheet'!$A:$I, _xlfn.XMATCH(INDIRECT("A"&amp;ROW()),'Heat Sheet'!$A:$A), COLUMN()), IF(ISNA(_xlpm.VAL), "", IF(_xlpm.VAL=0, "", _xlpm.VAL)))</f>
        <v/>
      </c>
    </row>
    <row r="6" spans="1:9" ht="15.75" customHeight="1" x14ac:dyDescent="0.2">
      <c r="A6" s="201"/>
      <c r="B6" s="206"/>
      <c r="C6" s="129" t="str" cm="1">
        <f t="array" aca="1" ref="C6" ca="1">_xlfn.LET(_xlpm.VAL, INDEX('Heat Sheet'!$A:$I, _xlfn.XMATCH(INDIRECT("A"&amp;ROW()-1),'Heat Sheet'!$A:$A)+1, COLUMN()), IF(ISNA(_xlpm.VAL), "", IF(_xlpm.VAL=0, "", _xlpm.VAL)))</f>
        <v/>
      </c>
      <c r="D6" s="154" t="str" cm="1">
        <f t="array" aca="1" ref="D6" ca="1">_xlfn.LET(_xlpm.VAL, INDEX('Heat Sheet'!$A:$I, _xlfn.XMATCH(INDIRECT("A"&amp;ROW()-1),'Heat Sheet'!$A:$A)+1, COLUMN()), IF(ISNA(_xlpm.VAL), "", IF(_xlpm.VAL=0, "", _xlpm.VAL)))</f>
        <v/>
      </c>
      <c r="E6" s="154" t="str" cm="1">
        <f t="array" aca="1" ref="E6" ca="1">_xlfn.LET(_xlpm.VAL, INDEX('Heat Sheet'!$A:$I, _xlfn.XMATCH(INDIRECT("A"&amp;ROW()-1),'Heat Sheet'!$A:$A)+1, COLUMN()), IF(ISNA(_xlpm.VAL), "", IF(_xlpm.VAL=0, "", _xlpm.VAL)))</f>
        <v>M-1x</v>
      </c>
      <c r="F6" s="154" t="str" cm="1">
        <f t="array" aca="1" ref="F6" ca="1">_xlfn.LET(_xlpm.VAL, INDEX('Heat Sheet'!$A:$I, _xlfn.XMATCH(INDIRECT("A"&amp;ROW()-1),'Heat Sheet'!$A:$A)+1, COLUMN()), IF(ISNA(_xlpm.VAL), "", IF(_xlpm.VAL=0, "", _xlpm.VAL)))</f>
        <v>M-1x</v>
      </c>
      <c r="G6" s="154" t="str" cm="1">
        <f t="array" aca="1" ref="G6" ca="1">_xlfn.LET(_xlpm.VAL, INDEX('Heat Sheet'!$A:$I, _xlfn.XMATCH(INDIRECT("A"&amp;ROW()-1),'Heat Sheet'!$A:$A)+1, COLUMN()), IF(ISNA(_xlpm.VAL), "", IF(_xlpm.VAL=0, "", _xlpm.VAL)))</f>
        <v>M-JR-1x</v>
      </c>
      <c r="H6" s="154" t="str" cm="1">
        <f t="array" aca="1" ref="H6" ca="1">_xlfn.LET(_xlpm.VAL, INDEX('Heat Sheet'!$A:$I, _xlfn.XMATCH(INDIRECT("A"&amp;ROW()-1),'Heat Sheet'!$A:$A)+1, COLUMN()), IF(ISNA(_xlpm.VAL), "", IF(_xlpm.VAL=0, "", _xlpm.VAL)))</f>
        <v>M-JR-1x</v>
      </c>
      <c r="I6" s="155" t="str" cm="1">
        <f t="array" aca="1" ref="I6" ca="1">_xlfn.LET(_xlpm.VAL, INDEX('Heat Sheet'!$A:$I, _xlfn.XMATCH(INDIRECT("A"&amp;ROW()-1),'Heat Sheet'!$A:$A)+1, COLUMN()), IF(ISNA(_xlpm.VAL), "", IF(_xlpm.VAL=0, "", _xlpm.VAL)))</f>
        <v/>
      </c>
    </row>
    <row r="7" spans="1:9" ht="15.75" customHeight="1" x14ac:dyDescent="0.2">
      <c r="A7" s="201"/>
      <c r="B7" s="206"/>
      <c r="C7" s="130" t="s">
        <v>22</v>
      </c>
      <c r="D7" s="131"/>
      <c r="E7" s="131"/>
      <c r="F7" s="131"/>
      <c r="G7" s="131"/>
      <c r="H7" s="131"/>
      <c r="I7" s="156"/>
    </row>
    <row r="8" spans="1:9" ht="16" x14ac:dyDescent="0.2">
      <c r="A8" s="201"/>
      <c r="B8" s="182"/>
      <c r="C8" s="128" t="s">
        <v>23</v>
      </c>
      <c r="D8" s="158"/>
      <c r="E8" s="158"/>
      <c r="F8" s="158"/>
      <c r="G8" s="158"/>
      <c r="H8" s="158"/>
      <c r="I8" s="159"/>
    </row>
    <row r="9" spans="1:9" ht="17" x14ac:dyDescent="0.2">
      <c r="A9" s="201"/>
      <c r="B9" s="207"/>
      <c r="C9" s="26" t="s">
        <v>14</v>
      </c>
      <c r="D9" s="160"/>
      <c r="E9" s="160"/>
      <c r="F9" s="160"/>
      <c r="G9" s="160"/>
      <c r="H9" s="160"/>
      <c r="I9" s="161"/>
    </row>
    <row r="10" spans="1:9" ht="17" x14ac:dyDescent="0.2">
      <c r="A10" s="201">
        <v>2</v>
      </c>
      <c r="B10" s="185" t="str">
        <f>IFERROR(VLOOKUP(A10,'Heat Sheet'!$A:$I, 2, FALSE), "")</f>
        <v>09:05 AM</v>
      </c>
      <c r="C10" s="129" t="str" cm="1">
        <f t="array" aca="1" ref="C10" ca="1">_xlfn.LET(_xlpm.VAL, INDEX('Heat Sheet'!$A:$I, _xlfn.XMATCH(INDIRECT("A"&amp;ROW()),'Heat Sheet'!$A:$A), COLUMN()), IF(ISNA(_xlpm.VAL), "", IF(_xlpm.VAL=0, "", _xlpm.VAL)))</f>
        <v>M-Jr-4+</v>
      </c>
      <c r="D10" s="154" t="str" cm="1">
        <f t="array" aca="1" ref="D10" ca="1">_xlfn.LET(_xlpm.VAL, INDEX('Heat Sheet'!$A:$I, _xlfn.XMATCH(INDIRECT("A"&amp;ROW()),'Heat Sheet'!$A:$A), COLUMN()), IF(ISNA(_xlpm.VAL), "", IF(_xlpm.VAL=0, "", _xlpm.VAL)))</f>
        <v>Oscar</v>
      </c>
      <c r="E10" s="154" t="str" cm="1">
        <f t="array" aca="1" ref="E10" ca="1">_xlfn.LET(_xlpm.VAL, INDEX('Heat Sheet'!$A:$I, _xlfn.XMATCH(INDIRECT("A"&amp;ROW()),'Heat Sheet'!$A:$A), COLUMN()), IF(ISNA(_xlpm.VAL), "", IF(_xlpm.VAL=0, "", _xlpm.VAL)))</f>
        <v>Michael</v>
      </c>
      <c r="F10" s="154" t="str" cm="1">
        <f t="array" aca="1" ref="F10" ca="1">_xlfn.LET(_xlpm.VAL, INDEX('Heat Sheet'!$A:$I, _xlfn.XMATCH(INDIRECT("A"&amp;ROW()),'Heat Sheet'!$A:$A), COLUMN()), IF(ISNA(_xlpm.VAL), "", IF(_xlpm.VAL=0, "", _xlpm.VAL)))</f>
        <v>George</v>
      </c>
      <c r="G10" s="154" t="str" cm="1">
        <f t="array" aca="1" ref="G10" ca="1">_xlfn.LET(_xlpm.VAL, INDEX('Heat Sheet'!$A:$I, _xlfn.XMATCH(INDIRECT("A"&amp;ROW()),'Heat Sheet'!$A:$A), COLUMN()), IF(ISNA(_xlpm.VAL), "", IF(_xlpm.VAL=0, "", _xlpm.VAL)))</f>
        <v>Tobias</v>
      </c>
      <c r="H10" s="154" t="str" cm="1">
        <f t="array" aca="1" ref="H10" ca="1">_xlfn.LET(_xlpm.VAL, INDEX('Heat Sheet'!$A:$I, _xlfn.XMATCH(INDIRECT("A"&amp;ROW()),'Heat Sheet'!$A:$A), COLUMN()), IF(ISNA(_xlpm.VAL), "", IF(_xlpm.VAL=0, "", _xlpm.VAL)))</f>
        <v>GOB</v>
      </c>
      <c r="I10" s="155" t="str" cm="1">
        <f t="array" aca="1" ref="I10" ca="1">_xlfn.LET(_xlpm.VAL, INDEX('Heat Sheet'!$A:$I, _xlfn.XMATCH(INDIRECT("A"&amp;ROW()),'Heat Sheet'!$A:$A), COLUMN()), IF(ISNA(_xlpm.VAL), "", IF(_xlpm.VAL=0, "", _xlpm.VAL)))</f>
        <v/>
      </c>
    </row>
    <row r="11" spans="1:9" ht="17" x14ac:dyDescent="0.2">
      <c r="A11" s="201"/>
      <c r="B11" s="182"/>
      <c r="C11" s="129" t="str" cm="1">
        <f t="array" aca="1" ref="C11" ca="1">_xlfn.LET(_xlpm.VAL, INDEX('Heat Sheet'!$A:$I, _xlfn.XMATCH(INDIRECT("A"&amp;ROW()-1),'Heat Sheet'!$A:$A)+1, COLUMN()), IF(ISNA(_xlpm.VAL), "", IF(_xlpm.VAL=0, "", _xlpm.VAL)))</f>
        <v>Heat 1</v>
      </c>
      <c r="D11" s="154" t="str" cm="1">
        <f t="array" aca="1" ref="D11" ca="1">_xlfn.LET(_xlpm.VAL, INDEX('Heat Sheet'!$A:$I, _xlfn.XMATCH(INDIRECT("A"&amp;ROW()-1),'Heat Sheet'!$A:$A)+1, COLUMN()), IF(ISNA(_xlpm.VAL), "", IF(_xlpm.VAL=0, "", _xlpm.VAL)))</f>
        <v/>
      </c>
      <c r="E11" s="154" t="str" cm="1">
        <f t="array" aca="1" ref="E11" ca="1">_xlfn.LET(_xlpm.VAL, INDEX('Heat Sheet'!$A:$I, _xlfn.XMATCH(INDIRECT("A"&amp;ROW()-1),'Heat Sheet'!$A:$A)+1, COLUMN()), IF(ISNA(_xlpm.VAL), "", IF(_xlpm.VAL=0, "", _xlpm.VAL)))</f>
        <v/>
      </c>
      <c r="F11" s="154" t="str" cm="1">
        <f t="array" aca="1" ref="F11" ca="1">_xlfn.LET(_xlpm.VAL, INDEX('Heat Sheet'!$A:$I, _xlfn.XMATCH(INDIRECT("A"&amp;ROW()-1),'Heat Sheet'!$A:$A)+1, COLUMN()), IF(ISNA(_xlpm.VAL), "", IF(_xlpm.VAL=0, "", _xlpm.VAL)))</f>
        <v/>
      </c>
      <c r="G11" s="154" t="str" cm="1">
        <f t="array" aca="1" ref="G11" ca="1">_xlfn.LET(_xlpm.VAL, INDEX('Heat Sheet'!$A:$I, _xlfn.XMATCH(INDIRECT("A"&amp;ROW()-1),'Heat Sheet'!$A:$A)+1, COLUMN()), IF(ISNA(_xlpm.VAL), "", IF(_xlpm.VAL=0, "", _xlpm.VAL)))</f>
        <v/>
      </c>
      <c r="H11" s="154" t="str" cm="1">
        <f t="array" aca="1" ref="H11" ca="1">_xlfn.LET(_xlpm.VAL, INDEX('Heat Sheet'!$A:$I, _xlfn.XMATCH(INDIRECT("A"&amp;ROW()-1),'Heat Sheet'!$A:$A)+1, COLUMN()), IF(ISNA(_xlpm.VAL), "", IF(_xlpm.VAL=0, "", _xlpm.VAL)))</f>
        <v/>
      </c>
      <c r="I11" s="155" t="str" cm="1">
        <f t="array" aca="1" ref="I11" ca="1">_xlfn.LET(_xlpm.VAL, INDEX('Heat Sheet'!$A:$I, _xlfn.XMATCH(INDIRECT("A"&amp;ROW()-1),'Heat Sheet'!$A:$A)+1, COLUMN()), IF(ISNA(_xlpm.VAL), "", IF(_xlpm.VAL=0, "", _xlpm.VAL)))</f>
        <v/>
      </c>
    </row>
    <row r="12" spans="1:9" ht="16" x14ac:dyDescent="0.2">
      <c r="A12" s="201"/>
      <c r="B12" s="182"/>
      <c r="C12" s="128" t="s">
        <v>22</v>
      </c>
      <c r="D12" s="124"/>
      <c r="E12" s="124"/>
      <c r="F12" s="124"/>
      <c r="G12" s="124"/>
      <c r="H12" s="124"/>
      <c r="I12" s="126"/>
    </row>
    <row r="13" spans="1:9" ht="16" x14ac:dyDescent="0.2">
      <c r="A13" s="201"/>
      <c r="B13" s="182"/>
      <c r="C13" s="122" t="s">
        <v>23</v>
      </c>
      <c r="D13" s="158"/>
      <c r="E13" s="158"/>
      <c r="F13" s="158"/>
      <c r="G13" s="158"/>
      <c r="H13" s="158"/>
      <c r="I13" s="159"/>
    </row>
    <row r="14" spans="1:9" ht="17" x14ac:dyDescent="0.2">
      <c r="A14" s="201"/>
      <c r="B14" s="207"/>
      <c r="C14" s="123" t="s">
        <v>14</v>
      </c>
      <c r="D14" s="160"/>
      <c r="E14" s="160"/>
      <c r="F14" s="160"/>
      <c r="G14" s="160"/>
      <c r="H14" s="160"/>
      <c r="I14" s="161"/>
    </row>
    <row r="15" spans="1:9" ht="17" x14ac:dyDescent="0.2">
      <c r="A15" s="201">
        <v>3</v>
      </c>
      <c r="B15" s="185" t="str">
        <f>IFERROR(VLOOKUP(A15,'Heat Sheet'!$A:$I, 2, FALSE), "")</f>
        <v>09:10 AM</v>
      </c>
      <c r="C15" s="129" t="str" cm="1">
        <f t="array" aca="1" ref="C15" ca="1">_xlfn.LET(_xlpm.VAL, INDEX('Heat Sheet'!$A:$I, _xlfn.XMATCH(INDIRECT("A"&amp;ROW()),'Heat Sheet'!$A:$A), COLUMN()), IF(ISNA(_xlpm.VAL), "", IF(_xlpm.VAL=0, "", _xlpm.VAL)))</f>
        <v/>
      </c>
      <c r="D15" s="154" t="str" cm="1">
        <f t="array" aca="1" ref="D15" ca="1">_xlfn.LET(_xlpm.VAL, INDEX('Heat Sheet'!$A:$I, _xlfn.XMATCH(INDIRECT("A"&amp;ROW()),'Heat Sheet'!$A:$A), COLUMN()), IF(ISNA(_xlpm.VAL), "", IF(_xlpm.VAL=0, "", _xlpm.VAL)))</f>
        <v/>
      </c>
      <c r="E15" s="154" t="str" cm="1">
        <f t="array" aca="1" ref="E15" ca="1">_xlfn.LET(_xlpm.VAL, INDEX('Heat Sheet'!$A:$I, _xlfn.XMATCH(INDIRECT("A"&amp;ROW()),'Heat Sheet'!$A:$A), COLUMN()), IF(ISNA(_xlpm.VAL), "", IF(_xlpm.VAL=0, "", _xlpm.VAL)))</f>
        <v/>
      </c>
      <c r="F15" s="154" t="str" cm="1">
        <f t="array" aca="1" ref="F15" ca="1">_xlfn.LET(_xlpm.VAL, INDEX('Heat Sheet'!$A:$I, _xlfn.XMATCH(INDIRECT("A"&amp;ROW()),'Heat Sheet'!$A:$A), COLUMN()), IF(ISNA(_xlpm.VAL), "", IF(_xlpm.VAL=0, "", _xlpm.VAL)))</f>
        <v/>
      </c>
      <c r="G15" s="154" t="str" cm="1">
        <f t="array" aca="1" ref="G15" ca="1">_xlfn.LET(_xlpm.VAL, INDEX('Heat Sheet'!$A:$I, _xlfn.XMATCH(INDIRECT("A"&amp;ROW()),'Heat Sheet'!$A:$A), COLUMN()), IF(ISNA(_xlpm.VAL), "", IF(_xlpm.VAL=0, "", _xlpm.VAL)))</f>
        <v/>
      </c>
      <c r="H15" s="154" t="str" cm="1">
        <f t="array" aca="1" ref="H15" ca="1">_xlfn.LET(_xlpm.VAL, INDEX('Heat Sheet'!$A:$I, _xlfn.XMATCH(INDIRECT("A"&amp;ROW()),'Heat Sheet'!$A:$A), COLUMN()), IF(ISNA(_xlpm.VAL), "", IF(_xlpm.VAL=0, "", _xlpm.VAL)))</f>
        <v/>
      </c>
      <c r="I15" s="155" t="str" cm="1">
        <f t="array" aca="1" ref="I15" ca="1">_xlfn.LET(_xlpm.VAL, INDEX('Heat Sheet'!$A:$I, _xlfn.XMATCH(INDIRECT("A"&amp;ROW()),'Heat Sheet'!$A:$A), COLUMN()), IF(ISNA(_xlpm.VAL), "", IF(_xlpm.VAL=0, "", _xlpm.VAL)))</f>
        <v/>
      </c>
    </row>
    <row r="16" spans="1:9" ht="17" x14ac:dyDescent="0.2">
      <c r="A16" s="201"/>
      <c r="B16" s="182"/>
      <c r="C16" s="129" t="str" cm="1">
        <f t="array" aca="1" ref="C16" ca="1">_xlfn.LET(_xlpm.VAL, INDEX('Heat Sheet'!$A:$I, _xlfn.XMATCH(INDIRECT("A"&amp;ROW()-1),'Heat Sheet'!$A:$A)+1, COLUMN()), IF(ISNA(_xlpm.VAL), "", IF(_xlpm.VAL=0, "", _xlpm.VAL)))</f>
        <v/>
      </c>
      <c r="D16" s="154" t="str" cm="1">
        <f t="array" aca="1" ref="D16" ca="1">_xlfn.LET(_xlpm.VAL, INDEX('Heat Sheet'!$A:$I, _xlfn.XMATCH(INDIRECT("A"&amp;ROW()-1),'Heat Sheet'!$A:$A)+1, COLUMN()), IF(ISNA(_xlpm.VAL), "", IF(_xlpm.VAL=0, "", _xlpm.VAL)))</f>
        <v/>
      </c>
      <c r="E16" s="154" t="str" cm="1">
        <f t="array" aca="1" ref="E16" ca="1">_xlfn.LET(_xlpm.VAL, INDEX('Heat Sheet'!$A:$I, _xlfn.XMATCH(INDIRECT("A"&amp;ROW()-1),'Heat Sheet'!$A:$A)+1, COLUMN()), IF(ISNA(_xlpm.VAL), "", IF(_xlpm.VAL=0, "", _xlpm.VAL)))</f>
        <v/>
      </c>
      <c r="F16" s="154" t="str" cm="1">
        <f t="array" aca="1" ref="F16" ca="1">_xlfn.LET(_xlpm.VAL, INDEX('Heat Sheet'!$A:$I, _xlfn.XMATCH(INDIRECT("A"&amp;ROW()-1),'Heat Sheet'!$A:$A)+1, COLUMN()), IF(ISNA(_xlpm.VAL), "", IF(_xlpm.VAL=0, "", _xlpm.VAL)))</f>
        <v/>
      </c>
      <c r="G16" s="154" t="str" cm="1">
        <f t="array" aca="1" ref="G16" ca="1">_xlfn.LET(_xlpm.VAL, INDEX('Heat Sheet'!$A:$I, _xlfn.XMATCH(INDIRECT("A"&amp;ROW()-1),'Heat Sheet'!$A:$A)+1, COLUMN()), IF(ISNA(_xlpm.VAL), "", IF(_xlpm.VAL=0, "", _xlpm.VAL)))</f>
        <v/>
      </c>
      <c r="H16" s="154" t="str" cm="1">
        <f t="array" aca="1" ref="H16" ca="1">_xlfn.LET(_xlpm.VAL, INDEX('Heat Sheet'!$A:$I, _xlfn.XMATCH(INDIRECT("A"&amp;ROW()-1),'Heat Sheet'!$A:$A)+1, COLUMN()), IF(ISNA(_xlpm.VAL), "", IF(_xlpm.VAL=0, "", _xlpm.VAL)))</f>
        <v/>
      </c>
      <c r="I16" s="155" t="str" cm="1">
        <f t="array" aca="1" ref="I16" ca="1">_xlfn.LET(_xlpm.VAL, INDEX('Heat Sheet'!$A:$I, _xlfn.XMATCH(INDIRECT("A"&amp;ROW()-1),'Heat Sheet'!$A:$A)+1, COLUMN()), IF(ISNA(_xlpm.VAL), "", IF(_xlpm.VAL=0, "", _xlpm.VAL)))</f>
        <v/>
      </c>
    </row>
    <row r="17" spans="1:9" ht="16" x14ac:dyDescent="0.2">
      <c r="A17" s="201"/>
      <c r="B17" s="182"/>
      <c r="C17" s="122" t="s">
        <v>22</v>
      </c>
      <c r="D17" s="124"/>
      <c r="E17" s="124"/>
      <c r="F17" s="124"/>
      <c r="G17" s="124"/>
      <c r="H17" s="124"/>
      <c r="I17" s="126"/>
    </row>
    <row r="18" spans="1:9" ht="15.75" customHeight="1" x14ac:dyDescent="0.2">
      <c r="A18" s="201"/>
      <c r="B18" s="182"/>
      <c r="C18" s="122" t="s">
        <v>23</v>
      </c>
      <c r="D18" s="158"/>
      <c r="E18" s="158"/>
      <c r="F18" s="158"/>
      <c r="G18" s="158"/>
      <c r="H18" s="158"/>
      <c r="I18" s="159"/>
    </row>
    <row r="19" spans="1:9" ht="17" x14ac:dyDescent="0.2">
      <c r="A19" s="201"/>
      <c r="B19" s="207"/>
      <c r="C19" s="26" t="s">
        <v>14</v>
      </c>
      <c r="D19" s="160"/>
      <c r="E19" s="160"/>
      <c r="F19" s="160"/>
      <c r="G19" s="160"/>
      <c r="H19" s="160"/>
      <c r="I19" s="161"/>
    </row>
    <row r="20" spans="1:9" ht="17" x14ac:dyDescent="0.2">
      <c r="A20" s="201">
        <v>4</v>
      </c>
      <c r="B20" s="205" t="str">
        <f>IFERROR(VLOOKUP(A20,'Heat Sheet'!$A:$I, 2, FALSE), "")</f>
        <v>09:15 AM</v>
      </c>
      <c r="C20" s="129" t="str" cm="1">
        <f t="array" aca="1" ref="C20" ca="1">_xlfn.LET(_xlpm.VAL, INDEX('Heat Sheet'!$A:$I, _xlfn.XMATCH(INDIRECT("A"&amp;ROW()),'Heat Sheet'!$A:$A), COLUMN()), IF(ISNA(_xlpm.VAL), "", IF(_xlpm.VAL=0, "", _xlpm.VAL)))</f>
        <v/>
      </c>
      <c r="D20" s="154" t="str" cm="1">
        <f t="array" aca="1" ref="D20" ca="1">_xlfn.LET(_xlpm.VAL, INDEX('Heat Sheet'!$A:$I, _xlfn.XMATCH(INDIRECT("A"&amp;ROW()),'Heat Sheet'!$A:$A), COLUMN()), IF(ISNA(_xlpm.VAL), "", IF(_xlpm.VAL=0, "", _xlpm.VAL)))</f>
        <v/>
      </c>
      <c r="E20" s="154" t="str" cm="1">
        <f t="array" aca="1" ref="E20" ca="1">_xlfn.LET(_xlpm.VAL, INDEX('Heat Sheet'!$A:$I, _xlfn.XMATCH(INDIRECT("A"&amp;ROW()),'Heat Sheet'!$A:$A), COLUMN()), IF(ISNA(_xlpm.VAL), "", IF(_xlpm.VAL=0, "", _xlpm.VAL)))</f>
        <v/>
      </c>
      <c r="F20" s="154" t="str" cm="1">
        <f t="array" aca="1" ref="F20" ca="1">_xlfn.LET(_xlpm.VAL, INDEX('Heat Sheet'!$A:$I, _xlfn.XMATCH(INDIRECT("A"&amp;ROW()),'Heat Sheet'!$A:$A), COLUMN()), IF(ISNA(_xlpm.VAL), "", IF(_xlpm.VAL=0, "", _xlpm.VAL)))</f>
        <v/>
      </c>
      <c r="G20" s="154" t="str" cm="1">
        <f t="array" aca="1" ref="G20" ca="1">_xlfn.LET(_xlpm.VAL, INDEX('Heat Sheet'!$A:$I, _xlfn.XMATCH(INDIRECT("A"&amp;ROW()),'Heat Sheet'!$A:$A), COLUMN()), IF(ISNA(_xlpm.VAL), "", IF(_xlpm.VAL=0, "", _xlpm.VAL)))</f>
        <v/>
      </c>
      <c r="H20" s="154" t="str" cm="1">
        <f t="array" aca="1" ref="H20" ca="1">_xlfn.LET(_xlpm.VAL, INDEX('Heat Sheet'!$A:$I, _xlfn.XMATCH(INDIRECT("A"&amp;ROW()),'Heat Sheet'!$A:$A), COLUMN()), IF(ISNA(_xlpm.VAL), "", IF(_xlpm.VAL=0, "", _xlpm.VAL)))</f>
        <v/>
      </c>
      <c r="I20" s="155" t="str" cm="1">
        <f t="array" aca="1" ref="I20" ca="1">_xlfn.LET(_xlpm.VAL, INDEX('Heat Sheet'!$A:$I, _xlfn.XMATCH(INDIRECT("A"&amp;ROW()),'Heat Sheet'!$A:$A), COLUMN()), IF(ISNA(_xlpm.VAL), "", IF(_xlpm.VAL=0, "", _xlpm.VAL)))</f>
        <v/>
      </c>
    </row>
    <row r="21" spans="1:9" ht="17" x14ac:dyDescent="0.2">
      <c r="A21" s="201"/>
      <c r="B21" s="206"/>
      <c r="C21" s="129" t="str" cm="1">
        <f t="array" aca="1" ref="C21" ca="1">_xlfn.LET(_xlpm.VAL, INDEX('Heat Sheet'!$A:$I, _xlfn.XMATCH(INDIRECT("A"&amp;ROW()-1),'Heat Sheet'!$A:$A)+1, COLUMN()), IF(ISNA(_xlpm.VAL), "", IF(_xlpm.VAL=0, "", _xlpm.VAL)))</f>
        <v/>
      </c>
      <c r="D21" s="154" t="str" cm="1">
        <f t="array" aca="1" ref="D21" ca="1">_xlfn.LET(_xlpm.VAL, INDEX('Heat Sheet'!$A:$I, _xlfn.XMATCH(INDIRECT("A"&amp;ROW()-1),'Heat Sheet'!$A:$A)+1, COLUMN()), IF(ISNA(_xlpm.VAL), "", IF(_xlpm.VAL=0, "", _xlpm.VAL)))</f>
        <v/>
      </c>
      <c r="E21" s="154" t="str" cm="1">
        <f t="array" aca="1" ref="E21" ca="1">_xlfn.LET(_xlpm.VAL, INDEX('Heat Sheet'!$A:$I, _xlfn.XMATCH(INDIRECT("A"&amp;ROW()-1),'Heat Sheet'!$A:$A)+1, COLUMN()), IF(ISNA(_xlpm.VAL), "", IF(_xlpm.VAL=0, "", _xlpm.VAL)))</f>
        <v/>
      </c>
      <c r="F21" s="154" t="str" cm="1">
        <f t="array" aca="1" ref="F21" ca="1">_xlfn.LET(_xlpm.VAL, INDEX('Heat Sheet'!$A:$I, _xlfn.XMATCH(INDIRECT("A"&amp;ROW()-1),'Heat Sheet'!$A:$A)+1, COLUMN()), IF(ISNA(_xlpm.VAL), "", IF(_xlpm.VAL=0, "", _xlpm.VAL)))</f>
        <v/>
      </c>
      <c r="G21" s="154" t="str" cm="1">
        <f t="array" aca="1" ref="G21" ca="1">_xlfn.LET(_xlpm.VAL, INDEX('Heat Sheet'!$A:$I, _xlfn.XMATCH(INDIRECT("A"&amp;ROW()-1),'Heat Sheet'!$A:$A)+1, COLUMN()), IF(ISNA(_xlpm.VAL), "", IF(_xlpm.VAL=0, "", _xlpm.VAL)))</f>
        <v/>
      </c>
      <c r="H21" s="154" t="str" cm="1">
        <f t="array" aca="1" ref="H21" ca="1">_xlfn.LET(_xlpm.VAL, INDEX('Heat Sheet'!$A:$I, _xlfn.XMATCH(INDIRECT("A"&amp;ROW()-1),'Heat Sheet'!$A:$A)+1, COLUMN()), IF(ISNA(_xlpm.VAL), "", IF(_xlpm.VAL=0, "", _xlpm.VAL)))</f>
        <v/>
      </c>
      <c r="I21" s="155" t="str" cm="1">
        <f t="array" aca="1" ref="I21" ca="1">_xlfn.LET(_xlpm.VAL, INDEX('Heat Sheet'!$A:$I, _xlfn.XMATCH(INDIRECT("A"&amp;ROW()-1),'Heat Sheet'!$A:$A)+1, COLUMN()), IF(ISNA(_xlpm.VAL), "", IF(_xlpm.VAL=0, "", _xlpm.VAL)))</f>
        <v/>
      </c>
    </row>
    <row r="22" spans="1:9" ht="16" x14ac:dyDescent="0.2">
      <c r="A22" s="201"/>
      <c r="B22" s="206"/>
      <c r="C22" s="130" t="s">
        <v>22</v>
      </c>
      <c r="D22" s="131"/>
      <c r="E22" s="131"/>
      <c r="F22" s="131"/>
      <c r="G22" s="131"/>
      <c r="H22" s="131"/>
      <c r="I22" s="156"/>
    </row>
    <row r="23" spans="1:9" ht="18.5" customHeight="1" x14ac:dyDescent="0.2">
      <c r="A23" s="201"/>
      <c r="B23" s="182"/>
      <c r="C23" s="128" t="s">
        <v>23</v>
      </c>
      <c r="D23" s="158"/>
      <c r="E23" s="158"/>
      <c r="F23" s="158"/>
      <c r="G23" s="158"/>
      <c r="H23" s="158"/>
      <c r="I23" s="159"/>
    </row>
    <row r="24" spans="1:9" ht="15.75" customHeight="1" x14ac:dyDescent="0.2">
      <c r="A24" s="201"/>
      <c r="B24" s="207"/>
      <c r="C24" s="26" t="s">
        <v>14</v>
      </c>
      <c r="D24" s="160"/>
      <c r="E24" s="160"/>
      <c r="F24" s="160"/>
      <c r="G24" s="160"/>
      <c r="H24" s="160"/>
      <c r="I24" s="161"/>
    </row>
    <row r="25" spans="1:9" ht="17" x14ac:dyDescent="0.2">
      <c r="A25" s="201">
        <v>5</v>
      </c>
      <c r="B25" s="185" t="str">
        <f>IFERROR(VLOOKUP(A25,'Heat Sheet'!$A:$I, 2, FALSE), "")</f>
        <v>09:20 AM</v>
      </c>
      <c r="C25" s="129" t="str" cm="1">
        <f t="array" aca="1" ref="C25" ca="1">_xlfn.LET(_xlpm.VAL, INDEX('Heat Sheet'!$A:$I, _xlfn.XMATCH(INDIRECT("A"&amp;ROW()),'Heat Sheet'!$A:$A), COLUMN()), IF(ISNA(_xlpm.VAL), "", IF(_xlpm.VAL=0, "", _xlpm.VAL)))</f>
        <v/>
      </c>
      <c r="D25" s="154" t="str" cm="1">
        <f t="array" aca="1" ref="D25" ca="1">_xlfn.LET(_xlpm.VAL, INDEX('Heat Sheet'!$A:$I, _xlfn.XMATCH(INDIRECT("A"&amp;ROW()),'Heat Sheet'!$A:$A), COLUMN()), IF(ISNA(_xlpm.VAL), "", IF(_xlpm.VAL=0, "", _xlpm.VAL)))</f>
        <v/>
      </c>
      <c r="E25" s="154" t="str" cm="1">
        <f t="array" aca="1" ref="E25" ca="1">_xlfn.LET(_xlpm.VAL, INDEX('Heat Sheet'!$A:$I, _xlfn.XMATCH(INDIRECT("A"&amp;ROW()),'Heat Sheet'!$A:$A), COLUMN()), IF(ISNA(_xlpm.VAL), "", IF(_xlpm.VAL=0, "", _xlpm.VAL)))</f>
        <v/>
      </c>
      <c r="F25" s="154" t="str" cm="1">
        <f t="array" aca="1" ref="F25" ca="1">_xlfn.LET(_xlpm.VAL, INDEX('Heat Sheet'!$A:$I, _xlfn.XMATCH(INDIRECT("A"&amp;ROW()),'Heat Sheet'!$A:$A), COLUMN()), IF(ISNA(_xlpm.VAL), "", IF(_xlpm.VAL=0, "", _xlpm.VAL)))</f>
        <v/>
      </c>
      <c r="G25" s="154" t="str" cm="1">
        <f t="array" aca="1" ref="G25" ca="1">_xlfn.LET(_xlpm.VAL, INDEX('Heat Sheet'!$A:$I, _xlfn.XMATCH(INDIRECT("A"&amp;ROW()),'Heat Sheet'!$A:$A), COLUMN()), IF(ISNA(_xlpm.VAL), "", IF(_xlpm.VAL=0, "", _xlpm.VAL)))</f>
        <v/>
      </c>
      <c r="H25" s="154" t="str" cm="1">
        <f t="array" aca="1" ref="H25" ca="1">_xlfn.LET(_xlpm.VAL, INDEX('Heat Sheet'!$A:$I, _xlfn.XMATCH(INDIRECT("A"&amp;ROW()),'Heat Sheet'!$A:$A), COLUMN()), IF(ISNA(_xlpm.VAL), "", IF(_xlpm.VAL=0, "", _xlpm.VAL)))</f>
        <v/>
      </c>
      <c r="I25" s="155" t="str" cm="1">
        <f t="array" aca="1" ref="I25" ca="1">_xlfn.LET(_xlpm.VAL, INDEX('Heat Sheet'!$A:$I, _xlfn.XMATCH(INDIRECT("A"&amp;ROW()),'Heat Sheet'!$A:$A), COLUMN()), IF(ISNA(_xlpm.VAL), "", IF(_xlpm.VAL=0, "", _xlpm.VAL)))</f>
        <v/>
      </c>
    </row>
    <row r="26" spans="1:9" ht="17" x14ac:dyDescent="0.2">
      <c r="A26" s="201"/>
      <c r="B26" s="182"/>
      <c r="C26" s="129" t="str" cm="1">
        <f t="array" aca="1" ref="C26" ca="1">_xlfn.LET(_xlpm.VAL, INDEX('Heat Sheet'!$A:$I, _xlfn.XMATCH(INDIRECT("A"&amp;ROW()-1),'Heat Sheet'!$A:$A)+1, COLUMN()), IF(ISNA(_xlpm.VAL), "", IF(_xlpm.VAL=0, "", _xlpm.VAL)))</f>
        <v/>
      </c>
      <c r="D26" s="154" t="str" cm="1">
        <f t="array" aca="1" ref="D26" ca="1">_xlfn.LET(_xlpm.VAL, INDEX('Heat Sheet'!$A:$I, _xlfn.XMATCH(INDIRECT("A"&amp;ROW()-1),'Heat Sheet'!$A:$A)+1, COLUMN()), IF(ISNA(_xlpm.VAL), "", IF(_xlpm.VAL=0, "", _xlpm.VAL)))</f>
        <v/>
      </c>
      <c r="E26" s="154" t="str" cm="1">
        <f t="array" aca="1" ref="E26" ca="1">_xlfn.LET(_xlpm.VAL, INDEX('Heat Sheet'!$A:$I, _xlfn.XMATCH(INDIRECT("A"&amp;ROW()-1),'Heat Sheet'!$A:$A)+1, COLUMN()), IF(ISNA(_xlpm.VAL), "", IF(_xlpm.VAL=0, "", _xlpm.VAL)))</f>
        <v/>
      </c>
      <c r="F26" s="154" t="str" cm="1">
        <f t="array" aca="1" ref="F26" ca="1">_xlfn.LET(_xlpm.VAL, INDEX('Heat Sheet'!$A:$I, _xlfn.XMATCH(INDIRECT("A"&amp;ROW()-1),'Heat Sheet'!$A:$A)+1, COLUMN()), IF(ISNA(_xlpm.VAL), "", IF(_xlpm.VAL=0, "", _xlpm.VAL)))</f>
        <v/>
      </c>
      <c r="G26" s="154" t="str" cm="1">
        <f t="array" aca="1" ref="G26" ca="1">_xlfn.LET(_xlpm.VAL, INDEX('Heat Sheet'!$A:$I, _xlfn.XMATCH(INDIRECT("A"&amp;ROW()-1),'Heat Sheet'!$A:$A)+1, COLUMN()), IF(ISNA(_xlpm.VAL), "", IF(_xlpm.VAL=0, "", _xlpm.VAL)))</f>
        <v/>
      </c>
      <c r="H26" s="154" t="str" cm="1">
        <f t="array" aca="1" ref="H26" ca="1">_xlfn.LET(_xlpm.VAL, INDEX('Heat Sheet'!$A:$I, _xlfn.XMATCH(INDIRECT("A"&amp;ROW()-1),'Heat Sheet'!$A:$A)+1, COLUMN()), IF(ISNA(_xlpm.VAL), "", IF(_xlpm.VAL=0, "", _xlpm.VAL)))</f>
        <v/>
      </c>
      <c r="I26" s="155" t="str" cm="1">
        <f t="array" aca="1" ref="I26" ca="1">_xlfn.LET(_xlpm.VAL, INDEX('Heat Sheet'!$A:$I, _xlfn.XMATCH(INDIRECT("A"&amp;ROW()-1),'Heat Sheet'!$A:$A)+1, COLUMN()), IF(ISNA(_xlpm.VAL), "", IF(_xlpm.VAL=0, "", _xlpm.VAL)))</f>
        <v/>
      </c>
    </row>
    <row r="27" spans="1:9" ht="16" x14ac:dyDescent="0.2">
      <c r="A27" s="201"/>
      <c r="B27" s="182"/>
      <c r="C27" s="122" t="s">
        <v>22</v>
      </c>
      <c r="D27" s="124"/>
      <c r="E27" s="124"/>
      <c r="F27" s="124"/>
      <c r="G27" s="124"/>
      <c r="H27" s="124"/>
      <c r="I27" s="126"/>
    </row>
    <row r="28" spans="1:9" ht="16" x14ac:dyDescent="0.2">
      <c r="A28" s="201"/>
      <c r="B28" s="182"/>
      <c r="C28" s="122" t="s">
        <v>23</v>
      </c>
      <c r="D28" s="158"/>
      <c r="E28" s="158"/>
      <c r="F28" s="158"/>
      <c r="G28" s="158"/>
      <c r="H28" s="158"/>
      <c r="I28" s="159"/>
    </row>
    <row r="29" spans="1:9" ht="18.5" customHeight="1" x14ac:dyDescent="0.2">
      <c r="A29" s="217"/>
      <c r="B29" s="207"/>
      <c r="C29" s="26" t="s">
        <v>14</v>
      </c>
      <c r="D29" s="160"/>
      <c r="E29" s="160"/>
      <c r="F29" s="160"/>
      <c r="G29" s="160"/>
      <c r="H29" s="160"/>
      <c r="I29" s="161"/>
    </row>
    <row r="30" spans="1:9" ht="17" x14ac:dyDescent="0.2">
      <c r="A30" s="201">
        <v>6</v>
      </c>
      <c r="B30" s="185" t="str">
        <f>IFERROR(VLOOKUP(A30,'Heat Sheet'!$A:$I, 2, FALSE), "")</f>
        <v>09:25 AM</v>
      </c>
      <c r="C30" s="129" t="str" cm="1">
        <f t="array" aca="1" ref="C30" ca="1">_xlfn.LET(_xlpm.VAL, INDEX('Heat Sheet'!$A:$I, _xlfn.XMATCH(INDIRECT("A"&amp;ROW()),'Heat Sheet'!$A:$A), COLUMN()), IF(ISNA(_xlpm.VAL), "", IF(_xlpm.VAL=0, "", _xlpm.VAL)))</f>
        <v/>
      </c>
      <c r="D30" s="154" t="str" cm="1">
        <f t="array" aca="1" ref="D30" ca="1">_xlfn.LET(_xlpm.VAL, INDEX('Heat Sheet'!$A:$I, _xlfn.XMATCH(INDIRECT("A"&amp;ROW()),'Heat Sheet'!$A:$A), COLUMN()), IF(ISNA(_xlpm.VAL), "", IF(_xlpm.VAL=0, "", _xlpm.VAL)))</f>
        <v/>
      </c>
      <c r="E30" s="154" t="str" cm="1">
        <f t="array" aca="1" ref="E30" ca="1">_xlfn.LET(_xlpm.VAL, INDEX('Heat Sheet'!$A:$I, _xlfn.XMATCH(INDIRECT("A"&amp;ROW()),'Heat Sheet'!$A:$A), COLUMN()), IF(ISNA(_xlpm.VAL), "", IF(_xlpm.VAL=0, "", _xlpm.VAL)))</f>
        <v/>
      </c>
      <c r="F30" s="154" t="str" cm="1">
        <f t="array" aca="1" ref="F30" ca="1">_xlfn.LET(_xlpm.VAL, INDEX('Heat Sheet'!$A:$I, _xlfn.XMATCH(INDIRECT("A"&amp;ROW()),'Heat Sheet'!$A:$A), COLUMN()), IF(ISNA(_xlpm.VAL), "", IF(_xlpm.VAL=0, "", _xlpm.VAL)))</f>
        <v/>
      </c>
      <c r="G30" s="154" t="str" cm="1">
        <f t="array" aca="1" ref="G30" ca="1">_xlfn.LET(_xlpm.VAL, INDEX('Heat Sheet'!$A:$I, _xlfn.XMATCH(INDIRECT("A"&amp;ROW()),'Heat Sheet'!$A:$A), COLUMN()), IF(ISNA(_xlpm.VAL), "", IF(_xlpm.VAL=0, "", _xlpm.VAL)))</f>
        <v/>
      </c>
      <c r="H30" s="154" t="str" cm="1">
        <f t="array" aca="1" ref="H30" ca="1">_xlfn.LET(_xlpm.VAL, INDEX('Heat Sheet'!$A:$I, _xlfn.XMATCH(INDIRECT("A"&amp;ROW()),'Heat Sheet'!$A:$A), COLUMN()), IF(ISNA(_xlpm.VAL), "", IF(_xlpm.VAL=0, "", _xlpm.VAL)))</f>
        <v/>
      </c>
      <c r="I30" s="155" t="str" cm="1">
        <f t="array" aca="1" ref="I30" ca="1">_xlfn.LET(_xlpm.VAL, INDEX('Heat Sheet'!$A:$I, _xlfn.XMATCH(INDIRECT("A"&amp;ROW()),'Heat Sheet'!$A:$A), COLUMN()), IF(ISNA(_xlpm.VAL), "", IF(_xlpm.VAL=0, "", _xlpm.VAL)))</f>
        <v/>
      </c>
    </row>
    <row r="31" spans="1:9" ht="17" x14ac:dyDescent="0.2">
      <c r="A31" s="201"/>
      <c r="B31" s="182"/>
      <c r="C31" s="129" t="str" cm="1">
        <f t="array" aca="1" ref="C31" ca="1">_xlfn.LET(_xlpm.VAL, INDEX('Heat Sheet'!$A:$I, _xlfn.XMATCH(INDIRECT("A"&amp;ROW()-1),'Heat Sheet'!$A:$A)+1, COLUMN()), IF(ISNA(_xlpm.VAL), "", IF(_xlpm.VAL=0, "", _xlpm.VAL)))</f>
        <v/>
      </c>
      <c r="D31" s="154" t="str" cm="1">
        <f t="array" aca="1" ref="D31" ca="1">_xlfn.LET(_xlpm.VAL, INDEX('Heat Sheet'!$A:$I, _xlfn.XMATCH(INDIRECT("A"&amp;ROW()-1),'Heat Sheet'!$A:$A)+1, COLUMN()), IF(ISNA(_xlpm.VAL), "", IF(_xlpm.VAL=0, "", _xlpm.VAL)))</f>
        <v/>
      </c>
      <c r="E31" s="154" t="str" cm="1">
        <f t="array" aca="1" ref="E31" ca="1">_xlfn.LET(_xlpm.VAL, INDEX('Heat Sheet'!$A:$I, _xlfn.XMATCH(INDIRECT("A"&amp;ROW()-1),'Heat Sheet'!$A:$A)+1, COLUMN()), IF(ISNA(_xlpm.VAL), "", IF(_xlpm.VAL=0, "", _xlpm.VAL)))</f>
        <v/>
      </c>
      <c r="F31" s="154" t="str" cm="1">
        <f t="array" aca="1" ref="F31" ca="1">_xlfn.LET(_xlpm.VAL, INDEX('Heat Sheet'!$A:$I, _xlfn.XMATCH(INDIRECT("A"&amp;ROW()-1),'Heat Sheet'!$A:$A)+1, COLUMN()), IF(ISNA(_xlpm.VAL), "", IF(_xlpm.VAL=0, "", _xlpm.VAL)))</f>
        <v/>
      </c>
      <c r="G31" s="154" t="str" cm="1">
        <f t="array" aca="1" ref="G31" ca="1">_xlfn.LET(_xlpm.VAL, INDEX('Heat Sheet'!$A:$I, _xlfn.XMATCH(INDIRECT("A"&amp;ROW()-1),'Heat Sheet'!$A:$A)+1, COLUMN()), IF(ISNA(_xlpm.VAL), "", IF(_xlpm.VAL=0, "", _xlpm.VAL)))</f>
        <v/>
      </c>
      <c r="H31" s="154" t="str" cm="1">
        <f t="array" aca="1" ref="H31" ca="1">_xlfn.LET(_xlpm.VAL, INDEX('Heat Sheet'!$A:$I, _xlfn.XMATCH(INDIRECT("A"&amp;ROW()-1),'Heat Sheet'!$A:$A)+1, COLUMN()), IF(ISNA(_xlpm.VAL), "", IF(_xlpm.VAL=0, "", _xlpm.VAL)))</f>
        <v/>
      </c>
      <c r="I31" s="155" t="str" cm="1">
        <f t="array" aca="1" ref="I31" ca="1">_xlfn.LET(_xlpm.VAL, INDEX('Heat Sheet'!$A:$I, _xlfn.XMATCH(INDIRECT("A"&amp;ROW()-1),'Heat Sheet'!$A:$A)+1, COLUMN()), IF(ISNA(_xlpm.VAL), "", IF(_xlpm.VAL=0, "", _xlpm.VAL)))</f>
        <v/>
      </c>
    </row>
    <row r="32" spans="1:9" ht="16" x14ac:dyDescent="0.2">
      <c r="A32" s="201"/>
      <c r="B32" s="182"/>
      <c r="C32" s="122" t="s">
        <v>22</v>
      </c>
      <c r="D32" s="124"/>
      <c r="E32" s="124"/>
      <c r="F32" s="124"/>
      <c r="G32" s="124"/>
      <c r="H32" s="124"/>
      <c r="I32" s="126"/>
    </row>
    <row r="33" spans="1:9" ht="16" x14ac:dyDescent="0.2">
      <c r="A33" s="201"/>
      <c r="B33" s="182"/>
      <c r="C33" s="122" t="s">
        <v>23</v>
      </c>
      <c r="D33" s="158"/>
      <c r="E33" s="158"/>
      <c r="F33" s="158"/>
      <c r="G33" s="158"/>
      <c r="H33" s="158"/>
      <c r="I33" s="159"/>
    </row>
    <row r="34" spans="1:9" ht="18.5" customHeight="1" x14ac:dyDescent="0.2">
      <c r="A34" s="201"/>
      <c r="B34" s="207"/>
      <c r="C34" s="26" t="s">
        <v>14</v>
      </c>
      <c r="D34" s="160"/>
      <c r="E34" s="160"/>
      <c r="F34" s="160"/>
      <c r="G34" s="160"/>
      <c r="H34" s="160"/>
      <c r="I34" s="161"/>
    </row>
    <row r="35" spans="1:9" ht="17" x14ac:dyDescent="0.2">
      <c r="A35" s="216">
        <v>7</v>
      </c>
      <c r="B35" s="185" t="str">
        <f>IFERROR(VLOOKUP(A35,'Heat Sheet'!$A:$I, 2, FALSE), "")</f>
        <v>09:30 AM</v>
      </c>
      <c r="C35" s="129" t="str" cm="1">
        <f t="array" aca="1" ref="C35" ca="1">_xlfn.LET(_xlpm.VAL, INDEX('Heat Sheet'!$A:$I, _xlfn.XMATCH(INDIRECT("A"&amp;ROW()),'Heat Sheet'!$A:$A), COLUMN()), IF(ISNA(_xlpm.VAL), "", IF(_xlpm.VAL=0, "", _xlpm.VAL)))</f>
        <v/>
      </c>
      <c r="D35" s="154" t="str" cm="1">
        <f t="array" aca="1" ref="D35" ca="1">_xlfn.LET(_xlpm.VAL, INDEX('Heat Sheet'!$A:$I, _xlfn.XMATCH(INDIRECT("A"&amp;ROW()),'Heat Sheet'!$A:$A), COLUMN()), IF(ISNA(_xlpm.VAL), "", IF(_xlpm.VAL=0, "", _xlpm.VAL)))</f>
        <v/>
      </c>
      <c r="E35" s="154" t="str" cm="1">
        <f t="array" aca="1" ref="E35" ca="1">_xlfn.LET(_xlpm.VAL, INDEX('Heat Sheet'!$A:$I, _xlfn.XMATCH(INDIRECT("A"&amp;ROW()),'Heat Sheet'!$A:$A), COLUMN()), IF(ISNA(_xlpm.VAL), "", IF(_xlpm.VAL=0, "", _xlpm.VAL)))</f>
        <v/>
      </c>
      <c r="F35" s="154" t="str" cm="1">
        <f t="array" aca="1" ref="F35" ca="1">_xlfn.LET(_xlpm.VAL, INDEX('Heat Sheet'!$A:$I, _xlfn.XMATCH(INDIRECT("A"&amp;ROW()),'Heat Sheet'!$A:$A), COLUMN()), IF(ISNA(_xlpm.VAL), "", IF(_xlpm.VAL=0, "", _xlpm.VAL)))</f>
        <v/>
      </c>
      <c r="G35" s="154" t="str" cm="1">
        <f t="array" aca="1" ref="G35" ca="1">_xlfn.LET(_xlpm.VAL, INDEX('Heat Sheet'!$A:$I, _xlfn.XMATCH(INDIRECT("A"&amp;ROW()),'Heat Sheet'!$A:$A), COLUMN()), IF(ISNA(_xlpm.VAL), "", IF(_xlpm.VAL=0, "", _xlpm.VAL)))</f>
        <v/>
      </c>
      <c r="H35" s="154" t="str" cm="1">
        <f t="array" aca="1" ref="H35" ca="1">_xlfn.LET(_xlpm.VAL, INDEX('Heat Sheet'!$A:$I, _xlfn.XMATCH(INDIRECT("A"&amp;ROW()),'Heat Sheet'!$A:$A), COLUMN()), IF(ISNA(_xlpm.VAL), "", IF(_xlpm.VAL=0, "", _xlpm.VAL)))</f>
        <v/>
      </c>
      <c r="I35" s="155" t="str" cm="1">
        <f t="array" aca="1" ref="I35" ca="1">_xlfn.LET(_xlpm.VAL, INDEX('Heat Sheet'!$A:$I, _xlfn.XMATCH(INDIRECT("A"&amp;ROW()),'Heat Sheet'!$A:$A), COLUMN()), IF(ISNA(_xlpm.VAL), "", IF(_xlpm.VAL=0, "", _xlpm.VAL)))</f>
        <v/>
      </c>
    </row>
    <row r="36" spans="1:9" ht="17" x14ac:dyDescent="0.2">
      <c r="A36" s="201"/>
      <c r="B36" s="182"/>
      <c r="C36" s="129" t="str" cm="1">
        <f t="array" aca="1" ref="C36" ca="1">_xlfn.LET(_xlpm.VAL, INDEX('Heat Sheet'!$A:$I, _xlfn.XMATCH(INDIRECT("A"&amp;ROW()-1),'Heat Sheet'!$A:$A)+1, COLUMN()), IF(ISNA(_xlpm.VAL), "", IF(_xlpm.VAL=0, "", _xlpm.VAL)))</f>
        <v/>
      </c>
      <c r="D36" s="154" t="str" cm="1">
        <f t="array" aca="1" ref="D36" ca="1">_xlfn.LET(_xlpm.VAL, INDEX('Heat Sheet'!$A:$I, _xlfn.XMATCH(INDIRECT("A"&amp;ROW()-1),'Heat Sheet'!$A:$A)+1, COLUMN()), IF(ISNA(_xlpm.VAL), "", IF(_xlpm.VAL=0, "", _xlpm.VAL)))</f>
        <v/>
      </c>
      <c r="E36" s="154" t="str" cm="1">
        <f t="array" aca="1" ref="E36" ca="1">_xlfn.LET(_xlpm.VAL, INDEX('Heat Sheet'!$A:$I, _xlfn.XMATCH(INDIRECT("A"&amp;ROW()-1),'Heat Sheet'!$A:$A)+1, COLUMN()), IF(ISNA(_xlpm.VAL), "", IF(_xlpm.VAL=0, "", _xlpm.VAL)))</f>
        <v/>
      </c>
      <c r="F36" s="154" t="str" cm="1">
        <f t="array" aca="1" ref="F36" ca="1">_xlfn.LET(_xlpm.VAL, INDEX('Heat Sheet'!$A:$I, _xlfn.XMATCH(INDIRECT("A"&amp;ROW()-1),'Heat Sheet'!$A:$A)+1, COLUMN()), IF(ISNA(_xlpm.VAL), "", IF(_xlpm.VAL=0, "", _xlpm.VAL)))</f>
        <v/>
      </c>
      <c r="G36" s="154" t="str" cm="1">
        <f t="array" aca="1" ref="G36" ca="1">_xlfn.LET(_xlpm.VAL, INDEX('Heat Sheet'!$A:$I, _xlfn.XMATCH(INDIRECT("A"&amp;ROW()-1),'Heat Sheet'!$A:$A)+1, COLUMN()), IF(ISNA(_xlpm.VAL), "", IF(_xlpm.VAL=0, "", _xlpm.VAL)))</f>
        <v/>
      </c>
      <c r="H36" s="154" t="str" cm="1">
        <f t="array" aca="1" ref="H36" ca="1">_xlfn.LET(_xlpm.VAL, INDEX('Heat Sheet'!$A:$I, _xlfn.XMATCH(INDIRECT("A"&amp;ROW()-1),'Heat Sheet'!$A:$A)+1, COLUMN()), IF(ISNA(_xlpm.VAL), "", IF(_xlpm.VAL=0, "", _xlpm.VAL)))</f>
        <v/>
      </c>
      <c r="I36" s="155" t="str" cm="1">
        <f t="array" aca="1" ref="I36" ca="1">_xlfn.LET(_xlpm.VAL, INDEX('Heat Sheet'!$A:$I, _xlfn.XMATCH(INDIRECT("A"&amp;ROW()-1),'Heat Sheet'!$A:$A)+1, COLUMN()), IF(ISNA(_xlpm.VAL), "", IF(_xlpm.VAL=0, "", _xlpm.VAL)))</f>
        <v/>
      </c>
    </row>
    <row r="37" spans="1:9" ht="16" x14ac:dyDescent="0.2">
      <c r="A37" s="201"/>
      <c r="B37" s="182"/>
      <c r="C37" s="122" t="s">
        <v>22</v>
      </c>
      <c r="D37" s="124"/>
      <c r="E37" s="124"/>
      <c r="F37" s="124"/>
      <c r="G37" s="124"/>
      <c r="H37" s="124"/>
      <c r="I37" s="126"/>
    </row>
    <row r="38" spans="1:9" ht="16" x14ac:dyDescent="0.2">
      <c r="A38" s="201"/>
      <c r="B38" s="182"/>
      <c r="C38" s="122" t="s">
        <v>23</v>
      </c>
      <c r="D38" s="158"/>
      <c r="E38" s="158"/>
      <c r="F38" s="158"/>
      <c r="G38" s="158"/>
      <c r="H38" s="158"/>
      <c r="I38" s="159"/>
    </row>
    <row r="39" spans="1:9" ht="17" x14ac:dyDescent="0.2">
      <c r="A39" s="217"/>
      <c r="B39" s="207"/>
      <c r="C39" s="26" t="s">
        <v>14</v>
      </c>
      <c r="D39" s="160"/>
      <c r="E39" s="160"/>
      <c r="F39" s="160"/>
      <c r="G39" s="160"/>
      <c r="H39" s="160"/>
      <c r="I39" s="161"/>
    </row>
    <row r="40" spans="1:9" ht="18.5" customHeight="1" x14ac:dyDescent="0.2">
      <c r="A40" s="201">
        <v>8</v>
      </c>
      <c r="B40" s="185" t="str">
        <f>IFERROR(VLOOKUP(A40,'Heat Sheet'!$A:$I, 2, FALSE), "")</f>
        <v>09:35 AM</v>
      </c>
      <c r="C40" s="129" t="str" cm="1">
        <f t="array" aca="1" ref="C40" ca="1">_xlfn.LET(_xlpm.VAL, INDEX('Heat Sheet'!$A:$I, _xlfn.XMATCH(INDIRECT("A"&amp;ROW()),'Heat Sheet'!$A:$A), COLUMN()), IF(ISNA(_xlpm.VAL), "", IF(_xlpm.VAL=0, "", _xlpm.VAL)))</f>
        <v/>
      </c>
      <c r="D40" s="154" t="str" cm="1">
        <f t="array" aca="1" ref="D40" ca="1">_xlfn.LET(_xlpm.VAL, INDEX('Heat Sheet'!$A:$I, _xlfn.XMATCH(INDIRECT("A"&amp;ROW()),'Heat Sheet'!$A:$A), COLUMN()), IF(ISNA(_xlpm.VAL), "", IF(_xlpm.VAL=0, "", _xlpm.VAL)))</f>
        <v/>
      </c>
      <c r="E40" s="154" t="str" cm="1">
        <f t="array" aca="1" ref="E40" ca="1">_xlfn.LET(_xlpm.VAL, INDEX('Heat Sheet'!$A:$I, _xlfn.XMATCH(INDIRECT("A"&amp;ROW()),'Heat Sheet'!$A:$A), COLUMN()), IF(ISNA(_xlpm.VAL), "", IF(_xlpm.VAL=0, "", _xlpm.VAL)))</f>
        <v/>
      </c>
      <c r="F40" s="154" t="str" cm="1">
        <f t="array" aca="1" ref="F40" ca="1">_xlfn.LET(_xlpm.VAL, INDEX('Heat Sheet'!$A:$I, _xlfn.XMATCH(INDIRECT("A"&amp;ROW()),'Heat Sheet'!$A:$A), COLUMN()), IF(ISNA(_xlpm.VAL), "", IF(_xlpm.VAL=0, "", _xlpm.VAL)))</f>
        <v/>
      </c>
      <c r="G40" s="154" t="str" cm="1">
        <f t="array" aca="1" ref="G40" ca="1">_xlfn.LET(_xlpm.VAL, INDEX('Heat Sheet'!$A:$I, _xlfn.XMATCH(INDIRECT("A"&amp;ROW()),'Heat Sheet'!$A:$A), COLUMN()), IF(ISNA(_xlpm.VAL), "", IF(_xlpm.VAL=0, "", _xlpm.VAL)))</f>
        <v/>
      </c>
      <c r="H40" s="154" t="str" cm="1">
        <f t="array" aca="1" ref="H40" ca="1">_xlfn.LET(_xlpm.VAL, INDEX('Heat Sheet'!$A:$I, _xlfn.XMATCH(INDIRECT("A"&amp;ROW()),'Heat Sheet'!$A:$A), COLUMN()), IF(ISNA(_xlpm.VAL), "", IF(_xlpm.VAL=0, "", _xlpm.VAL)))</f>
        <v/>
      </c>
      <c r="I40" s="155" t="str" cm="1">
        <f t="array" aca="1" ref="I40" ca="1">_xlfn.LET(_xlpm.VAL, INDEX('Heat Sheet'!$A:$I, _xlfn.XMATCH(INDIRECT("A"&amp;ROW()),'Heat Sheet'!$A:$A), COLUMN()), IF(ISNA(_xlpm.VAL), "", IF(_xlpm.VAL=0, "", _xlpm.VAL)))</f>
        <v/>
      </c>
    </row>
    <row r="41" spans="1:9" ht="18.5" customHeight="1" x14ac:dyDescent="0.2">
      <c r="A41" s="201"/>
      <c r="B41" s="182"/>
      <c r="C41" s="129" t="str" cm="1">
        <f t="array" aca="1" ref="C41" ca="1">_xlfn.LET(_xlpm.VAL, INDEX('Heat Sheet'!$A:$I, _xlfn.XMATCH(INDIRECT("A"&amp;ROW()-1),'Heat Sheet'!$A:$A)+1, COLUMN()), IF(ISNA(_xlpm.VAL), "", IF(_xlpm.VAL=0, "", _xlpm.VAL)))</f>
        <v/>
      </c>
      <c r="D41" s="154" t="str" cm="1">
        <f t="array" aca="1" ref="D41" ca="1">_xlfn.LET(_xlpm.VAL, INDEX('Heat Sheet'!$A:$I, _xlfn.XMATCH(INDIRECT("A"&amp;ROW()-1),'Heat Sheet'!$A:$A)+1, COLUMN()), IF(ISNA(_xlpm.VAL), "", IF(_xlpm.VAL=0, "", _xlpm.VAL)))</f>
        <v/>
      </c>
      <c r="E41" s="154" t="str" cm="1">
        <f t="array" aca="1" ref="E41" ca="1">_xlfn.LET(_xlpm.VAL, INDEX('Heat Sheet'!$A:$I, _xlfn.XMATCH(INDIRECT("A"&amp;ROW()-1),'Heat Sheet'!$A:$A)+1, COLUMN()), IF(ISNA(_xlpm.VAL), "", IF(_xlpm.VAL=0, "", _xlpm.VAL)))</f>
        <v/>
      </c>
      <c r="F41" s="154" t="str" cm="1">
        <f t="array" aca="1" ref="F41" ca="1">_xlfn.LET(_xlpm.VAL, INDEX('Heat Sheet'!$A:$I, _xlfn.XMATCH(INDIRECT("A"&amp;ROW()-1),'Heat Sheet'!$A:$A)+1, COLUMN()), IF(ISNA(_xlpm.VAL), "", IF(_xlpm.VAL=0, "", _xlpm.VAL)))</f>
        <v/>
      </c>
      <c r="G41" s="154" t="str" cm="1">
        <f t="array" aca="1" ref="G41" ca="1">_xlfn.LET(_xlpm.VAL, INDEX('Heat Sheet'!$A:$I, _xlfn.XMATCH(INDIRECT("A"&amp;ROW()-1),'Heat Sheet'!$A:$A)+1, COLUMN()), IF(ISNA(_xlpm.VAL), "", IF(_xlpm.VAL=0, "", _xlpm.VAL)))</f>
        <v/>
      </c>
      <c r="H41" s="154" t="str" cm="1">
        <f t="array" aca="1" ref="H41" ca="1">_xlfn.LET(_xlpm.VAL, INDEX('Heat Sheet'!$A:$I, _xlfn.XMATCH(INDIRECT("A"&amp;ROW()-1),'Heat Sheet'!$A:$A)+1, COLUMN()), IF(ISNA(_xlpm.VAL), "", IF(_xlpm.VAL=0, "", _xlpm.VAL)))</f>
        <v/>
      </c>
      <c r="I41" s="155" t="str" cm="1">
        <f t="array" aca="1" ref="I41" ca="1">_xlfn.LET(_xlpm.VAL, INDEX('Heat Sheet'!$A:$I, _xlfn.XMATCH(INDIRECT("A"&amp;ROW()-1),'Heat Sheet'!$A:$A)+1, COLUMN()), IF(ISNA(_xlpm.VAL), "", IF(_xlpm.VAL=0, "", _xlpm.VAL)))</f>
        <v/>
      </c>
    </row>
    <row r="42" spans="1:9" ht="18.5" customHeight="1" x14ac:dyDescent="0.2">
      <c r="A42" s="201"/>
      <c r="B42" s="182"/>
      <c r="C42" s="122" t="s">
        <v>22</v>
      </c>
      <c r="D42" s="124"/>
      <c r="E42" s="124"/>
      <c r="F42" s="124"/>
      <c r="G42" s="124"/>
      <c r="H42" s="124"/>
      <c r="I42" s="126"/>
    </row>
    <row r="43" spans="1:9" ht="16" x14ac:dyDescent="0.2">
      <c r="A43" s="201"/>
      <c r="B43" s="182"/>
      <c r="C43" s="122" t="s">
        <v>23</v>
      </c>
      <c r="D43" s="158"/>
      <c r="E43" s="158"/>
      <c r="F43" s="158"/>
      <c r="G43" s="158"/>
      <c r="H43" s="158"/>
      <c r="I43" s="159"/>
    </row>
    <row r="44" spans="1:9" ht="17" x14ac:dyDescent="0.2">
      <c r="A44" s="201"/>
      <c r="B44" s="207"/>
      <c r="C44" s="26" t="s">
        <v>14</v>
      </c>
      <c r="D44" s="160"/>
      <c r="E44" s="160"/>
      <c r="F44" s="160"/>
      <c r="G44" s="160"/>
      <c r="H44" s="160"/>
      <c r="I44" s="161"/>
    </row>
    <row r="45" spans="1:9" ht="17" x14ac:dyDescent="0.2">
      <c r="A45" s="216">
        <v>9</v>
      </c>
      <c r="B45" s="185" t="str">
        <f>IFERROR(VLOOKUP(A45,'Heat Sheet'!$A:$I, 2, FALSE), "")</f>
        <v>09:40 AM</v>
      </c>
      <c r="C45" s="129" t="str" cm="1">
        <f t="array" aca="1" ref="C45" ca="1">_xlfn.LET(_xlpm.VAL, INDEX('Heat Sheet'!$A:$I, _xlfn.XMATCH(INDIRECT("A"&amp;ROW()),'Heat Sheet'!$A:$A), COLUMN()), IF(ISNA(_xlpm.VAL), "", IF(_xlpm.VAL=0, "", _xlpm.VAL)))</f>
        <v/>
      </c>
      <c r="D45" s="154" t="str" cm="1">
        <f t="array" aca="1" ref="D45" ca="1">_xlfn.LET(_xlpm.VAL, INDEX('Heat Sheet'!$A:$I, _xlfn.XMATCH(INDIRECT("A"&amp;ROW()),'Heat Sheet'!$A:$A), COLUMN()), IF(ISNA(_xlpm.VAL), "", IF(_xlpm.VAL=0, "", _xlpm.VAL)))</f>
        <v/>
      </c>
      <c r="E45" s="154" t="str" cm="1">
        <f t="array" aca="1" ref="E45" ca="1">_xlfn.LET(_xlpm.VAL, INDEX('Heat Sheet'!$A:$I, _xlfn.XMATCH(INDIRECT("A"&amp;ROW()),'Heat Sheet'!$A:$A), COLUMN()), IF(ISNA(_xlpm.VAL), "", IF(_xlpm.VAL=0, "", _xlpm.VAL)))</f>
        <v/>
      </c>
      <c r="F45" s="154" t="str" cm="1">
        <f t="array" aca="1" ref="F45" ca="1">_xlfn.LET(_xlpm.VAL, INDEX('Heat Sheet'!$A:$I, _xlfn.XMATCH(INDIRECT("A"&amp;ROW()),'Heat Sheet'!$A:$A), COLUMN()), IF(ISNA(_xlpm.VAL), "", IF(_xlpm.VAL=0, "", _xlpm.VAL)))</f>
        <v/>
      </c>
      <c r="G45" s="154" t="str" cm="1">
        <f t="array" aca="1" ref="G45" ca="1">_xlfn.LET(_xlpm.VAL, INDEX('Heat Sheet'!$A:$I, _xlfn.XMATCH(INDIRECT("A"&amp;ROW()),'Heat Sheet'!$A:$A), COLUMN()), IF(ISNA(_xlpm.VAL), "", IF(_xlpm.VAL=0, "", _xlpm.VAL)))</f>
        <v/>
      </c>
      <c r="H45" s="154" t="str" cm="1">
        <f t="array" aca="1" ref="H45" ca="1">_xlfn.LET(_xlpm.VAL, INDEX('Heat Sheet'!$A:$I, _xlfn.XMATCH(INDIRECT("A"&amp;ROW()),'Heat Sheet'!$A:$A), COLUMN()), IF(ISNA(_xlpm.VAL), "", IF(_xlpm.VAL=0, "", _xlpm.VAL)))</f>
        <v/>
      </c>
      <c r="I45" s="155" t="str" cm="1">
        <f t="array" aca="1" ref="I45" ca="1">_xlfn.LET(_xlpm.VAL, INDEX('Heat Sheet'!$A:$I, _xlfn.XMATCH(INDIRECT("A"&amp;ROW()),'Heat Sheet'!$A:$A), COLUMN()), IF(ISNA(_xlpm.VAL), "", IF(_xlpm.VAL=0, "", _xlpm.VAL)))</f>
        <v/>
      </c>
    </row>
    <row r="46" spans="1:9" ht="17" x14ac:dyDescent="0.2">
      <c r="A46" s="201"/>
      <c r="B46" s="182"/>
      <c r="C46" s="129" t="str" cm="1">
        <f t="array" aca="1" ref="C46" ca="1">_xlfn.LET(_xlpm.VAL, INDEX('Heat Sheet'!$A:$I, _xlfn.XMATCH(INDIRECT("A"&amp;ROW()-1),'Heat Sheet'!$A:$A)+1, COLUMN()), IF(ISNA(_xlpm.VAL), "", IF(_xlpm.VAL=0, "", _xlpm.VAL)))</f>
        <v/>
      </c>
      <c r="D46" s="154" t="str" cm="1">
        <f t="array" aca="1" ref="D46" ca="1">_xlfn.LET(_xlpm.VAL, INDEX('Heat Sheet'!$A:$I, _xlfn.XMATCH(INDIRECT("A"&amp;ROW()-1),'Heat Sheet'!$A:$A)+1, COLUMN()), IF(ISNA(_xlpm.VAL), "", IF(_xlpm.VAL=0, "", _xlpm.VAL)))</f>
        <v/>
      </c>
      <c r="E46" s="154" t="str" cm="1">
        <f t="array" aca="1" ref="E46" ca="1">_xlfn.LET(_xlpm.VAL, INDEX('Heat Sheet'!$A:$I, _xlfn.XMATCH(INDIRECT("A"&amp;ROW()-1),'Heat Sheet'!$A:$A)+1, COLUMN()), IF(ISNA(_xlpm.VAL), "", IF(_xlpm.VAL=0, "", _xlpm.VAL)))</f>
        <v/>
      </c>
      <c r="F46" s="154" t="str" cm="1">
        <f t="array" aca="1" ref="F46" ca="1">_xlfn.LET(_xlpm.VAL, INDEX('Heat Sheet'!$A:$I, _xlfn.XMATCH(INDIRECT("A"&amp;ROW()-1),'Heat Sheet'!$A:$A)+1, COLUMN()), IF(ISNA(_xlpm.VAL), "", IF(_xlpm.VAL=0, "", _xlpm.VAL)))</f>
        <v/>
      </c>
      <c r="G46" s="154" t="str" cm="1">
        <f t="array" aca="1" ref="G46" ca="1">_xlfn.LET(_xlpm.VAL, INDEX('Heat Sheet'!$A:$I, _xlfn.XMATCH(INDIRECT("A"&amp;ROW()-1),'Heat Sheet'!$A:$A)+1, COLUMN()), IF(ISNA(_xlpm.VAL), "", IF(_xlpm.VAL=0, "", _xlpm.VAL)))</f>
        <v/>
      </c>
      <c r="H46" s="154" t="str" cm="1">
        <f t="array" aca="1" ref="H46" ca="1">_xlfn.LET(_xlpm.VAL, INDEX('Heat Sheet'!$A:$I, _xlfn.XMATCH(INDIRECT("A"&amp;ROW()-1),'Heat Sheet'!$A:$A)+1, COLUMN()), IF(ISNA(_xlpm.VAL), "", IF(_xlpm.VAL=0, "", _xlpm.VAL)))</f>
        <v/>
      </c>
      <c r="I46" s="155" t="str" cm="1">
        <f t="array" aca="1" ref="I46" ca="1">_xlfn.LET(_xlpm.VAL, INDEX('Heat Sheet'!$A:$I, _xlfn.XMATCH(INDIRECT("A"&amp;ROW()-1),'Heat Sheet'!$A:$A)+1, COLUMN()), IF(ISNA(_xlpm.VAL), "", IF(_xlpm.VAL=0, "", _xlpm.VAL)))</f>
        <v/>
      </c>
    </row>
    <row r="47" spans="1:9" ht="16" x14ac:dyDescent="0.2">
      <c r="A47" s="201"/>
      <c r="B47" s="182"/>
      <c r="C47" s="122" t="s">
        <v>22</v>
      </c>
      <c r="D47" s="124"/>
      <c r="E47" s="124"/>
      <c r="F47" s="124"/>
      <c r="G47" s="124"/>
      <c r="H47" s="124"/>
      <c r="I47" s="126"/>
    </row>
    <row r="48" spans="1:9" ht="18.5" customHeight="1" x14ac:dyDescent="0.2">
      <c r="A48" s="201"/>
      <c r="B48" s="182"/>
      <c r="C48" s="122" t="s">
        <v>23</v>
      </c>
      <c r="D48" s="158"/>
      <c r="E48" s="158"/>
      <c r="F48" s="158"/>
      <c r="G48" s="158"/>
      <c r="H48" s="158"/>
      <c r="I48" s="159"/>
    </row>
    <row r="49" spans="1:9" ht="17" x14ac:dyDescent="0.2">
      <c r="A49" s="201"/>
      <c r="B49" s="207"/>
      <c r="C49" s="26" t="s">
        <v>14</v>
      </c>
      <c r="D49" s="160"/>
      <c r="E49" s="160"/>
      <c r="F49" s="160"/>
      <c r="G49" s="160"/>
      <c r="H49" s="160"/>
      <c r="I49" s="161"/>
    </row>
    <row r="50" spans="1:9" ht="17" x14ac:dyDescent="0.2">
      <c r="A50" s="201">
        <v>10</v>
      </c>
      <c r="B50" s="185" t="str">
        <f>IFERROR(VLOOKUP(A50,'Heat Sheet'!$A:$I, 2, FALSE), "")</f>
        <v>09:45 AM</v>
      </c>
      <c r="C50" s="129" t="str" cm="1">
        <f t="array" aca="1" ref="C50" ca="1">_xlfn.LET(_xlpm.VAL, INDEX('Heat Sheet'!$A:$I, _xlfn.XMATCH(INDIRECT("A"&amp;ROW()),'Heat Sheet'!$A:$A), COLUMN()), IF(ISNA(_xlpm.VAL), "", IF(_xlpm.VAL=0, "", _xlpm.VAL)))</f>
        <v/>
      </c>
      <c r="D50" s="154" t="str" cm="1">
        <f t="array" aca="1" ref="D50" ca="1">_xlfn.LET(_xlpm.VAL, INDEX('Heat Sheet'!$A:$I, _xlfn.XMATCH(INDIRECT("A"&amp;ROW()),'Heat Sheet'!$A:$A), COLUMN()), IF(ISNA(_xlpm.VAL), "", IF(_xlpm.VAL=0, "", _xlpm.VAL)))</f>
        <v/>
      </c>
      <c r="E50" s="154" t="str" cm="1">
        <f t="array" aca="1" ref="E50" ca="1">_xlfn.LET(_xlpm.VAL, INDEX('Heat Sheet'!$A:$I, _xlfn.XMATCH(INDIRECT("A"&amp;ROW()),'Heat Sheet'!$A:$A), COLUMN()), IF(ISNA(_xlpm.VAL), "", IF(_xlpm.VAL=0, "", _xlpm.VAL)))</f>
        <v/>
      </c>
      <c r="F50" s="154" t="str" cm="1">
        <f t="array" aca="1" ref="F50" ca="1">_xlfn.LET(_xlpm.VAL, INDEX('Heat Sheet'!$A:$I, _xlfn.XMATCH(INDIRECT("A"&amp;ROW()),'Heat Sheet'!$A:$A), COLUMN()), IF(ISNA(_xlpm.VAL), "", IF(_xlpm.VAL=0, "", _xlpm.VAL)))</f>
        <v/>
      </c>
      <c r="G50" s="154" t="str" cm="1">
        <f t="array" aca="1" ref="G50" ca="1">_xlfn.LET(_xlpm.VAL, INDEX('Heat Sheet'!$A:$I, _xlfn.XMATCH(INDIRECT("A"&amp;ROW()),'Heat Sheet'!$A:$A), COLUMN()), IF(ISNA(_xlpm.VAL), "", IF(_xlpm.VAL=0, "", _xlpm.VAL)))</f>
        <v/>
      </c>
      <c r="H50" s="154" t="str" cm="1">
        <f t="array" aca="1" ref="H50" ca="1">_xlfn.LET(_xlpm.VAL, INDEX('Heat Sheet'!$A:$I, _xlfn.XMATCH(INDIRECT("A"&amp;ROW()),'Heat Sheet'!$A:$A), COLUMN()), IF(ISNA(_xlpm.VAL), "", IF(_xlpm.VAL=0, "", _xlpm.VAL)))</f>
        <v/>
      </c>
      <c r="I50" s="155" t="str" cm="1">
        <f t="array" aca="1" ref="I50" ca="1">_xlfn.LET(_xlpm.VAL, INDEX('Heat Sheet'!$A:$I, _xlfn.XMATCH(INDIRECT("A"&amp;ROW()),'Heat Sheet'!$A:$A), COLUMN()), IF(ISNA(_xlpm.VAL), "", IF(_xlpm.VAL=0, "", _xlpm.VAL)))</f>
        <v/>
      </c>
    </row>
    <row r="51" spans="1:9" ht="17" x14ac:dyDescent="0.2">
      <c r="A51" s="201"/>
      <c r="B51" s="182"/>
      <c r="C51" s="129" t="str" cm="1">
        <f t="array" aca="1" ref="C51" ca="1">_xlfn.LET(_xlpm.VAL, INDEX('Heat Sheet'!$A:$I, _xlfn.XMATCH(INDIRECT("A"&amp;ROW()-1),'Heat Sheet'!$A:$A)+1, COLUMN()), IF(ISNA(_xlpm.VAL), "", IF(_xlpm.VAL=0, "", _xlpm.VAL)))</f>
        <v/>
      </c>
      <c r="D51" s="154" t="str" cm="1">
        <f t="array" aca="1" ref="D51" ca="1">_xlfn.LET(_xlpm.VAL, INDEX('Heat Sheet'!$A:$I, _xlfn.XMATCH(INDIRECT("A"&amp;ROW()-1),'Heat Sheet'!$A:$A)+1, COLUMN()), IF(ISNA(_xlpm.VAL), "", IF(_xlpm.VAL=0, "", _xlpm.VAL)))</f>
        <v/>
      </c>
      <c r="E51" s="154" t="str" cm="1">
        <f t="array" aca="1" ref="E51" ca="1">_xlfn.LET(_xlpm.VAL, INDEX('Heat Sheet'!$A:$I, _xlfn.XMATCH(INDIRECT("A"&amp;ROW()-1),'Heat Sheet'!$A:$A)+1, COLUMN()), IF(ISNA(_xlpm.VAL), "", IF(_xlpm.VAL=0, "", _xlpm.VAL)))</f>
        <v/>
      </c>
      <c r="F51" s="154" t="str" cm="1">
        <f t="array" aca="1" ref="F51" ca="1">_xlfn.LET(_xlpm.VAL, INDEX('Heat Sheet'!$A:$I, _xlfn.XMATCH(INDIRECT("A"&amp;ROW()-1),'Heat Sheet'!$A:$A)+1, COLUMN()), IF(ISNA(_xlpm.VAL), "", IF(_xlpm.VAL=0, "", _xlpm.VAL)))</f>
        <v/>
      </c>
      <c r="G51" s="154" t="str" cm="1">
        <f t="array" aca="1" ref="G51" ca="1">_xlfn.LET(_xlpm.VAL, INDEX('Heat Sheet'!$A:$I, _xlfn.XMATCH(INDIRECT("A"&amp;ROW()-1),'Heat Sheet'!$A:$A)+1, COLUMN()), IF(ISNA(_xlpm.VAL), "", IF(_xlpm.VAL=0, "", _xlpm.VAL)))</f>
        <v/>
      </c>
      <c r="H51" s="154" t="str" cm="1">
        <f t="array" aca="1" ref="H51" ca="1">_xlfn.LET(_xlpm.VAL, INDEX('Heat Sheet'!$A:$I, _xlfn.XMATCH(INDIRECT("A"&amp;ROW()-1),'Heat Sheet'!$A:$A)+1, COLUMN()), IF(ISNA(_xlpm.VAL), "", IF(_xlpm.VAL=0, "", _xlpm.VAL)))</f>
        <v/>
      </c>
      <c r="I51" s="155" t="str" cm="1">
        <f t="array" aca="1" ref="I51" ca="1">_xlfn.LET(_xlpm.VAL, INDEX('Heat Sheet'!$A:$I, _xlfn.XMATCH(INDIRECT("A"&amp;ROW()-1),'Heat Sheet'!$A:$A)+1, COLUMN()), IF(ISNA(_xlpm.VAL), "", IF(_xlpm.VAL=0, "", _xlpm.VAL)))</f>
        <v/>
      </c>
    </row>
    <row r="52" spans="1:9" ht="16" x14ac:dyDescent="0.2">
      <c r="A52" s="201"/>
      <c r="B52" s="182"/>
      <c r="C52" s="122" t="s">
        <v>22</v>
      </c>
      <c r="D52" s="124"/>
      <c r="E52" s="124"/>
      <c r="F52" s="124"/>
      <c r="G52" s="124"/>
      <c r="H52" s="124"/>
      <c r="I52" s="125"/>
    </row>
    <row r="53" spans="1:9" ht="16" x14ac:dyDescent="0.2">
      <c r="A53" s="201"/>
      <c r="B53" s="182"/>
      <c r="C53" s="122" t="s">
        <v>23</v>
      </c>
      <c r="D53" s="158"/>
      <c r="E53" s="158"/>
      <c r="F53" s="158"/>
      <c r="G53" s="158"/>
      <c r="H53" s="158"/>
      <c r="I53" s="159"/>
    </row>
    <row r="54" spans="1:9" ht="18.5" customHeight="1" x14ac:dyDescent="0.2">
      <c r="A54" s="201"/>
      <c r="B54" s="207"/>
      <c r="C54" s="26" t="s">
        <v>14</v>
      </c>
      <c r="D54" s="160"/>
      <c r="E54" s="160"/>
      <c r="F54" s="160"/>
      <c r="G54" s="160"/>
      <c r="H54" s="160"/>
      <c r="I54" s="161"/>
    </row>
    <row r="55" spans="1:9" s="111" customFormat="1" ht="17" x14ac:dyDescent="0.2">
      <c r="A55" s="218">
        <v>11</v>
      </c>
      <c r="B55" s="185" t="str">
        <f>IFERROR(VLOOKUP(A55,'Heat Sheet'!$A:$I, 2, FALSE), "")</f>
        <v>09:50 AM</v>
      </c>
      <c r="C55" s="129" t="str" cm="1">
        <f t="array" aca="1" ref="C55" ca="1">_xlfn.LET(_xlpm.VAL, INDEX('Heat Sheet'!$A:$I, _xlfn.XMATCH(INDIRECT("A"&amp;ROW()),'Heat Sheet'!$A:$A), COLUMN()), IF(ISNA(_xlpm.VAL), "", IF(_xlpm.VAL=0, "", _xlpm.VAL)))</f>
        <v/>
      </c>
      <c r="D55" s="154" t="str" cm="1">
        <f t="array" aca="1" ref="D55" ca="1">_xlfn.LET(_xlpm.VAL, INDEX('Heat Sheet'!$A:$I, _xlfn.XMATCH(INDIRECT("A"&amp;ROW()),'Heat Sheet'!$A:$A), COLUMN()), IF(ISNA(_xlpm.VAL), "", IF(_xlpm.VAL=0, "", _xlpm.VAL)))</f>
        <v/>
      </c>
      <c r="E55" s="154" t="str" cm="1">
        <f t="array" aca="1" ref="E55" ca="1">_xlfn.LET(_xlpm.VAL, INDEX('Heat Sheet'!$A:$I, _xlfn.XMATCH(INDIRECT("A"&amp;ROW()),'Heat Sheet'!$A:$A), COLUMN()), IF(ISNA(_xlpm.VAL), "", IF(_xlpm.VAL=0, "", _xlpm.VAL)))</f>
        <v/>
      </c>
      <c r="F55" s="154" t="str" cm="1">
        <f t="array" aca="1" ref="F55" ca="1">_xlfn.LET(_xlpm.VAL, INDEX('Heat Sheet'!$A:$I, _xlfn.XMATCH(INDIRECT("A"&amp;ROW()),'Heat Sheet'!$A:$A), COLUMN()), IF(ISNA(_xlpm.VAL), "", IF(_xlpm.VAL=0, "", _xlpm.VAL)))</f>
        <v/>
      </c>
      <c r="G55" s="154" t="str" cm="1">
        <f t="array" aca="1" ref="G55" ca="1">_xlfn.LET(_xlpm.VAL, INDEX('Heat Sheet'!$A:$I, _xlfn.XMATCH(INDIRECT("A"&amp;ROW()),'Heat Sheet'!$A:$A), COLUMN()), IF(ISNA(_xlpm.VAL), "", IF(_xlpm.VAL=0, "", _xlpm.VAL)))</f>
        <v/>
      </c>
      <c r="H55" s="154" t="str" cm="1">
        <f t="array" aca="1" ref="H55" ca="1">_xlfn.LET(_xlpm.VAL, INDEX('Heat Sheet'!$A:$I, _xlfn.XMATCH(INDIRECT("A"&amp;ROW()),'Heat Sheet'!$A:$A), COLUMN()), IF(ISNA(_xlpm.VAL), "", IF(_xlpm.VAL=0, "", _xlpm.VAL)))</f>
        <v/>
      </c>
      <c r="I55" s="155" t="str" cm="1">
        <f t="array" aca="1" ref="I55" ca="1">_xlfn.LET(_xlpm.VAL, INDEX('Heat Sheet'!$A:$I, _xlfn.XMATCH(INDIRECT("A"&amp;ROW()),'Heat Sheet'!$A:$A), COLUMN()), IF(ISNA(_xlpm.VAL), "", IF(_xlpm.VAL=0, "", _xlpm.VAL)))</f>
        <v/>
      </c>
    </row>
    <row r="56" spans="1:9" s="111" customFormat="1" ht="17" x14ac:dyDescent="0.2">
      <c r="A56" s="218"/>
      <c r="B56" s="182"/>
      <c r="C56" s="129" t="str" cm="1">
        <f t="array" aca="1" ref="C56" ca="1">_xlfn.LET(_xlpm.VAL, INDEX('Heat Sheet'!$A:$I, _xlfn.XMATCH(INDIRECT("A"&amp;ROW()-1),'Heat Sheet'!$A:$A)+1, COLUMN()), IF(ISNA(_xlpm.VAL), "", IF(_xlpm.VAL=0, "", _xlpm.VAL)))</f>
        <v/>
      </c>
      <c r="D56" s="154" t="str" cm="1">
        <f t="array" aca="1" ref="D56" ca="1">_xlfn.LET(_xlpm.VAL, INDEX('Heat Sheet'!$A:$I, _xlfn.XMATCH(INDIRECT("A"&amp;ROW()-1),'Heat Sheet'!$A:$A)+1, COLUMN()), IF(ISNA(_xlpm.VAL), "", IF(_xlpm.VAL=0, "", _xlpm.VAL)))</f>
        <v/>
      </c>
      <c r="E56" s="154" t="str" cm="1">
        <f t="array" aca="1" ref="E56" ca="1">_xlfn.LET(_xlpm.VAL, INDEX('Heat Sheet'!$A:$I, _xlfn.XMATCH(INDIRECT("A"&amp;ROW()-1),'Heat Sheet'!$A:$A)+1, COLUMN()), IF(ISNA(_xlpm.VAL), "", IF(_xlpm.VAL=0, "", _xlpm.VAL)))</f>
        <v/>
      </c>
      <c r="F56" s="154" t="str" cm="1">
        <f t="array" aca="1" ref="F56" ca="1">_xlfn.LET(_xlpm.VAL, INDEX('Heat Sheet'!$A:$I, _xlfn.XMATCH(INDIRECT("A"&amp;ROW()-1),'Heat Sheet'!$A:$A)+1, COLUMN()), IF(ISNA(_xlpm.VAL), "", IF(_xlpm.VAL=0, "", _xlpm.VAL)))</f>
        <v/>
      </c>
      <c r="G56" s="154" t="str" cm="1">
        <f t="array" aca="1" ref="G56" ca="1">_xlfn.LET(_xlpm.VAL, INDEX('Heat Sheet'!$A:$I, _xlfn.XMATCH(INDIRECT("A"&amp;ROW()-1),'Heat Sheet'!$A:$A)+1, COLUMN()), IF(ISNA(_xlpm.VAL), "", IF(_xlpm.VAL=0, "", _xlpm.VAL)))</f>
        <v/>
      </c>
      <c r="H56" s="154" t="str" cm="1">
        <f t="array" aca="1" ref="H56" ca="1">_xlfn.LET(_xlpm.VAL, INDEX('Heat Sheet'!$A:$I, _xlfn.XMATCH(INDIRECT("A"&amp;ROW()-1),'Heat Sheet'!$A:$A)+1, COLUMN()), IF(ISNA(_xlpm.VAL), "", IF(_xlpm.VAL=0, "", _xlpm.VAL)))</f>
        <v/>
      </c>
      <c r="I56" s="155" t="str" cm="1">
        <f t="array" aca="1" ref="I56" ca="1">_xlfn.LET(_xlpm.VAL, INDEX('Heat Sheet'!$A:$I, _xlfn.XMATCH(INDIRECT("A"&amp;ROW()-1),'Heat Sheet'!$A:$A)+1, COLUMN()), IF(ISNA(_xlpm.VAL), "", IF(_xlpm.VAL=0, "", _xlpm.VAL)))</f>
        <v/>
      </c>
    </row>
    <row r="57" spans="1:9" s="111" customFormat="1" ht="16" x14ac:dyDescent="0.2">
      <c r="A57" s="218"/>
      <c r="B57" s="182"/>
      <c r="C57" s="122" t="s">
        <v>22</v>
      </c>
      <c r="D57" s="124"/>
      <c r="E57" s="124"/>
      <c r="F57" s="124"/>
      <c r="G57" s="124"/>
      <c r="H57" s="124"/>
      <c r="I57" s="126"/>
    </row>
    <row r="58" spans="1:9" ht="16" x14ac:dyDescent="0.2">
      <c r="A58" s="218"/>
      <c r="B58" s="182"/>
      <c r="C58" s="122" t="s">
        <v>23</v>
      </c>
      <c r="D58" s="158"/>
      <c r="E58" s="158"/>
      <c r="F58" s="158"/>
      <c r="G58" s="158"/>
      <c r="H58" s="158"/>
      <c r="I58" s="159"/>
    </row>
    <row r="59" spans="1:9" ht="17" x14ac:dyDescent="0.2">
      <c r="A59" s="218"/>
      <c r="B59" s="207"/>
      <c r="C59" s="26" t="s">
        <v>14</v>
      </c>
      <c r="D59" s="160"/>
      <c r="E59" s="160"/>
      <c r="F59" s="160"/>
      <c r="G59" s="160"/>
      <c r="H59" s="160"/>
      <c r="I59" s="161"/>
    </row>
    <row r="60" spans="1:9" ht="18.5" customHeight="1" x14ac:dyDescent="0.2">
      <c r="A60" s="201">
        <v>12</v>
      </c>
      <c r="B60" s="185" t="str">
        <f>IFERROR(VLOOKUP(A60,'Heat Sheet'!$A:$I, 2, FALSE), "")</f>
        <v>09:55 AM</v>
      </c>
      <c r="C60" s="129" t="str" cm="1">
        <f t="array" aca="1" ref="C60" ca="1">_xlfn.LET(_xlpm.VAL, INDEX('Heat Sheet'!$A:$I, _xlfn.XMATCH(INDIRECT("A"&amp;ROW()),'Heat Sheet'!$A:$A), COLUMN()), IF(ISNA(_xlpm.VAL), "", IF(_xlpm.VAL=0, "", _xlpm.VAL)))</f>
        <v/>
      </c>
      <c r="D60" s="154" t="str" cm="1">
        <f t="array" aca="1" ref="D60" ca="1">_xlfn.LET(_xlpm.VAL, INDEX('Heat Sheet'!$A:$I, _xlfn.XMATCH(INDIRECT("A"&amp;ROW()),'Heat Sheet'!$A:$A), COLUMN()), IF(ISNA(_xlpm.VAL), "", IF(_xlpm.VAL=0, "", _xlpm.VAL)))</f>
        <v/>
      </c>
      <c r="E60" s="154" t="str" cm="1">
        <f t="array" aca="1" ref="E60" ca="1">_xlfn.LET(_xlpm.VAL, INDEX('Heat Sheet'!$A:$I, _xlfn.XMATCH(INDIRECT("A"&amp;ROW()),'Heat Sheet'!$A:$A), COLUMN()), IF(ISNA(_xlpm.VAL), "", IF(_xlpm.VAL=0, "", _xlpm.VAL)))</f>
        <v/>
      </c>
      <c r="F60" s="154" t="str" cm="1">
        <f t="array" aca="1" ref="F60" ca="1">_xlfn.LET(_xlpm.VAL, INDEX('Heat Sheet'!$A:$I, _xlfn.XMATCH(INDIRECT("A"&amp;ROW()),'Heat Sheet'!$A:$A), COLUMN()), IF(ISNA(_xlpm.VAL), "", IF(_xlpm.VAL=0, "", _xlpm.VAL)))</f>
        <v/>
      </c>
      <c r="G60" s="154" t="str" cm="1">
        <f t="array" aca="1" ref="G60" ca="1">_xlfn.LET(_xlpm.VAL, INDEX('Heat Sheet'!$A:$I, _xlfn.XMATCH(INDIRECT("A"&amp;ROW()),'Heat Sheet'!$A:$A), COLUMN()), IF(ISNA(_xlpm.VAL), "", IF(_xlpm.VAL=0, "", _xlpm.VAL)))</f>
        <v/>
      </c>
      <c r="H60" s="154" t="str" cm="1">
        <f t="array" aca="1" ref="H60" ca="1">_xlfn.LET(_xlpm.VAL, INDEX('Heat Sheet'!$A:$I, _xlfn.XMATCH(INDIRECT("A"&amp;ROW()),'Heat Sheet'!$A:$A), COLUMN()), IF(ISNA(_xlpm.VAL), "", IF(_xlpm.VAL=0, "", _xlpm.VAL)))</f>
        <v/>
      </c>
      <c r="I60" s="155" t="str" cm="1">
        <f t="array" aca="1" ref="I60" ca="1">_xlfn.LET(_xlpm.VAL, INDEX('Heat Sheet'!$A:$I, _xlfn.XMATCH(INDIRECT("A"&amp;ROW()),'Heat Sheet'!$A:$A), COLUMN()), IF(ISNA(_xlpm.VAL), "", IF(_xlpm.VAL=0, "", _xlpm.VAL)))</f>
        <v/>
      </c>
    </row>
    <row r="61" spans="1:9" ht="18.5" customHeight="1" x14ac:dyDescent="0.2">
      <c r="A61" s="201"/>
      <c r="B61" s="182"/>
      <c r="C61" s="129" t="str" cm="1">
        <f t="array" aca="1" ref="C61" ca="1">_xlfn.LET(_xlpm.VAL, INDEX('Heat Sheet'!$A:$I, _xlfn.XMATCH(INDIRECT("A"&amp;ROW()-1),'Heat Sheet'!$A:$A)+1, COLUMN()), IF(ISNA(_xlpm.VAL), "", IF(_xlpm.VAL=0, "", _xlpm.VAL)))</f>
        <v/>
      </c>
      <c r="D61" s="154" t="str" cm="1">
        <f t="array" aca="1" ref="D61" ca="1">_xlfn.LET(_xlpm.VAL, INDEX('Heat Sheet'!$A:$I, _xlfn.XMATCH(INDIRECT("A"&amp;ROW()-1),'Heat Sheet'!$A:$A)+1, COLUMN()), IF(ISNA(_xlpm.VAL), "", IF(_xlpm.VAL=0, "", _xlpm.VAL)))</f>
        <v/>
      </c>
      <c r="E61" s="154" t="str" cm="1">
        <f t="array" aca="1" ref="E61" ca="1">_xlfn.LET(_xlpm.VAL, INDEX('Heat Sheet'!$A:$I, _xlfn.XMATCH(INDIRECT("A"&amp;ROW()-1),'Heat Sheet'!$A:$A)+1, COLUMN()), IF(ISNA(_xlpm.VAL), "", IF(_xlpm.VAL=0, "", _xlpm.VAL)))</f>
        <v/>
      </c>
      <c r="F61" s="154" t="str" cm="1">
        <f t="array" aca="1" ref="F61" ca="1">_xlfn.LET(_xlpm.VAL, INDEX('Heat Sheet'!$A:$I, _xlfn.XMATCH(INDIRECT("A"&amp;ROW()-1),'Heat Sheet'!$A:$A)+1, COLUMN()), IF(ISNA(_xlpm.VAL), "", IF(_xlpm.VAL=0, "", _xlpm.VAL)))</f>
        <v/>
      </c>
      <c r="G61" s="154" t="str" cm="1">
        <f t="array" aca="1" ref="G61" ca="1">_xlfn.LET(_xlpm.VAL, INDEX('Heat Sheet'!$A:$I, _xlfn.XMATCH(INDIRECT("A"&amp;ROW()-1),'Heat Sheet'!$A:$A)+1, COLUMN()), IF(ISNA(_xlpm.VAL), "", IF(_xlpm.VAL=0, "", _xlpm.VAL)))</f>
        <v/>
      </c>
      <c r="H61" s="154" t="str" cm="1">
        <f t="array" aca="1" ref="H61" ca="1">_xlfn.LET(_xlpm.VAL, INDEX('Heat Sheet'!$A:$I, _xlfn.XMATCH(INDIRECT("A"&amp;ROW()-1),'Heat Sheet'!$A:$A)+1, COLUMN()), IF(ISNA(_xlpm.VAL), "", IF(_xlpm.VAL=0, "", _xlpm.VAL)))</f>
        <v/>
      </c>
      <c r="I61" s="155" t="str" cm="1">
        <f t="array" aca="1" ref="I61" ca="1">_xlfn.LET(_xlpm.VAL, INDEX('Heat Sheet'!$A:$I, _xlfn.XMATCH(INDIRECT("A"&amp;ROW()-1),'Heat Sheet'!$A:$A)+1, COLUMN()), IF(ISNA(_xlpm.VAL), "", IF(_xlpm.VAL=0, "", _xlpm.VAL)))</f>
        <v/>
      </c>
    </row>
    <row r="62" spans="1:9" ht="18.5" customHeight="1" x14ac:dyDescent="0.2">
      <c r="A62" s="201"/>
      <c r="B62" s="182"/>
      <c r="C62" s="122" t="s">
        <v>22</v>
      </c>
      <c r="D62" s="124"/>
      <c r="E62" s="124"/>
      <c r="F62" s="124"/>
      <c r="G62" s="124"/>
      <c r="H62" s="124"/>
      <c r="I62" s="126"/>
    </row>
    <row r="63" spans="1:9" ht="16" x14ac:dyDescent="0.2">
      <c r="A63" s="201"/>
      <c r="B63" s="182"/>
      <c r="C63" s="122" t="s">
        <v>23</v>
      </c>
      <c r="D63" s="158"/>
      <c r="E63" s="158"/>
      <c r="F63" s="158"/>
      <c r="G63" s="158"/>
      <c r="H63" s="158"/>
      <c r="I63" s="159"/>
    </row>
    <row r="64" spans="1:9" ht="17" x14ac:dyDescent="0.2">
      <c r="A64" s="201"/>
      <c r="B64" s="207"/>
      <c r="C64" s="26" t="s">
        <v>14</v>
      </c>
      <c r="D64" s="160"/>
      <c r="E64" s="160"/>
      <c r="F64" s="160"/>
      <c r="G64" s="160"/>
      <c r="H64" s="160"/>
      <c r="I64" s="161"/>
    </row>
    <row r="65" spans="1:9" ht="18.5" customHeight="1" x14ac:dyDescent="0.2">
      <c r="A65" s="201">
        <v>13</v>
      </c>
      <c r="B65" s="185" t="str">
        <f>IFERROR(VLOOKUP(A65,'Heat Sheet'!$A:$I, 2, FALSE), "")</f>
        <v>10:00 AM</v>
      </c>
      <c r="C65" s="129" t="str" cm="1">
        <f t="array" aca="1" ref="C65" ca="1">_xlfn.LET(_xlpm.VAL, INDEX('Heat Sheet'!$A:$I, _xlfn.XMATCH(INDIRECT("A"&amp;ROW()),'Heat Sheet'!$A:$A), COLUMN()), IF(ISNA(_xlpm.VAL), "", IF(_xlpm.VAL=0, "", _xlpm.VAL)))</f>
        <v/>
      </c>
      <c r="D65" s="154" t="str" cm="1">
        <f t="array" aca="1" ref="D65" ca="1">_xlfn.LET(_xlpm.VAL, INDEX('Heat Sheet'!$A:$I, _xlfn.XMATCH(INDIRECT("A"&amp;ROW()),'Heat Sheet'!$A:$A), COLUMN()), IF(ISNA(_xlpm.VAL), "", IF(_xlpm.VAL=0, "", _xlpm.VAL)))</f>
        <v/>
      </c>
      <c r="E65" s="154" t="str" cm="1">
        <f t="array" aca="1" ref="E65" ca="1">_xlfn.LET(_xlpm.VAL, INDEX('Heat Sheet'!$A:$I, _xlfn.XMATCH(INDIRECT("A"&amp;ROW()),'Heat Sheet'!$A:$A), COLUMN()), IF(ISNA(_xlpm.VAL), "", IF(_xlpm.VAL=0, "", _xlpm.VAL)))</f>
        <v/>
      </c>
      <c r="F65" s="154" t="str" cm="1">
        <f t="array" aca="1" ref="F65" ca="1">_xlfn.LET(_xlpm.VAL, INDEX('Heat Sheet'!$A:$I, _xlfn.XMATCH(INDIRECT("A"&amp;ROW()),'Heat Sheet'!$A:$A), COLUMN()), IF(ISNA(_xlpm.VAL), "", IF(_xlpm.VAL=0, "", _xlpm.VAL)))</f>
        <v/>
      </c>
      <c r="G65" s="154" t="str" cm="1">
        <f t="array" aca="1" ref="G65" ca="1">_xlfn.LET(_xlpm.VAL, INDEX('Heat Sheet'!$A:$I, _xlfn.XMATCH(INDIRECT("A"&amp;ROW()),'Heat Sheet'!$A:$A), COLUMN()), IF(ISNA(_xlpm.VAL), "", IF(_xlpm.VAL=0, "", _xlpm.VAL)))</f>
        <v/>
      </c>
      <c r="H65" s="154" t="str" cm="1">
        <f t="array" aca="1" ref="H65" ca="1">_xlfn.LET(_xlpm.VAL, INDEX('Heat Sheet'!$A:$I, _xlfn.XMATCH(INDIRECT("A"&amp;ROW()),'Heat Sheet'!$A:$A), COLUMN()), IF(ISNA(_xlpm.VAL), "", IF(_xlpm.VAL=0, "", _xlpm.VAL)))</f>
        <v/>
      </c>
      <c r="I65" s="155" t="str" cm="1">
        <f t="array" aca="1" ref="I65" ca="1">_xlfn.LET(_xlpm.VAL, INDEX('Heat Sheet'!$A:$I, _xlfn.XMATCH(INDIRECT("A"&amp;ROW()),'Heat Sheet'!$A:$A), COLUMN()), IF(ISNA(_xlpm.VAL), "", IF(_xlpm.VAL=0, "", _xlpm.VAL)))</f>
        <v/>
      </c>
    </row>
    <row r="66" spans="1:9" ht="18.5" customHeight="1" x14ac:dyDescent="0.2">
      <c r="A66" s="201"/>
      <c r="B66" s="182"/>
      <c r="C66" s="129" t="str" cm="1">
        <f t="array" aca="1" ref="C66" ca="1">_xlfn.LET(_xlpm.VAL, INDEX('Heat Sheet'!$A:$I, _xlfn.XMATCH(INDIRECT("A"&amp;ROW()-1),'Heat Sheet'!$A:$A)+1, COLUMN()), IF(ISNA(_xlpm.VAL), "", IF(_xlpm.VAL=0, "", _xlpm.VAL)))</f>
        <v/>
      </c>
      <c r="D66" s="154" t="str" cm="1">
        <f t="array" aca="1" ref="D66" ca="1">_xlfn.LET(_xlpm.VAL, INDEX('Heat Sheet'!$A:$I, _xlfn.XMATCH(INDIRECT("A"&amp;ROW()-1),'Heat Sheet'!$A:$A)+1, COLUMN()), IF(ISNA(_xlpm.VAL), "", IF(_xlpm.VAL=0, "", _xlpm.VAL)))</f>
        <v/>
      </c>
      <c r="E66" s="154" t="str" cm="1">
        <f t="array" aca="1" ref="E66" ca="1">_xlfn.LET(_xlpm.VAL, INDEX('Heat Sheet'!$A:$I, _xlfn.XMATCH(INDIRECT("A"&amp;ROW()-1),'Heat Sheet'!$A:$A)+1, COLUMN()), IF(ISNA(_xlpm.VAL), "", IF(_xlpm.VAL=0, "", _xlpm.VAL)))</f>
        <v/>
      </c>
      <c r="F66" s="154" t="str" cm="1">
        <f t="array" aca="1" ref="F66" ca="1">_xlfn.LET(_xlpm.VAL, INDEX('Heat Sheet'!$A:$I, _xlfn.XMATCH(INDIRECT("A"&amp;ROW()-1),'Heat Sheet'!$A:$A)+1, COLUMN()), IF(ISNA(_xlpm.VAL), "", IF(_xlpm.VAL=0, "", _xlpm.VAL)))</f>
        <v/>
      </c>
      <c r="G66" s="154" t="str" cm="1">
        <f t="array" aca="1" ref="G66" ca="1">_xlfn.LET(_xlpm.VAL, INDEX('Heat Sheet'!$A:$I, _xlfn.XMATCH(INDIRECT("A"&amp;ROW()-1),'Heat Sheet'!$A:$A)+1, COLUMN()), IF(ISNA(_xlpm.VAL), "", IF(_xlpm.VAL=0, "", _xlpm.VAL)))</f>
        <v/>
      </c>
      <c r="H66" s="154" t="str" cm="1">
        <f t="array" aca="1" ref="H66" ca="1">_xlfn.LET(_xlpm.VAL, INDEX('Heat Sheet'!$A:$I, _xlfn.XMATCH(INDIRECT("A"&amp;ROW()-1),'Heat Sheet'!$A:$A)+1, COLUMN()), IF(ISNA(_xlpm.VAL), "", IF(_xlpm.VAL=0, "", _xlpm.VAL)))</f>
        <v/>
      </c>
      <c r="I66" s="155" t="str" cm="1">
        <f t="array" aca="1" ref="I66" ca="1">_xlfn.LET(_xlpm.VAL, INDEX('Heat Sheet'!$A:$I, _xlfn.XMATCH(INDIRECT("A"&amp;ROW()-1),'Heat Sheet'!$A:$A)+1, COLUMN()), IF(ISNA(_xlpm.VAL), "", IF(_xlpm.VAL=0, "", _xlpm.VAL)))</f>
        <v/>
      </c>
    </row>
    <row r="67" spans="1:9" ht="18.5" customHeight="1" x14ac:dyDescent="0.2">
      <c r="A67" s="201"/>
      <c r="B67" s="182"/>
      <c r="C67" s="122" t="s">
        <v>22</v>
      </c>
      <c r="D67" s="124"/>
      <c r="E67" s="124"/>
      <c r="F67" s="124"/>
      <c r="G67" s="124"/>
      <c r="H67" s="124"/>
      <c r="I67" s="126"/>
    </row>
    <row r="68" spans="1:9" ht="16" x14ac:dyDescent="0.2">
      <c r="A68" s="201"/>
      <c r="B68" s="182"/>
      <c r="C68" s="122" t="s">
        <v>23</v>
      </c>
      <c r="D68" s="158"/>
      <c r="E68" s="158"/>
      <c r="F68" s="158"/>
      <c r="G68" s="158"/>
      <c r="H68" s="158"/>
      <c r="I68" s="159"/>
    </row>
    <row r="69" spans="1:9" ht="17" x14ac:dyDescent="0.2">
      <c r="A69" s="201"/>
      <c r="B69" s="207"/>
      <c r="C69" s="26" t="s">
        <v>14</v>
      </c>
      <c r="D69" s="160"/>
      <c r="E69" s="160"/>
      <c r="F69" s="160"/>
      <c r="G69" s="160"/>
      <c r="H69" s="160"/>
      <c r="I69" s="161"/>
    </row>
    <row r="70" spans="1:9" ht="17" x14ac:dyDescent="0.2">
      <c r="A70" s="201">
        <v>14</v>
      </c>
      <c r="B70" s="185" t="str">
        <f>IFERROR(VLOOKUP(A70,'Heat Sheet'!$A:$I, 2, FALSE), "")</f>
        <v>10:05 AM</v>
      </c>
      <c r="C70" s="129" t="str" cm="1">
        <f t="array" aca="1" ref="C70" ca="1">_xlfn.LET(_xlpm.VAL, INDEX('Heat Sheet'!$A:$I, _xlfn.XMATCH(INDIRECT("A"&amp;ROW()),'Heat Sheet'!$A:$A), COLUMN()), IF(ISNA(_xlpm.VAL), "", IF(_xlpm.VAL=0, "", _xlpm.VAL)))</f>
        <v/>
      </c>
      <c r="D70" s="157" t="str" cm="1">
        <f t="array" aca="1" ref="D70" ca="1">_xlfn.LET(_xlpm.VAL, INDEX('Heat Sheet'!$A:$I, _xlfn.XMATCH(INDIRECT("A"&amp;ROW()),'Heat Sheet'!$A:$A), COLUMN()), IF(ISNA(_xlpm.VAL), "", IF(_xlpm.VAL=0, "", _xlpm.VAL)))</f>
        <v/>
      </c>
      <c r="E70" s="157" t="str" cm="1">
        <f t="array" aca="1" ref="E70" ca="1">_xlfn.LET(_xlpm.VAL, INDEX('Heat Sheet'!$A:$I, _xlfn.XMATCH(INDIRECT("A"&amp;ROW()),'Heat Sheet'!$A:$A), COLUMN()), IF(ISNA(_xlpm.VAL), "", IF(_xlpm.VAL=0, "", _xlpm.VAL)))</f>
        <v/>
      </c>
      <c r="F70" s="157" t="str" cm="1">
        <f t="array" aca="1" ref="F70" ca="1">_xlfn.LET(_xlpm.VAL, INDEX('Heat Sheet'!$A:$I, _xlfn.XMATCH(INDIRECT("A"&amp;ROW()),'Heat Sheet'!$A:$A), COLUMN()), IF(ISNA(_xlpm.VAL), "", IF(_xlpm.VAL=0, "", _xlpm.VAL)))</f>
        <v/>
      </c>
      <c r="G70" s="154" t="str" cm="1">
        <f t="array" aca="1" ref="G70" ca="1">_xlfn.LET(_xlpm.VAL, INDEX('Heat Sheet'!$A:$I, _xlfn.XMATCH(INDIRECT("A"&amp;ROW()),'Heat Sheet'!$A:$A), COLUMN()), IF(ISNA(_xlpm.VAL), "", IF(_xlpm.VAL=0, "", _xlpm.VAL)))</f>
        <v/>
      </c>
      <c r="H70" s="154" t="str" cm="1">
        <f t="array" aca="1" ref="H70" ca="1">_xlfn.LET(_xlpm.VAL, INDEX('Heat Sheet'!$A:$I, _xlfn.XMATCH(INDIRECT("A"&amp;ROW()),'Heat Sheet'!$A:$A), COLUMN()), IF(ISNA(_xlpm.VAL), "", IF(_xlpm.VAL=0, "", _xlpm.VAL)))</f>
        <v/>
      </c>
      <c r="I70" s="155" t="str" cm="1">
        <f t="array" aca="1" ref="I70" ca="1">_xlfn.LET(_xlpm.VAL, INDEX('Heat Sheet'!$A:$I, _xlfn.XMATCH(INDIRECT("A"&amp;ROW()),'Heat Sheet'!$A:$A), COLUMN()), IF(ISNA(_xlpm.VAL), "", IF(_xlpm.VAL=0, "", _xlpm.VAL)))</f>
        <v/>
      </c>
    </row>
    <row r="71" spans="1:9" ht="17" x14ac:dyDescent="0.2">
      <c r="A71" s="201"/>
      <c r="B71" s="182"/>
      <c r="C71" s="129" t="str" cm="1">
        <f t="array" aca="1" ref="C71" ca="1">_xlfn.LET(_xlpm.VAL, INDEX('Heat Sheet'!$A:$I, _xlfn.XMATCH(INDIRECT("A"&amp;ROW()-1),'Heat Sheet'!$A:$A)+1, COLUMN()), IF(ISNA(_xlpm.VAL), "", IF(_xlpm.VAL=0, "", _xlpm.VAL)))</f>
        <v/>
      </c>
      <c r="D71" s="154" t="str" cm="1">
        <f t="array" aca="1" ref="D71" ca="1">_xlfn.LET(_xlpm.VAL, INDEX('Heat Sheet'!$A:$I, _xlfn.XMATCH(INDIRECT("A"&amp;ROW()-1),'Heat Sheet'!$A:$A)+1, COLUMN()), IF(ISNA(_xlpm.VAL), "", IF(_xlpm.VAL=0, "", _xlpm.VAL)))</f>
        <v/>
      </c>
      <c r="E71" s="154" t="str" cm="1">
        <f t="array" aca="1" ref="E71" ca="1">_xlfn.LET(_xlpm.VAL, INDEX('Heat Sheet'!$A:$I, _xlfn.XMATCH(INDIRECT("A"&amp;ROW()-1),'Heat Sheet'!$A:$A)+1, COLUMN()), IF(ISNA(_xlpm.VAL), "", IF(_xlpm.VAL=0, "", _xlpm.VAL)))</f>
        <v/>
      </c>
      <c r="F71" s="154" t="str" cm="1">
        <f t="array" aca="1" ref="F71" ca="1">_xlfn.LET(_xlpm.VAL, INDEX('Heat Sheet'!$A:$I, _xlfn.XMATCH(INDIRECT("A"&amp;ROW()-1),'Heat Sheet'!$A:$A)+1, COLUMN()), IF(ISNA(_xlpm.VAL), "", IF(_xlpm.VAL=0, "", _xlpm.VAL)))</f>
        <v/>
      </c>
      <c r="G71" s="154" t="str" cm="1">
        <f t="array" aca="1" ref="G71" ca="1">_xlfn.LET(_xlpm.VAL, INDEX('Heat Sheet'!$A:$I, _xlfn.XMATCH(INDIRECT("A"&amp;ROW()-1),'Heat Sheet'!$A:$A)+1, COLUMN()), IF(ISNA(_xlpm.VAL), "", IF(_xlpm.VAL=0, "", _xlpm.VAL)))</f>
        <v/>
      </c>
      <c r="H71" s="154" t="str" cm="1">
        <f t="array" aca="1" ref="H71" ca="1">_xlfn.LET(_xlpm.VAL, INDEX('Heat Sheet'!$A:$I, _xlfn.XMATCH(INDIRECT("A"&amp;ROW()-1),'Heat Sheet'!$A:$A)+1, COLUMN()), IF(ISNA(_xlpm.VAL), "", IF(_xlpm.VAL=0, "", _xlpm.VAL)))</f>
        <v/>
      </c>
      <c r="I71" s="155" t="str" cm="1">
        <f t="array" aca="1" ref="I71" ca="1">_xlfn.LET(_xlpm.VAL, INDEX('Heat Sheet'!$A:$I, _xlfn.XMATCH(INDIRECT("A"&amp;ROW()-1),'Heat Sheet'!$A:$A)+1, COLUMN()), IF(ISNA(_xlpm.VAL), "", IF(_xlpm.VAL=0, "", _xlpm.VAL)))</f>
        <v/>
      </c>
    </row>
    <row r="72" spans="1:9" ht="16" x14ac:dyDescent="0.2">
      <c r="A72" s="201"/>
      <c r="B72" s="182"/>
      <c r="C72" s="122" t="s">
        <v>22</v>
      </c>
      <c r="D72" s="124"/>
      <c r="E72" s="124"/>
      <c r="F72" s="124"/>
      <c r="G72" s="124"/>
      <c r="H72" s="124"/>
      <c r="I72" s="126"/>
    </row>
    <row r="73" spans="1:9" ht="18.5" customHeight="1" x14ac:dyDescent="0.2">
      <c r="A73" s="201"/>
      <c r="B73" s="182"/>
      <c r="C73" s="122" t="s">
        <v>23</v>
      </c>
      <c r="D73" s="158"/>
      <c r="E73" s="158"/>
      <c r="F73" s="158"/>
      <c r="G73" s="158"/>
      <c r="H73" s="158"/>
      <c r="I73" s="159"/>
    </row>
    <row r="74" spans="1:9" ht="17" x14ac:dyDescent="0.2">
      <c r="A74" s="201"/>
      <c r="B74" s="207"/>
      <c r="C74" s="26" t="s">
        <v>14</v>
      </c>
      <c r="D74" s="160"/>
      <c r="E74" s="160"/>
      <c r="F74" s="160"/>
      <c r="G74" s="160"/>
      <c r="H74" s="160"/>
      <c r="I74" s="161"/>
    </row>
    <row r="75" spans="1:9" ht="17" x14ac:dyDescent="0.2">
      <c r="A75" s="201">
        <v>15</v>
      </c>
      <c r="B75" s="185" t="str">
        <f>IFERROR(VLOOKUP(A75,'Heat Sheet'!$A:$I, 2, FALSE), "")</f>
        <v>10:10 AM</v>
      </c>
      <c r="C75" s="129" t="str" cm="1">
        <f t="array" aca="1" ref="C75" ca="1">_xlfn.LET(_xlpm.VAL, INDEX('Heat Sheet'!$A:$I, _xlfn.XMATCH(INDIRECT("A"&amp;ROW()),'Heat Sheet'!$A:$A), COLUMN()), IF(ISNA(_xlpm.VAL), "", IF(_xlpm.VAL=0, "", _xlpm.VAL)))</f>
        <v/>
      </c>
      <c r="D75" s="154" t="str" cm="1">
        <f t="array" aca="1" ref="D75" ca="1">_xlfn.LET(_xlpm.VAL, INDEX('Heat Sheet'!$A:$I, _xlfn.XMATCH(INDIRECT("A"&amp;ROW()),'Heat Sheet'!$A:$A), COLUMN()), IF(ISNA(_xlpm.VAL), "", IF(_xlpm.VAL=0, "", _xlpm.VAL)))</f>
        <v/>
      </c>
      <c r="E75" s="154" t="str" cm="1">
        <f t="array" aca="1" ref="E75" ca="1">_xlfn.LET(_xlpm.VAL, INDEX('Heat Sheet'!$A:$I, _xlfn.XMATCH(INDIRECT("A"&amp;ROW()),'Heat Sheet'!$A:$A), COLUMN()), IF(ISNA(_xlpm.VAL), "", IF(_xlpm.VAL=0, "", _xlpm.VAL)))</f>
        <v/>
      </c>
      <c r="F75" s="154" t="str" cm="1">
        <f t="array" aca="1" ref="F75" ca="1">_xlfn.LET(_xlpm.VAL, INDEX('Heat Sheet'!$A:$I, _xlfn.XMATCH(INDIRECT("A"&amp;ROW()),'Heat Sheet'!$A:$A), COLUMN()), IF(ISNA(_xlpm.VAL), "", IF(_xlpm.VAL=0, "", _xlpm.VAL)))</f>
        <v/>
      </c>
      <c r="G75" s="154" t="str" cm="1">
        <f t="array" aca="1" ref="G75" ca="1">_xlfn.LET(_xlpm.VAL, INDEX('Heat Sheet'!$A:$I, _xlfn.XMATCH(INDIRECT("A"&amp;ROW()),'Heat Sheet'!$A:$A), COLUMN()), IF(ISNA(_xlpm.VAL), "", IF(_xlpm.VAL=0, "", _xlpm.VAL)))</f>
        <v/>
      </c>
      <c r="H75" s="154" t="str" cm="1">
        <f t="array" aca="1" ref="H75" ca="1">_xlfn.LET(_xlpm.VAL, INDEX('Heat Sheet'!$A:$I, _xlfn.XMATCH(INDIRECT("A"&amp;ROW()),'Heat Sheet'!$A:$A), COLUMN()), IF(ISNA(_xlpm.VAL), "", IF(_xlpm.VAL=0, "", _xlpm.VAL)))</f>
        <v/>
      </c>
      <c r="I75" s="155" t="str" cm="1">
        <f t="array" aca="1" ref="I75" ca="1">_xlfn.LET(_xlpm.VAL, INDEX('Heat Sheet'!$A:$I, _xlfn.XMATCH(INDIRECT("A"&amp;ROW()),'Heat Sheet'!$A:$A), COLUMN()), IF(ISNA(_xlpm.VAL), "", IF(_xlpm.VAL=0, "", _xlpm.VAL)))</f>
        <v/>
      </c>
    </row>
    <row r="76" spans="1:9" ht="17" x14ac:dyDescent="0.2">
      <c r="A76" s="201"/>
      <c r="B76" s="182"/>
      <c r="C76" s="129" t="str" cm="1">
        <f t="array" aca="1" ref="C76" ca="1">_xlfn.LET(_xlpm.VAL, INDEX('Heat Sheet'!$A:$I, _xlfn.XMATCH(INDIRECT("A"&amp;ROW()-1),'Heat Sheet'!$A:$A)+1, COLUMN()), IF(ISNA(_xlpm.VAL), "", IF(_xlpm.VAL=0, "", _xlpm.VAL)))</f>
        <v/>
      </c>
      <c r="D76" s="154" t="str" cm="1">
        <f t="array" aca="1" ref="D76" ca="1">_xlfn.LET(_xlpm.VAL, INDEX('Heat Sheet'!$A:$I, _xlfn.XMATCH(INDIRECT("A"&amp;ROW()-1),'Heat Sheet'!$A:$A)+1, COLUMN()), IF(ISNA(_xlpm.VAL), "", IF(_xlpm.VAL=0, "", _xlpm.VAL)))</f>
        <v/>
      </c>
      <c r="E76" s="154" t="str" cm="1">
        <f t="array" aca="1" ref="E76" ca="1">_xlfn.LET(_xlpm.VAL, INDEX('Heat Sheet'!$A:$I, _xlfn.XMATCH(INDIRECT("A"&amp;ROW()-1),'Heat Sheet'!$A:$A)+1, COLUMN()), IF(ISNA(_xlpm.VAL), "", IF(_xlpm.VAL=0, "", _xlpm.VAL)))</f>
        <v/>
      </c>
      <c r="F76" s="154" t="str" cm="1">
        <f t="array" aca="1" ref="F76" ca="1">_xlfn.LET(_xlpm.VAL, INDEX('Heat Sheet'!$A:$I, _xlfn.XMATCH(INDIRECT("A"&amp;ROW()-1),'Heat Sheet'!$A:$A)+1, COLUMN()), IF(ISNA(_xlpm.VAL), "", IF(_xlpm.VAL=0, "", _xlpm.VAL)))</f>
        <v/>
      </c>
      <c r="G76" s="154" t="str" cm="1">
        <f t="array" aca="1" ref="G76" ca="1">_xlfn.LET(_xlpm.VAL, INDEX('Heat Sheet'!$A:$I, _xlfn.XMATCH(INDIRECT("A"&amp;ROW()-1),'Heat Sheet'!$A:$A)+1, COLUMN()), IF(ISNA(_xlpm.VAL), "", IF(_xlpm.VAL=0, "", _xlpm.VAL)))</f>
        <v/>
      </c>
      <c r="H76" s="154" t="str" cm="1">
        <f t="array" aca="1" ref="H76" ca="1">_xlfn.LET(_xlpm.VAL, INDEX('Heat Sheet'!$A:$I, _xlfn.XMATCH(INDIRECT("A"&amp;ROW()-1),'Heat Sheet'!$A:$A)+1, COLUMN()), IF(ISNA(_xlpm.VAL), "", IF(_xlpm.VAL=0, "", _xlpm.VAL)))</f>
        <v/>
      </c>
      <c r="I76" s="155" t="str" cm="1">
        <f t="array" aca="1" ref="I76" ca="1">_xlfn.LET(_xlpm.VAL, INDEX('Heat Sheet'!$A:$I, _xlfn.XMATCH(INDIRECT("A"&amp;ROW()-1),'Heat Sheet'!$A:$A)+1, COLUMN()), IF(ISNA(_xlpm.VAL), "", IF(_xlpm.VAL=0, "", _xlpm.VAL)))</f>
        <v/>
      </c>
    </row>
    <row r="77" spans="1:9" ht="16" x14ac:dyDescent="0.2">
      <c r="A77" s="201"/>
      <c r="B77" s="182"/>
      <c r="C77" s="122" t="s">
        <v>22</v>
      </c>
      <c r="D77" s="124"/>
      <c r="E77" s="124"/>
      <c r="F77" s="124"/>
      <c r="G77" s="124"/>
      <c r="H77" s="124"/>
      <c r="I77" s="126"/>
    </row>
    <row r="78" spans="1:9" ht="16" x14ac:dyDescent="0.2">
      <c r="A78" s="201"/>
      <c r="B78" s="182"/>
      <c r="C78" s="122" t="s">
        <v>23</v>
      </c>
      <c r="D78" s="158"/>
      <c r="E78" s="158"/>
      <c r="F78" s="158"/>
      <c r="G78" s="158"/>
      <c r="H78" s="158"/>
      <c r="I78" s="159"/>
    </row>
    <row r="79" spans="1:9" ht="18.5" customHeight="1" x14ac:dyDescent="0.2">
      <c r="A79" s="217"/>
      <c r="B79" s="207"/>
      <c r="C79" s="26" t="s">
        <v>14</v>
      </c>
      <c r="D79" s="160"/>
      <c r="E79" s="160"/>
      <c r="F79" s="160"/>
      <c r="G79" s="160"/>
      <c r="H79" s="160"/>
      <c r="I79" s="161"/>
    </row>
    <row r="80" spans="1:9" ht="15.5" customHeight="1" x14ac:dyDescent="0.2">
      <c r="A80" s="201">
        <v>16</v>
      </c>
      <c r="B80" s="185" t="str">
        <f>IFERROR(VLOOKUP(A80,'Heat Sheet'!$A:$I, 2, FALSE), "")</f>
        <v>10:15 AM</v>
      </c>
      <c r="C80" s="129" t="str" cm="1">
        <f t="array" aca="1" ref="C80" ca="1">_xlfn.LET(_xlpm.VAL, INDEX('Heat Sheet'!$A:$I, _xlfn.XMATCH(INDIRECT("A"&amp;ROW()),'Heat Sheet'!$A:$A), COLUMN()), IF(ISNA(_xlpm.VAL), "", IF(_xlpm.VAL=0, "", _xlpm.VAL)))</f>
        <v/>
      </c>
      <c r="D80" s="154" t="str" cm="1">
        <f t="array" aca="1" ref="D80" ca="1">_xlfn.LET(_xlpm.VAL, INDEX('Heat Sheet'!$A:$I, _xlfn.XMATCH(INDIRECT("A"&amp;ROW()),'Heat Sheet'!$A:$A), COLUMN()), IF(ISNA(_xlpm.VAL), "", IF(_xlpm.VAL=0, "", _xlpm.VAL)))</f>
        <v/>
      </c>
      <c r="E80" s="154" t="str" cm="1">
        <f t="array" aca="1" ref="E80" ca="1">_xlfn.LET(_xlpm.VAL, INDEX('Heat Sheet'!$A:$I, _xlfn.XMATCH(INDIRECT("A"&amp;ROW()),'Heat Sheet'!$A:$A), COLUMN()), IF(ISNA(_xlpm.VAL), "", IF(_xlpm.VAL=0, "", _xlpm.VAL)))</f>
        <v/>
      </c>
      <c r="F80" s="154" t="str" cm="1">
        <f t="array" aca="1" ref="F80" ca="1">_xlfn.LET(_xlpm.VAL, INDEX('Heat Sheet'!$A:$I, _xlfn.XMATCH(INDIRECT("A"&amp;ROW()),'Heat Sheet'!$A:$A), COLUMN()), IF(ISNA(_xlpm.VAL), "", IF(_xlpm.VAL=0, "", _xlpm.VAL)))</f>
        <v/>
      </c>
      <c r="G80" s="154" t="str" cm="1">
        <f t="array" aca="1" ref="G80" ca="1">_xlfn.LET(_xlpm.VAL, INDEX('Heat Sheet'!$A:$I, _xlfn.XMATCH(INDIRECT("A"&amp;ROW()),'Heat Sheet'!$A:$A), COLUMN()), IF(ISNA(_xlpm.VAL), "", IF(_xlpm.VAL=0, "", _xlpm.VAL)))</f>
        <v/>
      </c>
      <c r="H80" s="154" t="str" cm="1">
        <f t="array" aca="1" ref="H80" ca="1">_xlfn.LET(_xlpm.VAL, INDEX('Heat Sheet'!$A:$I, _xlfn.XMATCH(INDIRECT("A"&amp;ROW()),'Heat Sheet'!$A:$A), COLUMN()), IF(ISNA(_xlpm.VAL), "", IF(_xlpm.VAL=0, "", _xlpm.VAL)))</f>
        <v/>
      </c>
      <c r="I80" s="155" t="str" cm="1">
        <f t="array" aca="1" ref="I80" ca="1">_xlfn.LET(_xlpm.VAL, INDEX('Heat Sheet'!$A:$I, _xlfn.XMATCH(INDIRECT("A"&amp;ROW()),'Heat Sheet'!$A:$A), COLUMN()), IF(ISNA(_xlpm.VAL), "", IF(_xlpm.VAL=0, "", _xlpm.VAL)))</f>
        <v/>
      </c>
    </row>
    <row r="81" spans="1:9" ht="15.5" customHeight="1" x14ac:dyDescent="0.2">
      <c r="A81" s="201"/>
      <c r="B81" s="182"/>
      <c r="C81" s="129" t="str" cm="1">
        <f t="array" aca="1" ref="C81" ca="1">_xlfn.LET(_xlpm.VAL, INDEX('Heat Sheet'!$A:$I, _xlfn.XMATCH(INDIRECT("A"&amp;ROW()-1),'Heat Sheet'!$A:$A)+1, COLUMN()), IF(ISNA(_xlpm.VAL), "", IF(_xlpm.VAL=0, "", _xlpm.VAL)))</f>
        <v/>
      </c>
      <c r="D81" s="154" t="str" cm="1">
        <f t="array" aca="1" ref="D81" ca="1">_xlfn.LET(_xlpm.VAL, INDEX('Heat Sheet'!$A:$I, _xlfn.XMATCH(INDIRECT("A"&amp;ROW()-1),'Heat Sheet'!$A:$A)+1, COLUMN()), IF(ISNA(_xlpm.VAL), "", IF(_xlpm.VAL=0, "", _xlpm.VAL)))</f>
        <v/>
      </c>
      <c r="E81" s="154" t="str" cm="1">
        <f t="array" aca="1" ref="E81" ca="1">_xlfn.LET(_xlpm.VAL, INDEX('Heat Sheet'!$A:$I, _xlfn.XMATCH(INDIRECT("A"&amp;ROW()-1),'Heat Sheet'!$A:$A)+1, COLUMN()), IF(ISNA(_xlpm.VAL), "", IF(_xlpm.VAL=0, "", _xlpm.VAL)))</f>
        <v/>
      </c>
      <c r="F81" s="154" t="str" cm="1">
        <f t="array" aca="1" ref="F81" ca="1">_xlfn.LET(_xlpm.VAL, INDEX('Heat Sheet'!$A:$I, _xlfn.XMATCH(INDIRECT("A"&amp;ROW()-1),'Heat Sheet'!$A:$A)+1, COLUMN()), IF(ISNA(_xlpm.VAL), "", IF(_xlpm.VAL=0, "", _xlpm.VAL)))</f>
        <v/>
      </c>
      <c r="G81" s="154" t="str" cm="1">
        <f t="array" aca="1" ref="G81" ca="1">_xlfn.LET(_xlpm.VAL, INDEX('Heat Sheet'!$A:$I, _xlfn.XMATCH(INDIRECT("A"&amp;ROW()-1),'Heat Sheet'!$A:$A)+1, COLUMN()), IF(ISNA(_xlpm.VAL), "", IF(_xlpm.VAL=0, "", _xlpm.VAL)))</f>
        <v/>
      </c>
      <c r="H81" s="154" t="str" cm="1">
        <f t="array" aca="1" ref="H81" ca="1">_xlfn.LET(_xlpm.VAL, INDEX('Heat Sheet'!$A:$I, _xlfn.XMATCH(INDIRECT("A"&amp;ROW()-1),'Heat Sheet'!$A:$A)+1, COLUMN()), IF(ISNA(_xlpm.VAL), "", IF(_xlpm.VAL=0, "", _xlpm.VAL)))</f>
        <v/>
      </c>
      <c r="I81" s="155" t="str" cm="1">
        <f t="array" aca="1" ref="I81" ca="1">_xlfn.LET(_xlpm.VAL, INDEX('Heat Sheet'!$A:$I, _xlfn.XMATCH(INDIRECT("A"&amp;ROW()-1),'Heat Sheet'!$A:$A)+1, COLUMN()), IF(ISNA(_xlpm.VAL), "", IF(_xlpm.VAL=0, "", _xlpm.VAL)))</f>
        <v/>
      </c>
    </row>
    <row r="82" spans="1:9" ht="15.5" customHeight="1" x14ac:dyDescent="0.2">
      <c r="A82" s="201"/>
      <c r="B82" s="182"/>
      <c r="C82" s="122" t="s">
        <v>22</v>
      </c>
      <c r="D82" s="124"/>
      <c r="E82" s="124"/>
      <c r="F82" s="124"/>
      <c r="G82" s="124"/>
      <c r="H82" s="124"/>
      <c r="I82" s="126"/>
    </row>
    <row r="83" spans="1:9" ht="16" x14ac:dyDescent="0.2">
      <c r="A83" s="201"/>
      <c r="B83" s="182"/>
      <c r="C83" s="122" t="s">
        <v>23</v>
      </c>
      <c r="D83" s="158"/>
      <c r="E83" s="158"/>
      <c r="F83" s="158"/>
      <c r="G83" s="158"/>
      <c r="H83" s="158"/>
      <c r="I83" s="159"/>
    </row>
    <row r="84" spans="1:9" ht="17" x14ac:dyDescent="0.2">
      <c r="A84" s="201"/>
      <c r="B84" s="207"/>
      <c r="C84" s="123" t="s">
        <v>14</v>
      </c>
      <c r="D84" s="160"/>
      <c r="E84" s="160"/>
      <c r="F84" s="160"/>
      <c r="G84" s="160"/>
      <c r="H84" s="160"/>
      <c r="I84" s="161"/>
    </row>
    <row r="85" spans="1:9" ht="17" x14ac:dyDescent="0.2">
      <c r="A85" s="216">
        <v>17</v>
      </c>
      <c r="B85" s="185" t="str">
        <f>IFERROR(VLOOKUP(A85,'Heat Sheet'!$A:$I, 2, FALSE), "")</f>
        <v>10:20 AM</v>
      </c>
      <c r="C85" s="129" t="str" cm="1">
        <f t="array" aca="1" ref="C85" ca="1">_xlfn.LET(_xlpm.VAL, INDEX('Heat Sheet'!$A:$I, _xlfn.XMATCH(INDIRECT("A"&amp;ROW()),'Heat Sheet'!$A:$A), COLUMN()), IF(ISNA(_xlpm.VAL), "", IF(_xlpm.VAL=0, "", _xlpm.VAL)))</f>
        <v/>
      </c>
      <c r="D85" s="154" t="str" cm="1">
        <f t="array" aca="1" ref="D85" ca="1">_xlfn.LET(_xlpm.VAL, INDEX('Heat Sheet'!$A:$I, _xlfn.XMATCH(INDIRECT("A"&amp;ROW()),'Heat Sheet'!$A:$A), COLUMN()), IF(ISNA(_xlpm.VAL), "", IF(_xlpm.VAL=0, "", _xlpm.VAL)))</f>
        <v/>
      </c>
      <c r="E85" s="154" t="str" cm="1">
        <f t="array" aca="1" ref="E85" ca="1">_xlfn.LET(_xlpm.VAL, INDEX('Heat Sheet'!$A:$I, _xlfn.XMATCH(INDIRECT("A"&amp;ROW()),'Heat Sheet'!$A:$A), COLUMN()), IF(ISNA(_xlpm.VAL), "", IF(_xlpm.VAL=0, "", _xlpm.VAL)))</f>
        <v/>
      </c>
      <c r="F85" s="154" t="str" cm="1">
        <f t="array" aca="1" ref="F85" ca="1">_xlfn.LET(_xlpm.VAL, INDEX('Heat Sheet'!$A:$I, _xlfn.XMATCH(INDIRECT("A"&amp;ROW()),'Heat Sheet'!$A:$A), COLUMN()), IF(ISNA(_xlpm.VAL), "", IF(_xlpm.VAL=0, "", _xlpm.VAL)))</f>
        <v/>
      </c>
      <c r="G85" s="154" t="str" cm="1">
        <f t="array" aca="1" ref="G85" ca="1">_xlfn.LET(_xlpm.VAL, INDEX('Heat Sheet'!$A:$I, _xlfn.XMATCH(INDIRECT("A"&amp;ROW()),'Heat Sheet'!$A:$A), COLUMN()), IF(ISNA(_xlpm.VAL), "", IF(_xlpm.VAL=0, "", _xlpm.VAL)))</f>
        <v/>
      </c>
      <c r="H85" s="154" t="str" cm="1">
        <f t="array" aca="1" ref="H85" ca="1">_xlfn.LET(_xlpm.VAL, INDEX('Heat Sheet'!$A:$I, _xlfn.XMATCH(INDIRECT("A"&amp;ROW()),'Heat Sheet'!$A:$A), COLUMN()), IF(ISNA(_xlpm.VAL), "", IF(_xlpm.VAL=0, "", _xlpm.VAL)))</f>
        <v/>
      </c>
      <c r="I85" s="155" t="str" cm="1">
        <f t="array" aca="1" ref="I85" ca="1">_xlfn.LET(_xlpm.VAL, INDEX('Heat Sheet'!$A:$I, _xlfn.XMATCH(INDIRECT("A"&amp;ROW()),'Heat Sheet'!$A:$A), COLUMN()), IF(ISNA(_xlpm.VAL), "", IF(_xlpm.VAL=0, "", _xlpm.VAL)))</f>
        <v/>
      </c>
    </row>
    <row r="86" spans="1:9" ht="17" x14ac:dyDescent="0.2">
      <c r="A86" s="201"/>
      <c r="B86" s="182"/>
      <c r="C86" s="129" t="str" cm="1">
        <f t="array" aca="1" ref="C86" ca="1">_xlfn.LET(_xlpm.VAL, INDEX('Heat Sheet'!$A:$I, _xlfn.XMATCH(INDIRECT("A"&amp;ROW()-1),'Heat Sheet'!$A:$A)+1, COLUMN()), IF(ISNA(_xlpm.VAL), "", IF(_xlpm.VAL=0, "", _xlpm.VAL)))</f>
        <v/>
      </c>
      <c r="D86" s="154" t="str" cm="1">
        <f t="array" aca="1" ref="D86" ca="1">_xlfn.LET(_xlpm.VAL, INDEX('Heat Sheet'!$A:$I, _xlfn.XMATCH(INDIRECT("A"&amp;ROW()-1),'Heat Sheet'!$A:$A)+1, COLUMN()), IF(ISNA(_xlpm.VAL), "", IF(_xlpm.VAL=0, "", _xlpm.VAL)))</f>
        <v/>
      </c>
      <c r="E86" s="154" t="str" cm="1">
        <f t="array" aca="1" ref="E86" ca="1">_xlfn.LET(_xlpm.VAL, INDEX('Heat Sheet'!$A:$I, _xlfn.XMATCH(INDIRECT("A"&amp;ROW()-1),'Heat Sheet'!$A:$A)+1, COLUMN()), IF(ISNA(_xlpm.VAL), "", IF(_xlpm.VAL=0, "", _xlpm.VAL)))</f>
        <v/>
      </c>
      <c r="F86" s="154" t="str" cm="1">
        <f t="array" aca="1" ref="F86" ca="1">_xlfn.LET(_xlpm.VAL, INDEX('Heat Sheet'!$A:$I, _xlfn.XMATCH(INDIRECT("A"&amp;ROW()-1),'Heat Sheet'!$A:$A)+1, COLUMN()), IF(ISNA(_xlpm.VAL), "", IF(_xlpm.VAL=0, "", _xlpm.VAL)))</f>
        <v/>
      </c>
      <c r="G86" s="154" t="str" cm="1">
        <f t="array" aca="1" ref="G86" ca="1">_xlfn.LET(_xlpm.VAL, INDEX('Heat Sheet'!$A:$I, _xlfn.XMATCH(INDIRECT("A"&amp;ROW()-1),'Heat Sheet'!$A:$A)+1, COLUMN()), IF(ISNA(_xlpm.VAL), "", IF(_xlpm.VAL=0, "", _xlpm.VAL)))</f>
        <v/>
      </c>
      <c r="H86" s="154" t="str" cm="1">
        <f t="array" aca="1" ref="H86" ca="1">_xlfn.LET(_xlpm.VAL, INDEX('Heat Sheet'!$A:$I, _xlfn.XMATCH(INDIRECT("A"&amp;ROW()-1),'Heat Sheet'!$A:$A)+1, COLUMN()), IF(ISNA(_xlpm.VAL), "", IF(_xlpm.VAL=0, "", _xlpm.VAL)))</f>
        <v/>
      </c>
      <c r="I86" s="155" t="str" cm="1">
        <f t="array" aca="1" ref="I86" ca="1">_xlfn.LET(_xlpm.VAL, INDEX('Heat Sheet'!$A:$I, _xlfn.XMATCH(INDIRECT("A"&amp;ROW()-1),'Heat Sheet'!$A:$A)+1, COLUMN()), IF(ISNA(_xlpm.VAL), "", IF(_xlpm.VAL=0, "", _xlpm.VAL)))</f>
        <v/>
      </c>
    </row>
    <row r="87" spans="1:9" ht="16" x14ac:dyDescent="0.2">
      <c r="A87" s="201"/>
      <c r="B87" s="182"/>
      <c r="C87" s="122" t="s">
        <v>22</v>
      </c>
      <c r="D87" s="124"/>
      <c r="E87" s="124"/>
      <c r="F87" s="124"/>
      <c r="G87" s="124"/>
      <c r="H87" s="124"/>
      <c r="I87" s="126"/>
    </row>
    <row r="88" spans="1:9" ht="18.5" customHeight="1" x14ac:dyDescent="0.2">
      <c r="A88" s="201"/>
      <c r="B88" s="182"/>
      <c r="C88" s="122" t="s">
        <v>23</v>
      </c>
      <c r="D88" s="158"/>
      <c r="E88" s="158"/>
      <c r="F88" s="158"/>
      <c r="G88" s="158"/>
      <c r="H88" s="158"/>
      <c r="I88" s="159"/>
    </row>
    <row r="89" spans="1:9" ht="17" x14ac:dyDescent="0.2">
      <c r="A89" s="201"/>
      <c r="B89" s="207"/>
      <c r="C89" s="26" t="s">
        <v>14</v>
      </c>
      <c r="D89" s="160"/>
      <c r="E89" s="160"/>
      <c r="F89" s="160"/>
      <c r="G89" s="160"/>
      <c r="H89" s="160"/>
      <c r="I89" s="161"/>
    </row>
    <row r="90" spans="1:9" ht="17" x14ac:dyDescent="0.2">
      <c r="A90" s="201">
        <v>18</v>
      </c>
      <c r="B90" s="185" t="str">
        <f>IFERROR(VLOOKUP(A90,'Heat Sheet'!$A:$I, 2, FALSE), "")</f>
        <v>10:25 AM</v>
      </c>
      <c r="C90" s="129" t="str" cm="1">
        <f t="array" aca="1" ref="C90" ca="1">_xlfn.LET(_xlpm.VAL, INDEX('Heat Sheet'!$A:$I, _xlfn.XMATCH(INDIRECT("A"&amp;ROW()),'Heat Sheet'!$A:$A), COLUMN()), IF(ISNA(_xlpm.VAL), "", IF(_xlpm.VAL=0, "", _xlpm.VAL)))</f>
        <v/>
      </c>
      <c r="D90" s="154" t="str" cm="1">
        <f t="array" aca="1" ref="D90" ca="1">_xlfn.LET(_xlpm.VAL, INDEX('Heat Sheet'!$A:$I, _xlfn.XMATCH(INDIRECT("A"&amp;ROW()),'Heat Sheet'!$A:$A), COLUMN()), IF(ISNA(_xlpm.VAL), "", IF(_xlpm.VAL=0, "", _xlpm.VAL)))</f>
        <v/>
      </c>
      <c r="E90" s="154" t="str" cm="1">
        <f t="array" aca="1" ref="E90" ca="1">_xlfn.LET(_xlpm.VAL, INDEX('Heat Sheet'!$A:$I, _xlfn.XMATCH(INDIRECT("A"&amp;ROW()),'Heat Sheet'!$A:$A), COLUMN()), IF(ISNA(_xlpm.VAL), "", IF(_xlpm.VAL=0, "", _xlpm.VAL)))</f>
        <v/>
      </c>
      <c r="F90" s="154" t="str" cm="1">
        <f t="array" aca="1" ref="F90" ca="1">_xlfn.LET(_xlpm.VAL, INDEX('Heat Sheet'!$A:$I, _xlfn.XMATCH(INDIRECT("A"&amp;ROW()),'Heat Sheet'!$A:$A), COLUMN()), IF(ISNA(_xlpm.VAL), "", IF(_xlpm.VAL=0, "", _xlpm.VAL)))</f>
        <v/>
      </c>
      <c r="G90" s="154" t="str" cm="1">
        <f t="array" aca="1" ref="G90" ca="1">_xlfn.LET(_xlpm.VAL, INDEX('Heat Sheet'!$A:$I, _xlfn.XMATCH(INDIRECT("A"&amp;ROW()),'Heat Sheet'!$A:$A), COLUMN()), IF(ISNA(_xlpm.VAL), "", IF(_xlpm.VAL=0, "", _xlpm.VAL)))</f>
        <v/>
      </c>
      <c r="H90" s="154" t="str" cm="1">
        <f t="array" aca="1" ref="H90" ca="1">_xlfn.LET(_xlpm.VAL, INDEX('Heat Sheet'!$A:$I, _xlfn.XMATCH(INDIRECT("A"&amp;ROW()),'Heat Sheet'!$A:$A), COLUMN()), IF(ISNA(_xlpm.VAL), "", IF(_xlpm.VAL=0, "", _xlpm.VAL)))</f>
        <v/>
      </c>
      <c r="I90" s="155" t="str" cm="1">
        <f t="array" aca="1" ref="I90" ca="1">_xlfn.LET(_xlpm.VAL, INDEX('Heat Sheet'!$A:$I, _xlfn.XMATCH(INDIRECT("A"&amp;ROW()),'Heat Sheet'!$A:$A), COLUMN()), IF(ISNA(_xlpm.VAL), "", IF(_xlpm.VAL=0, "", _xlpm.VAL)))</f>
        <v/>
      </c>
    </row>
    <row r="91" spans="1:9" ht="17" x14ac:dyDescent="0.2">
      <c r="A91" s="201"/>
      <c r="B91" s="182"/>
      <c r="C91" s="129" t="str" cm="1">
        <f t="array" aca="1" ref="C91" ca="1">_xlfn.LET(_xlpm.VAL, INDEX('Heat Sheet'!$A:$I, _xlfn.XMATCH(INDIRECT("A"&amp;ROW()-1),'Heat Sheet'!$A:$A)+1, COLUMN()), IF(ISNA(_xlpm.VAL), "", IF(_xlpm.VAL=0, "", _xlpm.VAL)))</f>
        <v/>
      </c>
      <c r="D91" s="154" t="str" cm="1">
        <f t="array" aca="1" ref="D91" ca="1">_xlfn.LET(_xlpm.VAL, INDEX('Heat Sheet'!$A:$I, _xlfn.XMATCH(INDIRECT("A"&amp;ROW()-1),'Heat Sheet'!$A:$A)+1, COLUMN()), IF(ISNA(_xlpm.VAL), "", IF(_xlpm.VAL=0, "", _xlpm.VAL)))</f>
        <v/>
      </c>
      <c r="E91" s="154" t="str" cm="1">
        <f t="array" aca="1" ref="E91" ca="1">_xlfn.LET(_xlpm.VAL, INDEX('Heat Sheet'!$A:$I, _xlfn.XMATCH(INDIRECT("A"&amp;ROW()-1),'Heat Sheet'!$A:$A)+1, COLUMN()), IF(ISNA(_xlpm.VAL), "", IF(_xlpm.VAL=0, "", _xlpm.VAL)))</f>
        <v/>
      </c>
      <c r="F91" s="154" t="str" cm="1">
        <f t="array" aca="1" ref="F91" ca="1">_xlfn.LET(_xlpm.VAL, INDEX('Heat Sheet'!$A:$I, _xlfn.XMATCH(INDIRECT("A"&amp;ROW()-1),'Heat Sheet'!$A:$A)+1, COLUMN()), IF(ISNA(_xlpm.VAL), "", IF(_xlpm.VAL=0, "", _xlpm.VAL)))</f>
        <v/>
      </c>
      <c r="G91" s="154" t="str" cm="1">
        <f t="array" aca="1" ref="G91" ca="1">_xlfn.LET(_xlpm.VAL, INDEX('Heat Sheet'!$A:$I, _xlfn.XMATCH(INDIRECT("A"&amp;ROW()-1),'Heat Sheet'!$A:$A)+1, COLUMN()), IF(ISNA(_xlpm.VAL), "", IF(_xlpm.VAL=0, "", _xlpm.VAL)))</f>
        <v/>
      </c>
      <c r="H91" s="154" t="str" cm="1">
        <f t="array" aca="1" ref="H91" ca="1">_xlfn.LET(_xlpm.VAL, INDEX('Heat Sheet'!$A:$I, _xlfn.XMATCH(INDIRECT("A"&amp;ROW()-1),'Heat Sheet'!$A:$A)+1, COLUMN()), IF(ISNA(_xlpm.VAL), "", IF(_xlpm.VAL=0, "", _xlpm.VAL)))</f>
        <v/>
      </c>
      <c r="I91" s="155" t="str" cm="1">
        <f t="array" aca="1" ref="I91" ca="1">_xlfn.LET(_xlpm.VAL, INDEX('Heat Sheet'!$A:$I, _xlfn.XMATCH(INDIRECT("A"&amp;ROW()-1),'Heat Sheet'!$A:$A)+1, COLUMN()), IF(ISNA(_xlpm.VAL), "", IF(_xlpm.VAL=0, "", _xlpm.VAL)))</f>
        <v/>
      </c>
    </row>
    <row r="92" spans="1:9" ht="16" x14ac:dyDescent="0.2">
      <c r="A92" s="201"/>
      <c r="B92" s="182"/>
      <c r="C92" s="122" t="s">
        <v>22</v>
      </c>
      <c r="D92" s="124"/>
      <c r="E92" s="124"/>
      <c r="F92" s="124"/>
      <c r="G92" s="124"/>
      <c r="H92" s="124"/>
      <c r="I92" s="126"/>
    </row>
    <row r="93" spans="1:9" ht="16" x14ac:dyDescent="0.2">
      <c r="A93" s="201"/>
      <c r="B93" s="182"/>
      <c r="C93" s="122" t="s">
        <v>23</v>
      </c>
      <c r="D93" s="158"/>
      <c r="E93" s="158"/>
      <c r="F93" s="158"/>
      <c r="G93" s="158"/>
      <c r="H93" s="158"/>
      <c r="I93" s="159"/>
    </row>
    <row r="94" spans="1:9" ht="18.5" customHeight="1" x14ac:dyDescent="0.2">
      <c r="A94" s="217"/>
      <c r="B94" s="207"/>
      <c r="C94" s="26" t="s">
        <v>14</v>
      </c>
      <c r="D94" s="160"/>
      <c r="E94" s="160"/>
      <c r="F94" s="160"/>
      <c r="G94" s="160"/>
      <c r="H94" s="160"/>
      <c r="I94" s="161"/>
    </row>
    <row r="95" spans="1:9" ht="17" x14ac:dyDescent="0.2">
      <c r="A95" s="201">
        <v>19</v>
      </c>
      <c r="B95" s="185" t="str">
        <f>IFERROR(VLOOKUP(A95,'Heat Sheet'!$A:$I, 2, FALSE), "")</f>
        <v>10:30 AM</v>
      </c>
      <c r="C95" s="129" t="str" cm="1">
        <f t="array" aca="1" ref="C95" ca="1">_xlfn.LET(_xlpm.VAL, INDEX('Heat Sheet'!$A:$I, _xlfn.XMATCH(INDIRECT("A"&amp;ROW()),'Heat Sheet'!$A:$A), COLUMN()), IF(ISNA(_xlpm.VAL), "", IF(_xlpm.VAL=0, "", _xlpm.VAL)))</f>
        <v/>
      </c>
      <c r="D95" s="154" t="str" cm="1">
        <f t="array" aca="1" ref="D95" ca="1">_xlfn.LET(_xlpm.VAL, INDEX('Heat Sheet'!$A:$I, _xlfn.XMATCH(INDIRECT("A"&amp;ROW()),'Heat Sheet'!$A:$A), COLUMN()), IF(ISNA(_xlpm.VAL), "", IF(_xlpm.VAL=0, "", _xlpm.VAL)))</f>
        <v/>
      </c>
      <c r="E95" s="154" t="str" cm="1">
        <f t="array" aca="1" ref="E95" ca="1">_xlfn.LET(_xlpm.VAL, INDEX('Heat Sheet'!$A:$I, _xlfn.XMATCH(INDIRECT("A"&amp;ROW()),'Heat Sheet'!$A:$A), COLUMN()), IF(ISNA(_xlpm.VAL), "", IF(_xlpm.VAL=0, "", _xlpm.VAL)))</f>
        <v/>
      </c>
      <c r="F95" s="154" t="str" cm="1">
        <f t="array" aca="1" ref="F95" ca="1">_xlfn.LET(_xlpm.VAL, INDEX('Heat Sheet'!$A:$I, _xlfn.XMATCH(INDIRECT("A"&amp;ROW()),'Heat Sheet'!$A:$A), COLUMN()), IF(ISNA(_xlpm.VAL), "", IF(_xlpm.VAL=0, "", _xlpm.VAL)))</f>
        <v/>
      </c>
      <c r="G95" s="154" t="str" cm="1">
        <f t="array" aca="1" ref="G95" ca="1">_xlfn.LET(_xlpm.VAL, INDEX('Heat Sheet'!$A:$I, _xlfn.XMATCH(INDIRECT("A"&amp;ROW()),'Heat Sheet'!$A:$A), COLUMN()), IF(ISNA(_xlpm.VAL), "", IF(_xlpm.VAL=0, "", _xlpm.VAL)))</f>
        <v/>
      </c>
      <c r="H95" s="154" t="str" cm="1">
        <f t="array" aca="1" ref="H95" ca="1">_xlfn.LET(_xlpm.VAL, INDEX('Heat Sheet'!$A:$I, _xlfn.XMATCH(INDIRECT("A"&amp;ROW()),'Heat Sheet'!$A:$A), COLUMN()), IF(ISNA(_xlpm.VAL), "", IF(_xlpm.VAL=0, "", _xlpm.VAL)))</f>
        <v/>
      </c>
      <c r="I95" s="155" t="str" cm="1">
        <f t="array" aca="1" ref="I95" ca="1">_xlfn.LET(_xlpm.VAL, INDEX('Heat Sheet'!$A:$I, _xlfn.XMATCH(INDIRECT("A"&amp;ROW()),'Heat Sheet'!$A:$A), COLUMN()), IF(ISNA(_xlpm.VAL), "", IF(_xlpm.VAL=0, "", _xlpm.VAL)))</f>
        <v/>
      </c>
    </row>
    <row r="96" spans="1:9" ht="17" x14ac:dyDescent="0.2">
      <c r="A96" s="201"/>
      <c r="B96" s="182"/>
      <c r="C96" s="129" t="str" cm="1">
        <f t="array" aca="1" ref="C96" ca="1">_xlfn.LET(_xlpm.VAL, INDEX('Heat Sheet'!$A:$I, _xlfn.XMATCH(INDIRECT("A"&amp;ROW()-1),'Heat Sheet'!$A:$A)+1, COLUMN()), IF(ISNA(_xlpm.VAL), "", IF(_xlpm.VAL=0, "", _xlpm.VAL)))</f>
        <v/>
      </c>
      <c r="D96" s="154" t="str" cm="1">
        <f t="array" aca="1" ref="D96" ca="1">_xlfn.LET(_xlpm.VAL, INDEX('Heat Sheet'!$A:$I, _xlfn.XMATCH(INDIRECT("A"&amp;ROW()-1),'Heat Sheet'!$A:$A)+1, COLUMN()), IF(ISNA(_xlpm.VAL), "", IF(_xlpm.VAL=0, "", _xlpm.VAL)))</f>
        <v/>
      </c>
      <c r="E96" s="154" t="str" cm="1">
        <f t="array" aca="1" ref="E96" ca="1">_xlfn.LET(_xlpm.VAL, INDEX('Heat Sheet'!$A:$I, _xlfn.XMATCH(INDIRECT("A"&amp;ROW()-1),'Heat Sheet'!$A:$A)+1, COLUMN()), IF(ISNA(_xlpm.VAL), "", IF(_xlpm.VAL=0, "", _xlpm.VAL)))</f>
        <v/>
      </c>
      <c r="F96" s="154" t="str" cm="1">
        <f t="array" aca="1" ref="F96" ca="1">_xlfn.LET(_xlpm.VAL, INDEX('Heat Sheet'!$A:$I, _xlfn.XMATCH(INDIRECT("A"&amp;ROW()-1),'Heat Sheet'!$A:$A)+1, COLUMN()), IF(ISNA(_xlpm.VAL), "", IF(_xlpm.VAL=0, "", _xlpm.VAL)))</f>
        <v/>
      </c>
      <c r="G96" s="154" t="str" cm="1">
        <f t="array" aca="1" ref="G96" ca="1">_xlfn.LET(_xlpm.VAL, INDEX('Heat Sheet'!$A:$I, _xlfn.XMATCH(INDIRECT("A"&amp;ROW()-1),'Heat Sheet'!$A:$A)+1, COLUMN()), IF(ISNA(_xlpm.VAL), "", IF(_xlpm.VAL=0, "", _xlpm.VAL)))</f>
        <v/>
      </c>
      <c r="H96" s="154" t="str" cm="1">
        <f t="array" aca="1" ref="H96" ca="1">_xlfn.LET(_xlpm.VAL, INDEX('Heat Sheet'!$A:$I, _xlfn.XMATCH(INDIRECT("A"&amp;ROW()-1),'Heat Sheet'!$A:$A)+1, COLUMN()), IF(ISNA(_xlpm.VAL), "", IF(_xlpm.VAL=0, "", _xlpm.VAL)))</f>
        <v/>
      </c>
      <c r="I96" s="155" t="str" cm="1">
        <f t="array" aca="1" ref="I96" ca="1">_xlfn.LET(_xlpm.VAL, INDEX('Heat Sheet'!$A:$I, _xlfn.XMATCH(INDIRECT("A"&amp;ROW()-1),'Heat Sheet'!$A:$A)+1, COLUMN()), IF(ISNA(_xlpm.VAL), "", IF(_xlpm.VAL=0, "", _xlpm.VAL)))</f>
        <v/>
      </c>
    </row>
    <row r="97" spans="1:9" ht="16" x14ac:dyDescent="0.2">
      <c r="A97" s="201"/>
      <c r="B97" s="182"/>
      <c r="C97" s="122" t="s">
        <v>22</v>
      </c>
      <c r="D97" s="124"/>
      <c r="E97" s="124"/>
      <c r="F97" s="124"/>
      <c r="G97" s="124"/>
      <c r="H97" s="124"/>
      <c r="I97" s="126"/>
    </row>
    <row r="98" spans="1:9" ht="16" x14ac:dyDescent="0.2">
      <c r="A98" s="201"/>
      <c r="B98" s="182"/>
      <c r="C98" s="122" t="s">
        <v>23</v>
      </c>
      <c r="D98" s="158"/>
      <c r="E98" s="158"/>
      <c r="F98" s="158"/>
      <c r="G98" s="158"/>
      <c r="H98" s="158"/>
      <c r="I98" s="159"/>
    </row>
    <row r="99" spans="1:9" ht="17" x14ac:dyDescent="0.2">
      <c r="A99" s="201"/>
      <c r="B99" s="207"/>
      <c r="C99" s="26" t="s">
        <v>14</v>
      </c>
      <c r="D99" s="160"/>
      <c r="E99" s="160"/>
      <c r="F99" s="160"/>
      <c r="G99" s="160"/>
      <c r="H99" s="160"/>
      <c r="I99" s="161"/>
    </row>
    <row r="100" spans="1:9" ht="18.5" customHeight="1" x14ac:dyDescent="0.2">
      <c r="A100" s="216">
        <v>20</v>
      </c>
      <c r="B100" s="185" t="str">
        <f>IFERROR(VLOOKUP(A100,'Heat Sheet'!$A:$I, 2, FALSE), "")</f>
        <v>10:35 AM</v>
      </c>
      <c r="C100" s="129" t="str" cm="1">
        <f t="array" aca="1" ref="C100" ca="1">_xlfn.LET(_xlpm.VAL, INDEX('Heat Sheet'!$A:$I, _xlfn.XMATCH(INDIRECT("A"&amp;ROW()),'Heat Sheet'!$A:$A), COLUMN()), IF(ISNA(_xlpm.VAL), "", IF(_xlpm.VAL=0, "", _xlpm.VAL)))</f>
        <v/>
      </c>
      <c r="D100" s="154" t="str" cm="1">
        <f t="array" aca="1" ref="D100" ca="1">_xlfn.LET(_xlpm.VAL, INDEX('Heat Sheet'!$A:$I, _xlfn.XMATCH(INDIRECT("A"&amp;ROW()),'Heat Sheet'!$A:$A), COLUMN()), IF(ISNA(_xlpm.VAL), "", IF(_xlpm.VAL=0, "", _xlpm.VAL)))</f>
        <v/>
      </c>
      <c r="E100" s="154" t="str" cm="1">
        <f t="array" aca="1" ref="E100" ca="1">_xlfn.LET(_xlpm.VAL, INDEX('Heat Sheet'!$A:$I, _xlfn.XMATCH(INDIRECT("A"&amp;ROW()),'Heat Sheet'!$A:$A), COLUMN()), IF(ISNA(_xlpm.VAL), "", IF(_xlpm.VAL=0, "", _xlpm.VAL)))</f>
        <v/>
      </c>
      <c r="F100" s="154" t="str" cm="1">
        <f t="array" aca="1" ref="F100" ca="1">_xlfn.LET(_xlpm.VAL, INDEX('Heat Sheet'!$A:$I, _xlfn.XMATCH(INDIRECT("A"&amp;ROW()),'Heat Sheet'!$A:$A), COLUMN()), IF(ISNA(_xlpm.VAL), "", IF(_xlpm.VAL=0, "", _xlpm.VAL)))</f>
        <v/>
      </c>
      <c r="G100" s="154" t="str" cm="1">
        <f t="array" aca="1" ref="G100" ca="1">_xlfn.LET(_xlpm.VAL, INDEX('Heat Sheet'!$A:$I, _xlfn.XMATCH(INDIRECT("A"&amp;ROW()),'Heat Sheet'!$A:$A), COLUMN()), IF(ISNA(_xlpm.VAL), "", IF(_xlpm.VAL=0, "", _xlpm.VAL)))</f>
        <v/>
      </c>
      <c r="H100" s="154" t="str" cm="1">
        <f t="array" aca="1" ref="H100" ca="1">_xlfn.LET(_xlpm.VAL, INDEX('Heat Sheet'!$A:$I, _xlfn.XMATCH(INDIRECT("A"&amp;ROW()),'Heat Sheet'!$A:$A), COLUMN()), IF(ISNA(_xlpm.VAL), "", IF(_xlpm.VAL=0, "", _xlpm.VAL)))</f>
        <v/>
      </c>
      <c r="I100" s="155" t="str" cm="1">
        <f t="array" aca="1" ref="I100" ca="1">_xlfn.LET(_xlpm.VAL, INDEX('Heat Sheet'!$A:$I, _xlfn.XMATCH(INDIRECT("A"&amp;ROW()),'Heat Sheet'!$A:$A), COLUMN()), IF(ISNA(_xlpm.VAL), "", IF(_xlpm.VAL=0, "", _xlpm.VAL)))</f>
        <v/>
      </c>
    </row>
    <row r="101" spans="1:9" ht="18.5" customHeight="1" x14ac:dyDescent="0.2">
      <c r="A101" s="201"/>
      <c r="B101" s="182"/>
      <c r="C101" s="129" t="str" cm="1">
        <f t="array" aca="1" ref="C101" ca="1">_xlfn.LET(_xlpm.VAL, INDEX('Heat Sheet'!$A:$I, _xlfn.XMATCH(INDIRECT("A"&amp;ROW()-1),'Heat Sheet'!$A:$A)+1, COLUMN()), IF(ISNA(_xlpm.VAL), "", IF(_xlpm.VAL=0, "", _xlpm.VAL)))</f>
        <v/>
      </c>
      <c r="D101" s="154" t="str" cm="1">
        <f t="array" aca="1" ref="D101" ca="1">_xlfn.LET(_xlpm.VAL, INDEX('Heat Sheet'!$A:$I, _xlfn.XMATCH(INDIRECT("A"&amp;ROW()-1),'Heat Sheet'!$A:$A)+1, COLUMN()), IF(ISNA(_xlpm.VAL), "", IF(_xlpm.VAL=0, "", _xlpm.VAL)))</f>
        <v/>
      </c>
      <c r="E101" s="154" t="str" cm="1">
        <f t="array" aca="1" ref="E101" ca="1">_xlfn.LET(_xlpm.VAL, INDEX('Heat Sheet'!$A:$I, _xlfn.XMATCH(INDIRECT("A"&amp;ROW()-1),'Heat Sheet'!$A:$A)+1, COLUMN()), IF(ISNA(_xlpm.VAL), "", IF(_xlpm.VAL=0, "", _xlpm.VAL)))</f>
        <v/>
      </c>
      <c r="F101" s="154" t="str" cm="1">
        <f t="array" aca="1" ref="F101" ca="1">_xlfn.LET(_xlpm.VAL, INDEX('Heat Sheet'!$A:$I, _xlfn.XMATCH(INDIRECT("A"&amp;ROW()-1),'Heat Sheet'!$A:$A)+1, COLUMN()), IF(ISNA(_xlpm.VAL), "", IF(_xlpm.VAL=0, "", _xlpm.VAL)))</f>
        <v/>
      </c>
      <c r="G101" s="154" t="str" cm="1">
        <f t="array" aca="1" ref="G101" ca="1">_xlfn.LET(_xlpm.VAL, INDEX('Heat Sheet'!$A:$I, _xlfn.XMATCH(INDIRECT("A"&amp;ROW()-1),'Heat Sheet'!$A:$A)+1, COLUMN()), IF(ISNA(_xlpm.VAL), "", IF(_xlpm.VAL=0, "", _xlpm.VAL)))</f>
        <v/>
      </c>
      <c r="H101" s="154" t="str" cm="1">
        <f t="array" aca="1" ref="H101" ca="1">_xlfn.LET(_xlpm.VAL, INDEX('Heat Sheet'!$A:$I, _xlfn.XMATCH(INDIRECT("A"&amp;ROW()-1),'Heat Sheet'!$A:$A)+1, COLUMN()), IF(ISNA(_xlpm.VAL), "", IF(_xlpm.VAL=0, "", _xlpm.VAL)))</f>
        <v/>
      </c>
      <c r="I101" s="155" t="str" cm="1">
        <f t="array" aca="1" ref="I101" ca="1">_xlfn.LET(_xlpm.VAL, INDEX('Heat Sheet'!$A:$I, _xlfn.XMATCH(INDIRECT("A"&amp;ROW()-1),'Heat Sheet'!$A:$A)+1, COLUMN()), IF(ISNA(_xlpm.VAL), "", IF(_xlpm.VAL=0, "", _xlpm.VAL)))</f>
        <v/>
      </c>
    </row>
    <row r="102" spans="1:9" ht="18.5" customHeight="1" x14ac:dyDescent="0.2">
      <c r="A102" s="201"/>
      <c r="B102" s="182"/>
      <c r="C102" s="122" t="s">
        <v>22</v>
      </c>
      <c r="D102" s="124"/>
      <c r="E102" s="124"/>
      <c r="F102" s="124"/>
      <c r="G102" s="124"/>
      <c r="H102" s="124"/>
      <c r="I102" s="126"/>
    </row>
    <row r="103" spans="1:9" ht="16" x14ac:dyDescent="0.2">
      <c r="A103" s="201"/>
      <c r="B103" s="182"/>
      <c r="C103" s="122" t="s">
        <v>23</v>
      </c>
      <c r="D103" s="158"/>
      <c r="E103" s="158"/>
      <c r="F103" s="158"/>
      <c r="G103" s="158"/>
      <c r="H103" s="158"/>
      <c r="I103" s="159"/>
    </row>
    <row r="104" spans="1:9" ht="17" x14ac:dyDescent="0.2">
      <c r="A104" s="201"/>
      <c r="B104" s="207"/>
      <c r="C104" s="26" t="s">
        <v>14</v>
      </c>
      <c r="D104" s="160"/>
      <c r="E104" s="160"/>
      <c r="F104" s="160"/>
      <c r="G104" s="160"/>
      <c r="H104" s="160"/>
      <c r="I104" s="161"/>
    </row>
    <row r="105" spans="1:9" ht="17" x14ac:dyDescent="0.2">
      <c r="A105" s="201">
        <v>21</v>
      </c>
      <c r="B105" s="185" t="str">
        <f>IFERROR(VLOOKUP(A105,'Heat Sheet'!$A:$I, 2, FALSE), "")</f>
        <v>10:40 AM</v>
      </c>
      <c r="C105" s="129" t="str" cm="1">
        <f t="array" aca="1" ref="C105" ca="1">_xlfn.LET(_xlpm.VAL, INDEX('Heat Sheet'!$A:$I, _xlfn.XMATCH(INDIRECT("A"&amp;ROW()),'Heat Sheet'!$A:$A), COLUMN()), IF(ISNA(_xlpm.VAL), "", IF(_xlpm.VAL=0, "", _xlpm.VAL)))</f>
        <v/>
      </c>
      <c r="D105" s="154" t="str" cm="1">
        <f t="array" aca="1" ref="D105" ca="1">_xlfn.LET(_xlpm.VAL, INDEX('Heat Sheet'!$A:$I, _xlfn.XMATCH(INDIRECT("A"&amp;ROW()),'Heat Sheet'!$A:$A), COLUMN()), IF(ISNA(_xlpm.VAL), "", IF(_xlpm.VAL=0, "", _xlpm.VAL)))</f>
        <v/>
      </c>
      <c r="E105" s="154" t="str" cm="1">
        <f t="array" aca="1" ref="E105" ca="1">_xlfn.LET(_xlpm.VAL, INDEX('Heat Sheet'!$A:$I, _xlfn.XMATCH(INDIRECT("A"&amp;ROW()),'Heat Sheet'!$A:$A), COLUMN()), IF(ISNA(_xlpm.VAL), "", IF(_xlpm.VAL=0, "", _xlpm.VAL)))</f>
        <v/>
      </c>
      <c r="F105" s="154" t="str" cm="1">
        <f t="array" aca="1" ref="F105" ca="1">_xlfn.LET(_xlpm.VAL, INDEX('Heat Sheet'!$A:$I, _xlfn.XMATCH(INDIRECT("A"&amp;ROW()),'Heat Sheet'!$A:$A), COLUMN()), IF(ISNA(_xlpm.VAL), "", IF(_xlpm.VAL=0, "", _xlpm.VAL)))</f>
        <v/>
      </c>
      <c r="G105" s="154" t="str" cm="1">
        <f t="array" aca="1" ref="G105" ca="1">_xlfn.LET(_xlpm.VAL, INDEX('Heat Sheet'!$A:$I, _xlfn.XMATCH(INDIRECT("A"&amp;ROW()),'Heat Sheet'!$A:$A), COLUMN()), IF(ISNA(_xlpm.VAL), "", IF(_xlpm.VAL=0, "", _xlpm.VAL)))</f>
        <v/>
      </c>
      <c r="H105" s="154" t="str" cm="1">
        <f t="array" aca="1" ref="H105" ca="1">_xlfn.LET(_xlpm.VAL, INDEX('Heat Sheet'!$A:$I, _xlfn.XMATCH(INDIRECT("A"&amp;ROW()),'Heat Sheet'!$A:$A), COLUMN()), IF(ISNA(_xlpm.VAL), "", IF(_xlpm.VAL=0, "", _xlpm.VAL)))</f>
        <v/>
      </c>
      <c r="I105" s="155" t="str" cm="1">
        <f t="array" aca="1" ref="I105" ca="1">_xlfn.LET(_xlpm.VAL, INDEX('Heat Sheet'!$A:$I, _xlfn.XMATCH(INDIRECT("A"&amp;ROW()),'Heat Sheet'!$A:$A), COLUMN()), IF(ISNA(_xlpm.VAL), "", IF(_xlpm.VAL=0, "", _xlpm.VAL)))</f>
        <v/>
      </c>
    </row>
    <row r="106" spans="1:9" ht="17" x14ac:dyDescent="0.2">
      <c r="A106" s="201"/>
      <c r="B106" s="182"/>
      <c r="C106" s="129" t="str" cm="1">
        <f t="array" aca="1" ref="C106" ca="1">_xlfn.LET(_xlpm.VAL, INDEX('Heat Sheet'!$A:$I, _xlfn.XMATCH(INDIRECT("A"&amp;ROW()-1),'Heat Sheet'!$A:$A)+1, COLUMN()), IF(ISNA(_xlpm.VAL), "", IF(_xlpm.VAL=0, "", _xlpm.VAL)))</f>
        <v/>
      </c>
      <c r="D106" s="154" t="str" cm="1">
        <f t="array" aca="1" ref="D106" ca="1">_xlfn.LET(_xlpm.VAL, INDEX('Heat Sheet'!$A:$I, _xlfn.XMATCH(INDIRECT("A"&amp;ROW()-1),'Heat Sheet'!$A:$A)+1, COLUMN()), IF(ISNA(_xlpm.VAL), "", IF(_xlpm.VAL=0, "", _xlpm.VAL)))</f>
        <v/>
      </c>
      <c r="E106" s="154" t="str" cm="1">
        <f t="array" aca="1" ref="E106" ca="1">_xlfn.LET(_xlpm.VAL, INDEX('Heat Sheet'!$A:$I, _xlfn.XMATCH(INDIRECT("A"&amp;ROW()-1),'Heat Sheet'!$A:$A)+1, COLUMN()), IF(ISNA(_xlpm.VAL), "", IF(_xlpm.VAL=0, "", _xlpm.VAL)))</f>
        <v/>
      </c>
      <c r="F106" s="154" t="str" cm="1">
        <f t="array" aca="1" ref="F106" ca="1">_xlfn.LET(_xlpm.VAL, INDEX('Heat Sheet'!$A:$I, _xlfn.XMATCH(INDIRECT("A"&amp;ROW()-1),'Heat Sheet'!$A:$A)+1, COLUMN()), IF(ISNA(_xlpm.VAL), "", IF(_xlpm.VAL=0, "", _xlpm.VAL)))</f>
        <v/>
      </c>
      <c r="G106" s="154" t="str" cm="1">
        <f t="array" aca="1" ref="G106" ca="1">_xlfn.LET(_xlpm.VAL, INDEX('Heat Sheet'!$A:$I, _xlfn.XMATCH(INDIRECT("A"&amp;ROW()-1),'Heat Sheet'!$A:$A)+1, COLUMN()), IF(ISNA(_xlpm.VAL), "", IF(_xlpm.VAL=0, "", _xlpm.VAL)))</f>
        <v/>
      </c>
      <c r="H106" s="154" t="str" cm="1">
        <f t="array" aca="1" ref="H106" ca="1">_xlfn.LET(_xlpm.VAL, INDEX('Heat Sheet'!$A:$I, _xlfn.XMATCH(INDIRECT("A"&amp;ROW()-1),'Heat Sheet'!$A:$A)+1, COLUMN()), IF(ISNA(_xlpm.VAL), "", IF(_xlpm.VAL=0, "", _xlpm.VAL)))</f>
        <v/>
      </c>
      <c r="I106" s="155" t="str" cm="1">
        <f t="array" aca="1" ref="I106" ca="1">_xlfn.LET(_xlpm.VAL, INDEX('Heat Sheet'!$A:$I, _xlfn.XMATCH(INDIRECT("A"&amp;ROW()-1),'Heat Sheet'!$A:$A)+1, COLUMN()), IF(ISNA(_xlpm.VAL), "", IF(_xlpm.VAL=0, "", _xlpm.VAL)))</f>
        <v/>
      </c>
    </row>
    <row r="107" spans="1:9" ht="16" x14ac:dyDescent="0.2">
      <c r="A107" s="201"/>
      <c r="B107" s="182"/>
      <c r="C107" s="122" t="s">
        <v>22</v>
      </c>
      <c r="D107" s="124"/>
      <c r="E107" s="124"/>
      <c r="F107" s="124"/>
      <c r="G107" s="124"/>
      <c r="H107" s="124"/>
      <c r="I107" s="126"/>
    </row>
    <row r="108" spans="1:9" ht="18.5" customHeight="1" x14ac:dyDescent="0.2">
      <c r="A108" s="201"/>
      <c r="B108" s="182"/>
      <c r="C108" s="122" t="s">
        <v>23</v>
      </c>
      <c r="D108" s="158"/>
      <c r="E108" s="158"/>
      <c r="F108" s="158"/>
      <c r="G108" s="158"/>
      <c r="H108" s="158"/>
      <c r="I108" s="159"/>
    </row>
    <row r="109" spans="1:9" ht="17" x14ac:dyDescent="0.2">
      <c r="A109" s="217"/>
      <c r="B109" s="207"/>
      <c r="C109" s="26" t="s">
        <v>14</v>
      </c>
      <c r="D109" s="160"/>
      <c r="E109" s="160"/>
      <c r="F109" s="160"/>
      <c r="G109" s="160"/>
      <c r="H109" s="160"/>
      <c r="I109" s="161"/>
    </row>
    <row r="110" spans="1:9" ht="17" x14ac:dyDescent="0.2">
      <c r="A110" s="201">
        <v>22</v>
      </c>
      <c r="B110" s="185" t="str">
        <f>IFERROR(VLOOKUP(A110,'Heat Sheet'!$A:$I, 2, FALSE), "")</f>
        <v>10:45 AM</v>
      </c>
      <c r="C110" s="129" t="str" cm="1">
        <f t="array" aca="1" ref="C110" ca="1">_xlfn.LET(_xlpm.VAL, INDEX('Heat Sheet'!$A:$I, _xlfn.XMATCH(INDIRECT("A"&amp;ROW()),'Heat Sheet'!$A:$A), COLUMN()), IF(ISNA(_xlpm.VAL), "", IF(_xlpm.VAL=0, "", _xlpm.VAL)))</f>
        <v/>
      </c>
      <c r="D110" s="154" t="str" cm="1">
        <f t="array" aca="1" ref="D110" ca="1">_xlfn.LET(_xlpm.VAL, INDEX('Heat Sheet'!$A:$I, _xlfn.XMATCH(INDIRECT("A"&amp;ROW()),'Heat Sheet'!$A:$A), COLUMN()), IF(ISNA(_xlpm.VAL), "", IF(_xlpm.VAL=0, "", _xlpm.VAL)))</f>
        <v/>
      </c>
      <c r="E110" s="154" t="str" cm="1">
        <f t="array" aca="1" ref="E110" ca="1">_xlfn.LET(_xlpm.VAL, INDEX('Heat Sheet'!$A:$I, _xlfn.XMATCH(INDIRECT("A"&amp;ROW()),'Heat Sheet'!$A:$A), COLUMN()), IF(ISNA(_xlpm.VAL), "", IF(_xlpm.VAL=0, "", _xlpm.VAL)))</f>
        <v/>
      </c>
      <c r="F110" s="154" t="str" cm="1">
        <f t="array" aca="1" ref="F110" ca="1">_xlfn.LET(_xlpm.VAL, INDEX('Heat Sheet'!$A:$I, _xlfn.XMATCH(INDIRECT("A"&amp;ROW()),'Heat Sheet'!$A:$A), COLUMN()), IF(ISNA(_xlpm.VAL), "", IF(_xlpm.VAL=0, "", _xlpm.VAL)))</f>
        <v/>
      </c>
      <c r="G110" s="154" t="str" cm="1">
        <f t="array" aca="1" ref="G110" ca="1">_xlfn.LET(_xlpm.VAL, INDEX('Heat Sheet'!$A:$I, _xlfn.XMATCH(INDIRECT("A"&amp;ROW()),'Heat Sheet'!$A:$A), COLUMN()), IF(ISNA(_xlpm.VAL), "", IF(_xlpm.VAL=0, "", _xlpm.VAL)))</f>
        <v/>
      </c>
      <c r="H110" s="154" t="str" cm="1">
        <f t="array" aca="1" ref="H110" ca="1">_xlfn.LET(_xlpm.VAL, INDEX('Heat Sheet'!$A:$I, _xlfn.XMATCH(INDIRECT("A"&amp;ROW()),'Heat Sheet'!$A:$A), COLUMN()), IF(ISNA(_xlpm.VAL), "", IF(_xlpm.VAL=0, "", _xlpm.VAL)))</f>
        <v/>
      </c>
      <c r="I110" s="155" t="str" cm="1">
        <f t="array" aca="1" ref="I110" ca="1">_xlfn.LET(_xlpm.VAL, INDEX('Heat Sheet'!$A:$I, _xlfn.XMATCH(INDIRECT("A"&amp;ROW()),'Heat Sheet'!$A:$A), COLUMN()), IF(ISNA(_xlpm.VAL), "", IF(_xlpm.VAL=0, "", _xlpm.VAL)))</f>
        <v/>
      </c>
    </row>
    <row r="111" spans="1:9" ht="17" x14ac:dyDescent="0.2">
      <c r="A111" s="201"/>
      <c r="B111" s="182"/>
      <c r="C111" s="129" t="str" cm="1">
        <f t="array" aca="1" ref="C111" ca="1">_xlfn.LET(_xlpm.VAL, INDEX('Heat Sheet'!$A:$I, _xlfn.XMATCH(INDIRECT("A"&amp;ROW()-1),'Heat Sheet'!$A:$A)+1, COLUMN()), IF(ISNA(_xlpm.VAL), "", IF(_xlpm.VAL=0, "", _xlpm.VAL)))</f>
        <v/>
      </c>
      <c r="D111" s="154" t="str" cm="1">
        <f t="array" aca="1" ref="D111" ca="1">_xlfn.LET(_xlpm.VAL, INDEX('Heat Sheet'!$A:$I, _xlfn.XMATCH(INDIRECT("A"&amp;ROW()-1),'Heat Sheet'!$A:$A)+1, COLUMN()), IF(ISNA(_xlpm.VAL), "", IF(_xlpm.VAL=0, "", _xlpm.VAL)))</f>
        <v/>
      </c>
      <c r="E111" s="154" t="str" cm="1">
        <f t="array" aca="1" ref="E111" ca="1">_xlfn.LET(_xlpm.VAL, INDEX('Heat Sheet'!$A:$I, _xlfn.XMATCH(INDIRECT("A"&amp;ROW()-1),'Heat Sheet'!$A:$A)+1, COLUMN()), IF(ISNA(_xlpm.VAL), "", IF(_xlpm.VAL=0, "", _xlpm.VAL)))</f>
        <v/>
      </c>
      <c r="F111" s="154" t="str" cm="1">
        <f t="array" aca="1" ref="F111" ca="1">_xlfn.LET(_xlpm.VAL, INDEX('Heat Sheet'!$A:$I, _xlfn.XMATCH(INDIRECT("A"&amp;ROW()-1),'Heat Sheet'!$A:$A)+1, COLUMN()), IF(ISNA(_xlpm.VAL), "", IF(_xlpm.VAL=0, "", _xlpm.VAL)))</f>
        <v/>
      </c>
      <c r="G111" s="154" t="str" cm="1">
        <f t="array" aca="1" ref="G111" ca="1">_xlfn.LET(_xlpm.VAL, INDEX('Heat Sheet'!$A:$I, _xlfn.XMATCH(INDIRECT("A"&amp;ROW()-1),'Heat Sheet'!$A:$A)+1, COLUMN()), IF(ISNA(_xlpm.VAL), "", IF(_xlpm.VAL=0, "", _xlpm.VAL)))</f>
        <v/>
      </c>
      <c r="H111" s="154" t="str" cm="1">
        <f t="array" aca="1" ref="H111" ca="1">_xlfn.LET(_xlpm.VAL, INDEX('Heat Sheet'!$A:$I, _xlfn.XMATCH(INDIRECT("A"&amp;ROW()-1),'Heat Sheet'!$A:$A)+1, COLUMN()), IF(ISNA(_xlpm.VAL), "", IF(_xlpm.VAL=0, "", _xlpm.VAL)))</f>
        <v/>
      </c>
      <c r="I111" s="155" t="str" cm="1">
        <f t="array" aca="1" ref="I111" ca="1">_xlfn.LET(_xlpm.VAL, INDEX('Heat Sheet'!$A:$I, _xlfn.XMATCH(INDIRECT("A"&amp;ROW()-1),'Heat Sheet'!$A:$A)+1, COLUMN()), IF(ISNA(_xlpm.VAL), "", IF(_xlpm.VAL=0, "", _xlpm.VAL)))</f>
        <v/>
      </c>
    </row>
    <row r="112" spans="1:9" ht="16" x14ac:dyDescent="0.2">
      <c r="A112" s="201"/>
      <c r="B112" s="182"/>
      <c r="C112" s="122" t="s">
        <v>22</v>
      </c>
      <c r="D112" s="124"/>
      <c r="E112" s="124"/>
      <c r="F112" s="124"/>
      <c r="G112" s="124"/>
      <c r="H112" s="124"/>
      <c r="I112" s="126"/>
    </row>
    <row r="113" spans="1:9" ht="16" x14ac:dyDescent="0.2">
      <c r="A113" s="201"/>
      <c r="B113" s="182"/>
      <c r="C113" s="122" t="s">
        <v>23</v>
      </c>
      <c r="D113" s="158"/>
      <c r="E113" s="158"/>
      <c r="F113" s="158"/>
      <c r="G113" s="158"/>
      <c r="H113" s="158"/>
      <c r="I113" s="159"/>
    </row>
    <row r="114" spans="1:9" ht="18.5" customHeight="1" x14ac:dyDescent="0.2">
      <c r="A114" s="201"/>
      <c r="B114" s="207"/>
      <c r="C114" s="26" t="s">
        <v>14</v>
      </c>
      <c r="D114" s="160"/>
      <c r="E114" s="160"/>
      <c r="F114" s="160"/>
      <c r="G114" s="160"/>
      <c r="H114" s="160"/>
      <c r="I114" s="161"/>
    </row>
    <row r="115" spans="1:9" ht="17" x14ac:dyDescent="0.2">
      <c r="A115" s="216">
        <v>23</v>
      </c>
      <c r="B115" s="185" t="str">
        <f>IFERROR(VLOOKUP(A115,'Heat Sheet'!$A:$I, 2, FALSE), "")</f>
        <v>10:50 AM</v>
      </c>
      <c r="C115" s="129" t="str" cm="1">
        <f t="array" aca="1" ref="C115" ca="1">_xlfn.LET(_xlpm.VAL, INDEX('Heat Sheet'!$A:$I, _xlfn.XMATCH(INDIRECT("A"&amp;ROW()),'Heat Sheet'!$A:$A), COLUMN()), IF(ISNA(_xlpm.VAL), "", IF(_xlpm.VAL=0, "", _xlpm.VAL)))</f>
        <v/>
      </c>
      <c r="D115" s="154" t="str" cm="1">
        <f t="array" aca="1" ref="D115" ca="1">_xlfn.LET(_xlpm.VAL, INDEX('Heat Sheet'!$A:$I, _xlfn.XMATCH(INDIRECT("A"&amp;ROW()),'Heat Sheet'!$A:$A), COLUMN()), IF(ISNA(_xlpm.VAL), "", IF(_xlpm.VAL=0, "", _xlpm.VAL)))</f>
        <v/>
      </c>
      <c r="E115" s="154" t="str" cm="1">
        <f t="array" aca="1" ref="E115" ca="1">_xlfn.LET(_xlpm.VAL, INDEX('Heat Sheet'!$A:$I, _xlfn.XMATCH(INDIRECT("A"&amp;ROW()),'Heat Sheet'!$A:$A), COLUMN()), IF(ISNA(_xlpm.VAL), "", IF(_xlpm.VAL=0, "", _xlpm.VAL)))</f>
        <v/>
      </c>
      <c r="F115" s="154" t="str" cm="1">
        <f t="array" aca="1" ref="F115" ca="1">_xlfn.LET(_xlpm.VAL, INDEX('Heat Sheet'!$A:$I, _xlfn.XMATCH(INDIRECT("A"&amp;ROW()),'Heat Sheet'!$A:$A), COLUMN()), IF(ISNA(_xlpm.VAL), "", IF(_xlpm.VAL=0, "", _xlpm.VAL)))</f>
        <v/>
      </c>
      <c r="G115" s="154" t="str" cm="1">
        <f t="array" aca="1" ref="G115" ca="1">_xlfn.LET(_xlpm.VAL, INDEX('Heat Sheet'!$A:$I, _xlfn.XMATCH(INDIRECT("A"&amp;ROW()),'Heat Sheet'!$A:$A), COLUMN()), IF(ISNA(_xlpm.VAL), "", IF(_xlpm.VAL=0, "", _xlpm.VAL)))</f>
        <v/>
      </c>
      <c r="H115" s="154" t="str" cm="1">
        <f t="array" aca="1" ref="H115" ca="1">_xlfn.LET(_xlpm.VAL, INDEX('Heat Sheet'!$A:$I, _xlfn.XMATCH(INDIRECT("A"&amp;ROW()),'Heat Sheet'!$A:$A), COLUMN()), IF(ISNA(_xlpm.VAL), "", IF(_xlpm.VAL=0, "", _xlpm.VAL)))</f>
        <v/>
      </c>
      <c r="I115" s="155" t="str" cm="1">
        <f t="array" aca="1" ref="I115" ca="1">_xlfn.LET(_xlpm.VAL, INDEX('Heat Sheet'!$A:$I, _xlfn.XMATCH(INDIRECT("A"&amp;ROW()),'Heat Sheet'!$A:$A), COLUMN()), IF(ISNA(_xlpm.VAL), "", IF(_xlpm.VAL=0, "", _xlpm.VAL)))</f>
        <v/>
      </c>
    </row>
    <row r="116" spans="1:9" ht="17" x14ac:dyDescent="0.2">
      <c r="A116" s="201"/>
      <c r="B116" s="182"/>
      <c r="C116" s="129" t="str" cm="1">
        <f t="array" aca="1" ref="C116" ca="1">_xlfn.LET(_xlpm.VAL, INDEX('Heat Sheet'!$A:$I, _xlfn.XMATCH(INDIRECT("A"&amp;ROW()-1),'Heat Sheet'!$A:$A)+1, COLUMN()), IF(ISNA(_xlpm.VAL), "", IF(_xlpm.VAL=0, "", _xlpm.VAL)))</f>
        <v/>
      </c>
      <c r="D116" s="154" t="str" cm="1">
        <f t="array" aca="1" ref="D116" ca="1">_xlfn.LET(_xlpm.VAL, INDEX('Heat Sheet'!$A:$I, _xlfn.XMATCH(INDIRECT("A"&amp;ROW()-1),'Heat Sheet'!$A:$A)+1, COLUMN()), IF(ISNA(_xlpm.VAL), "", IF(_xlpm.VAL=0, "", _xlpm.VAL)))</f>
        <v/>
      </c>
      <c r="E116" s="154" t="str" cm="1">
        <f t="array" aca="1" ref="E116" ca="1">_xlfn.LET(_xlpm.VAL, INDEX('Heat Sheet'!$A:$I, _xlfn.XMATCH(INDIRECT("A"&amp;ROW()-1),'Heat Sheet'!$A:$A)+1, COLUMN()), IF(ISNA(_xlpm.VAL), "", IF(_xlpm.VAL=0, "", _xlpm.VAL)))</f>
        <v/>
      </c>
      <c r="F116" s="154" t="str" cm="1">
        <f t="array" aca="1" ref="F116" ca="1">_xlfn.LET(_xlpm.VAL, INDEX('Heat Sheet'!$A:$I, _xlfn.XMATCH(INDIRECT("A"&amp;ROW()-1),'Heat Sheet'!$A:$A)+1, COLUMN()), IF(ISNA(_xlpm.VAL), "", IF(_xlpm.VAL=0, "", _xlpm.VAL)))</f>
        <v/>
      </c>
      <c r="G116" s="154" t="str" cm="1">
        <f t="array" aca="1" ref="G116" ca="1">_xlfn.LET(_xlpm.VAL, INDEX('Heat Sheet'!$A:$I, _xlfn.XMATCH(INDIRECT("A"&amp;ROW()-1),'Heat Sheet'!$A:$A)+1, COLUMN()), IF(ISNA(_xlpm.VAL), "", IF(_xlpm.VAL=0, "", _xlpm.VAL)))</f>
        <v/>
      </c>
      <c r="H116" s="154" t="str" cm="1">
        <f t="array" aca="1" ref="H116" ca="1">_xlfn.LET(_xlpm.VAL, INDEX('Heat Sheet'!$A:$I, _xlfn.XMATCH(INDIRECT("A"&amp;ROW()-1),'Heat Sheet'!$A:$A)+1, COLUMN()), IF(ISNA(_xlpm.VAL), "", IF(_xlpm.VAL=0, "", _xlpm.VAL)))</f>
        <v/>
      </c>
      <c r="I116" s="155" t="str" cm="1">
        <f t="array" aca="1" ref="I116" ca="1">_xlfn.LET(_xlpm.VAL, INDEX('Heat Sheet'!$A:$I, _xlfn.XMATCH(INDIRECT("A"&amp;ROW()-1),'Heat Sheet'!$A:$A)+1, COLUMN()), IF(ISNA(_xlpm.VAL), "", IF(_xlpm.VAL=0, "", _xlpm.VAL)))</f>
        <v/>
      </c>
    </row>
    <row r="117" spans="1:9" ht="16" x14ac:dyDescent="0.2">
      <c r="A117" s="201"/>
      <c r="B117" s="182"/>
      <c r="C117" s="122" t="s">
        <v>22</v>
      </c>
      <c r="D117" s="124"/>
      <c r="E117" s="124"/>
      <c r="F117" s="124"/>
      <c r="G117" s="124"/>
      <c r="H117" s="124"/>
      <c r="I117" s="126"/>
    </row>
    <row r="118" spans="1:9" ht="16" x14ac:dyDescent="0.2">
      <c r="A118" s="201"/>
      <c r="B118" s="182"/>
      <c r="C118" s="122" t="s">
        <v>23</v>
      </c>
      <c r="D118" s="158"/>
      <c r="E118" s="158"/>
      <c r="F118" s="158"/>
      <c r="G118" s="158"/>
      <c r="H118" s="158"/>
      <c r="I118" s="159"/>
    </row>
    <row r="119" spans="1:9" ht="17" x14ac:dyDescent="0.2">
      <c r="A119" s="217"/>
      <c r="B119" s="207"/>
      <c r="C119" s="26" t="s">
        <v>14</v>
      </c>
      <c r="D119" s="160"/>
      <c r="E119" s="160"/>
      <c r="F119" s="160"/>
      <c r="G119" s="160"/>
      <c r="H119" s="160"/>
      <c r="I119" s="161"/>
    </row>
    <row r="120" spans="1:9" ht="18.5" customHeight="1" x14ac:dyDescent="0.2">
      <c r="A120" s="201">
        <v>24</v>
      </c>
      <c r="B120" s="185" t="str">
        <f>IFERROR(VLOOKUP(A120,'Heat Sheet'!$A:$I, 2, FALSE), "")</f>
        <v>10:55 AM</v>
      </c>
      <c r="C120" s="129" t="str" cm="1">
        <f t="array" aca="1" ref="C120" ca="1">_xlfn.LET(_xlpm.VAL, INDEX('Heat Sheet'!$A:$I, _xlfn.XMATCH(INDIRECT("A"&amp;ROW()),'Heat Sheet'!$A:$A), COLUMN()), IF(ISNA(_xlpm.VAL), "", IF(_xlpm.VAL=0, "", _xlpm.VAL)))</f>
        <v/>
      </c>
      <c r="D120" s="154" t="str" cm="1">
        <f t="array" aca="1" ref="D120" ca="1">_xlfn.LET(_xlpm.VAL, INDEX('Heat Sheet'!$A:$I, _xlfn.XMATCH(INDIRECT("A"&amp;ROW()),'Heat Sheet'!$A:$A), COLUMN()), IF(ISNA(_xlpm.VAL), "", IF(_xlpm.VAL=0, "", _xlpm.VAL)))</f>
        <v/>
      </c>
      <c r="E120" s="154" t="str" cm="1">
        <f t="array" aca="1" ref="E120" ca="1">_xlfn.LET(_xlpm.VAL, INDEX('Heat Sheet'!$A:$I, _xlfn.XMATCH(INDIRECT("A"&amp;ROW()),'Heat Sheet'!$A:$A), COLUMN()), IF(ISNA(_xlpm.VAL), "", IF(_xlpm.VAL=0, "", _xlpm.VAL)))</f>
        <v/>
      </c>
      <c r="F120" s="154" t="str" cm="1">
        <f t="array" aca="1" ref="F120" ca="1">_xlfn.LET(_xlpm.VAL, INDEX('Heat Sheet'!$A:$I, _xlfn.XMATCH(INDIRECT("A"&amp;ROW()),'Heat Sheet'!$A:$A), COLUMN()), IF(ISNA(_xlpm.VAL), "", IF(_xlpm.VAL=0, "", _xlpm.VAL)))</f>
        <v/>
      </c>
      <c r="G120" s="154" t="str" cm="1">
        <f t="array" aca="1" ref="G120" ca="1">_xlfn.LET(_xlpm.VAL, INDEX('Heat Sheet'!$A:$I, _xlfn.XMATCH(INDIRECT("A"&amp;ROW()),'Heat Sheet'!$A:$A), COLUMN()), IF(ISNA(_xlpm.VAL), "", IF(_xlpm.VAL=0, "", _xlpm.VAL)))</f>
        <v/>
      </c>
      <c r="H120" s="154" t="str" cm="1">
        <f t="array" aca="1" ref="H120" ca="1">_xlfn.LET(_xlpm.VAL, INDEX('Heat Sheet'!$A:$I, _xlfn.XMATCH(INDIRECT("A"&amp;ROW()),'Heat Sheet'!$A:$A), COLUMN()), IF(ISNA(_xlpm.VAL), "", IF(_xlpm.VAL=0, "", _xlpm.VAL)))</f>
        <v/>
      </c>
      <c r="I120" s="155" t="str" cm="1">
        <f t="array" aca="1" ref="I120" ca="1">_xlfn.LET(_xlpm.VAL, INDEX('Heat Sheet'!$A:$I, _xlfn.XMATCH(INDIRECT("A"&amp;ROW()),'Heat Sheet'!$A:$A), COLUMN()), IF(ISNA(_xlpm.VAL), "", IF(_xlpm.VAL=0, "", _xlpm.VAL)))</f>
        <v/>
      </c>
    </row>
    <row r="121" spans="1:9" ht="18.5" customHeight="1" x14ac:dyDescent="0.2">
      <c r="A121" s="201"/>
      <c r="B121" s="182"/>
      <c r="C121" s="129" t="str" cm="1">
        <f t="array" aca="1" ref="C121" ca="1">_xlfn.LET(_xlpm.VAL, INDEX('Heat Sheet'!$A:$I, _xlfn.XMATCH(INDIRECT("A"&amp;ROW()-1),'Heat Sheet'!$A:$A)+1, COLUMN()), IF(ISNA(_xlpm.VAL), "", IF(_xlpm.VAL=0, "", _xlpm.VAL)))</f>
        <v/>
      </c>
      <c r="D121" s="154" t="str" cm="1">
        <f t="array" aca="1" ref="D121" ca="1">_xlfn.LET(_xlpm.VAL, INDEX('Heat Sheet'!$A:$I, _xlfn.XMATCH(INDIRECT("A"&amp;ROW()-1),'Heat Sheet'!$A:$A)+1, COLUMN()), IF(ISNA(_xlpm.VAL), "", IF(_xlpm.VAL=0, "", _xlpm.VAL)))</f>
        <v/>
      </c>
      <c r="E121" s="154" t="str" cm="1">
        <f t="array" aca="1" ref="E121" ca="1">_xlfn.LET(_xlpm.VAL, INDEX('Heat Sheet'!$A:$I, _xlfn.XMATCH(INDIRECT("A"&amp;ROW()-1),'Heat Sheet'!$A:$A)+1, COLUMN()), IF(ISNA(_xlpm.VAL), "", IF(_xlpm.VAL=0, "", _xlpm.VAL)))</f>
        <v/>
      </c>
      <c r="F121" s="154" t="str" cm="1">
        <f t="array" aca="1" ref="F121" ca="1">_xlfn.LET(_xlpm.VAL, INDEX('Heat Sheet'!$A:$I, _xlfn.XMATCH(INDIRECT("A"&amp;ROW()-1),'Heat Sheet'!$A:$A)+1, COLUMN()), IF(ISNA(_xlpm.VAL), "", IF(_xlpm.VAL=0, "", _xlpm.VAL)))</f>
        <v/>
      </c>
      <c r="G121" s="154" t="str" cm="1">
        <f t="array" aca="1" ref="G121" ca="1">_xlfn.LET(_xlpm.VAL, INDEX('Heat Sheet'!$A:$I, _xlfn.XMATCH(INDIRECT("A"&amp;ROW()-1),'Heat Sheet'!$A:$A)+1, COLUMN()), IF(ISNA(_xlpm.VAL), "", IF(_xlpm.VAL=0, "", _xlpm.VAL)))</f>
        <v/>
      </c>
      <c r="H121" s="154" t="str" cm="1">
        <f t="array" aca="1" ref="H121" ca="1">_xlfn.LET(_xlpm.VAL, INDEX('Heat Sheet'!$A:$I, _xlfn.XMATCH(INDIRECT("A"&amp;ROW()-1),'Heat Sheet'!$A:$A)+1, COLUMN()), IF(ISNA(_xlpm.VAL), "", IF(_xlpm.VAL=0, "", _xlpm.VAL)))</f>
        <v/>
      </c>
      <c r="I121" s="155" t="str" cm="1">
        <f t="array" aca="1" ref="I121" ca="1">_xlfn.LET(_xlpm.VAL, INDEX('Heat Sheet'!$A:$I, _xlfn.XMATCH(INDIRECT("A"&amp;ROW()-1),'Heat Sheet'!$A:$A)+1, COLUMN()), IF(ISNA(_xlpm.VAL), "", IF(_xlpm.VAL=0, "", _xlpm.VAL)))</f>
        <v/>
      </c>
    </row>
    <row r="122" spans="1:9" ht="18.5" customHeight="1" x14ac:dyDescent="0.2">
      <c r="A122" s="201"/>
      <c r="B122" s="182"/>
      <c r="C122" s="122" t="s">
        <v>22</v>
      </c>
      <c r="D122" s="124"/>
      <c r="E122" s="124"/>
      <c r="F122" s="124"/>
      <c r="G122" s="124"/>
      <c r="H122" s="124"/>
      <c r="I122" s="126"/>
    </row>
    <row r="123" spans="1:9" ht="16" x14ac:dyDescent="0.2">
      <c r="A123" s="201"/>
      <c r="B123" s="182"/>
      <c r="C123" s="122" t="s">
        <v>23</v>
      </c>
      <c r="D123" s="158"/>
      <c r="E123" s="158"/>
      <c r="F123" s="158"/>
      <c r="G123" s="158"/>
      <c r="H123" s="158"/>
      <c r="I123" s="159"/>
    </row>
    <row r="124" spans="1:9" ht="17" x14ac:dyDescent="0.2">
      <c r="A124" s="201"/>
      <c r="B124" s="207"/>
      <c r="C124" s="26" t="s">
        <v>14</v>
      </c>
      <c r="D124" s="160"/>
      <c r="E124" s="160"/>
      <c r="F124" s="160"/>
      <c r="G124" s="160"/>
      <c r="H124" s="160"/>
      <c r="I124" s="161"/>
    </row>
    <row r="125" spans="1:9" ht="17" x14ac:dyDescent="0.2">
      <c r="A125" s="216">
        <v>25</v>
      </c>
      <c r="B125" s="185" t="str">
        <f>IFERROR(VLOOKUP(A125,'Heat Sheet'!$A:$I, 2, FALSE), "")</f>
        <v>11:00 AM</v>
      </c>
      <c r="C125" s="129" t="str" cm="1">
        <f t="array" aca="1" ref="C125" ca="1">_xlfn.LET(_xlpm.VAL, INDEX('Heat Sheet'!$A:$I, _xlfn.XMATCH(INDIRECT("A"&amp;ROW()),'Heat Sheet'!$A:$A), COLUMN()), IF(ISNA(_xlpm.VAL), "", IF(_xlpm.VAL=0, "", _xlpm.VAL)))</f>
        <v/>
      </c>
      <c r="D125" s="154" t="str" cm="1">
        <f t="array" aca="1" ref="D125" ca="1">_xlfn.LET(_xlpm.VAL, INDEX('Heat Sheet'!$A:$I, _xlfn.XMATCH(INDIRECT("A"&amp;ROW()),'Heat Sheet'!$A:$A), COLUMN()), IF(ISNA(_xlpm.VAL), "", IF(_xlpm.VAL=0, "", _xlpm.VAL)))</f>
        <v/>
      </c>
      <c r="E125" s="154" t="str" cm="1">
        <f t="array" aca="1" ref="E125" ca="1">_xlfn.LET(_xlpm.VAL, INDEX('Heat Sheet'!$A:$I, _xlfn.XMATCH(INDIRECT("A"&amp;ROW()),'Heat Sheet'!$A:$A), COLUMN()), IF(ISNA(_xlpm.VAL), "", IF(_xlpm.VAL=0, "", _xlpm.VAL)))</f>
        <v/>
      </c>
      <c r="F125" s="154" t="str" cm="1">
        <f t="array" aca="1" ref="F125" ca="1">_xlfn.LET(_xlpm.VAL, INDEX('Heat Sheet'!$A:$I, _xlfn.XMATCH(INDIRECT("A"&amp;ROW()),'Heat Sheet'!$A:$A), COLUMN()), IF(ISNA(_xlpm.VAL), "", IF(_xlpm.VAL=0, "", _xlpm.VAL)))</f>
        <v/>
      </c>
      <c r="G125" s="154" t="str" cm="1">
        <f t="array" aca="1" ref="G125" ca="1">_xlfn.LET(_xlpm.VAL, INDEX('Heat Sheet'!$A:$I, _xlfn.XMATCH(INDIRECT("A"&amp;ROW()),'Heat Sheet'!$A:$A), COLUMN()), IF(ISNA(_xlpm.VAL), "", IF(_xlpm.VAL=0, "", _xlpm.VAL)))</f>
        <v/>
      </c>
      <c r="H125" s="154" t="str" cm="1">
        <f t="array" aca="1" ref="H125" ca="1">_xlfn.LET(_xlpm.VAL, INDEX('Heat Sheet'!$A:$I, _xlfn.XMATCH(INDIRECT("A"&amp;ROW()),'Heat Sheet'!$A:$A), COLUMN()), IF(ISNA(_xlpm.VAL), "", IF(_xlpm.VAL=0, "", _xlpm.VAL)))</f>
        <v/>
      </c>
      <c r="I125" s="155" t="str" cm="1">
        <f t="array" aca="1" ref="I125" ca="1">_xlfn.LET(_xlpm.VAL, INDEX('Heat Sheet'!$A:$I, _xlfn.XMATCH(INDIRECT("A"&amp;ROW()),'Heat Sheet'!$A:$A), COLUMN()), IF(ISNA(_xlpm.VAL), "", IF(_xlpm.VAL=0, "", _xlpm.VAL)))</f>
        <v/>
      </c>
    </row>
    <row r="126" spans="1:9" ht="17" x14ac:dyDescent="0.2">
      <c r="A126" s="201"/>
      <c r="B126" s="182"/>
      <c r="C126" s="129" t="str" cm="1">
        <f t="array" aca="1" ref="C126" ca="1">_xlfn.LET(_xlpm.VAL, INDEX('Heat Sheet'!$A:$I, _xlfn.XMATCH(INDIRECT("A"&amp;ROW()-1),'Heat Sheet'!$A:$A)+1, COLUMN()), IF(ISNA(_xlpm.VAL), "", IF(_xlpm.VAL=0, "", _xlpm.VAL)))</f>
        <v/>
      </c>
      <c r="D126" s="154" t="str" cm="1">
        <f t="array" aca="1" ref="D126" ca="1">_xlfn.LET(_xlpm.VAL, INDEX('Heat Sheet'!$A:$I, _xlfn.XMATCH(INDIRECT("A"&amp;ROW()-1),'Heat Sheet'!$A:$A)+1, COLUMN()), IF(ISNA(_xlpm.VAL), "", IF(_xlpm.VAL=0, "", _xlpm.VAL)))</f>
        <v/>
      </c>
      <c r="E126" s="154" t="str" cm="1">
        <f t="array" aca="1" ref="E126" ca="1">_xlfn.LET(_xlpm.VAL, INDEX('Heat Sheet'!$A:$I, _xlfn.XMATCH(INDIRECT("A"&amp;ROW()-1),'Heat Sheet'!$A:$A)+1, COLUMN()), IF(ISNA(_xlpm.VAL), "", IF(_xlpm.VAL=0, "", _xlpm.VAL)))</f>
        <v/>
      </c>
      <c r="F126" s="154" t="str" cm="1">
        <f t="array" aca="1" ref="F126" ca="1">_xlfn.LET(_xlpm.VAL, INDEX('Heat Sheet'!$A:$I, _xlfn.XMATCH(INDIRECT("A"&amp;ROW()-1),'Heat Sheet'!$A:$A)+1, COLUMN()), IF(ISNA(_xlpm.VAL), "", IF(_xlpm.VAL=0, "", _xlpm.VAL)))</f>
        <v/>
      </c>
      <c r="G126" s="154" t="str" cm="1">
        <f t="array" aca="1" ref="G126" ca="1">_xlfn.LET(_xlpm.VAL, INDEX('Heat Sheet'!$A:$I, _xlfn.XMATCH(INDIRECT("A"&amp;ROW()-1),'Heat Sheet'!$A:$A)+1, COLUMN()), IF(ISNA(_xlpm.VAL), "", IF(_xlpm.VAL=0, "", _xlpm.VAL)))</f>
        <v/>
      </c>
      <c r="H126" s="154" t="str" cm="1">
        <f t="array" aca="1" ref="H126" ca="1">_xlfn.LET(_xlpm.VAL, INDEX('Heat Sheet'!$A:$I, _xlfn.XMATCH(INDIRECT("A"&amp;ROW()-1),'Heat Sheet'!$A:$A)+1, COLUMN()), IF(ISNA(_xlpm.VAL), "", IF(_xlpm.VAL=0, "", _xlpm.VAL)))</f>
        <v/>
      </c>
      <c r="I126" s="155" t="str" cm="1">
        <f t="array" aca="1" ref="I126" ca="1">_xlfn.LET(_xlpm.VAL, INDEX('Heat Sheet'!$A:$I, _xlfn.XMATCH(INDIRECT("A"&amp;ROW()-1),'Heat Sheet'!$A:$A)+1, COLUMN()), IF(ISNA(_xlpm.VAL), "", IF(_xlpm.VAL=0, "", _xlpm.VAL)))</f>
        <v/>
      </c>
    </row>
    <row r="127" spans="1:9" ht="16" x14ac:dyDescent="0.2">
      <c r="A127" s="201"/>
      <c r="B127" s="182"/>
      <c r="C127" s="122" t="s">
        <v>22</v>
      </c>
      <c r="D127" s="124"/>
      <c r="E127" s="124"/>
      <c r="F127" s="124"/>
      <c r="G127" s="124"/>
      <c r="H127" s="124"/>
      <c r="I127" s="126"/>
    </row>
    <row r="128" spans="1:9" ht="18.5" customHeight="1" x14ac:dyDescent="0.2">
      <c r="A128" s="201"/>
      <c r="B128" s="182"/>
      <c r="C128" s="122" t="s">
        <v>23</v>
      </c>
      <c r="D128" s="158"/>
      <c r="E128" s="158"/>
      <c r="F128" s="158"/>
      <c r="G128" s="158"/>
      <c r="H128" s="158"/>
      <c r="I128" s="159"/>
    </row>
    <row r="129" spans="1:9" ht="17" x14ac:dyDescent="0.2">
      <c r="A129" s="217"/>
      <c r="B129" s="207"/>
      <c r="C129" s="26" t="s">
        <v>14</v>
      </c>
      <c r="D129" s="160"/>
      <c r="E129" s="160"/>
      <c r="F129" s="160"/>
      <c r="G129" s="160"/>
      <c r="H129" s="160"/>
      <c r="I129" s="161"/>
    </row>
    <row r="130" spans="1:9" ht="17" x14ac:dyDescent="0.2">
      <c r="A130" s="201">
        <v>26</v>
      </c>
      <c r="B130" s="202" t="str">
        <f>IFERROR(VLOOKUP(A130,'Heat Sheet'!$A:$I, 2, FALSE), "")</f>
        <v>11:05 AM</v>
      </c>
      <c r="C130" s="129" t="str" cm="1">
        <f t="array" aca="1" ref="C130" ca="1">_xlfn.LET(_xlpm.VAL, INDEX('Heat Sheet'!$A:$I, _xlfn.XMATCH(INDIRECT("A"&amp;ROW()),'Heat Sheet'!$A:$A), COLUMN()), IF(ISNA(_xlpm.VAL), "", IF(_xlpm.VAL=0, "", _xlpm.VAL)))</f>
        <v/>
      </c>
      <c r="D130" s="154" t="str" cm="1">
        <f t="array" aca="1" ref="D130" ca="1">_xlfn.LET(_xlpm.VAL, INDEX('Heat Sheet'!$A:$I, _xlfn.XMATCH(INDIRECT("A"&amp;ROW()),'Heat Sheet'!$A:$A), COLUMN()), IF(ISNA(_xlpm.VAL), "", IF(_xlpm.VAL=0, "", _xlpm.VAL)))</f>
        <v/>
      </c>
      <c r="E130" s="154" t="str" cm="1">
        <f t="array" aca="1" ref="E130" ca="1">_xlfn.LET(_xlpm.VAL, INDEX('Heat Sheet'!$A:$I, _xlfn.XMATCH(INDIRECT("A"&amp;ROW()),'Heat Sheet'!$A:$A), COLUMN()), IF(ISNA(_xlpm.VAL), "", IF(_xlpm.VAL=0, "", _xlpm.VAL)))</f>
        <v/>
      </c>
      <c r="F130" s="154" t="str" cm="1">
        <f t="array" aca="1" ref="F130" ca="1">_xlfn.LET(_xlpm.VAL, INDEX('Heat Sheet'!$A:$I, _xlfn.XMATCH(INDIRECT("A"&amp;ROW()),'Heat Sheet'!$A:$A), COLUMN()), IF(ISNA(_xlpm.VAL), "", IF(_xlpm.VAL=0, "", _xlpm.VAL)))</f>
        <v/>
      </c>
      <c r="G130" s="154" t="str" cm="1">
        <f t="array" aca="1" ref="G130" ca="1">_xlfn.LET(_xlpm.VAL, INDEX('Heat Sheet'!$A:$I, _xlfn.XMATCH(INDIRECT("A"&amp;ROW()),'Heat Sheet'!$A:$A), COLUMN()), IF(ISNA(_xlpm.VAL), "", IF(_xlpm.VAL=0, "", _xlpm.VAL)))</f>
        <v/>
      </c>
      <c r="H130" s="154" t="str" cm="1">
        <f t="array" aca="1" ref="H130" ca="1">_xlfn.LET(_xlpm.VAL, INDEX('Heat Sheet'!$A:$I, _xlfn.XMATCH(INDIRECT("A"&amp;ROW()),'Heat Sheet'!$A:$A), COLUMN()), IF(ISNA(_xlpm.VAL), "", IF(_xlpm.VAL=0, "", _xlpm.VAL)))</f>
        <v/>
      </c>
      <c r="I130" s="155" t="str" cm="1">
        <f t="array" aca="1" ref="I130" ca="1">_xlfn.LET(_xlpm.VAL, INDEX('Heat Sheet'!$A:$I, _xlfn.XMATCH(INDIRECT("A"&amp;ROW()),'Heat Sheet'!$A:$A), COLUMN()), IF(ISNA(_xlpm.VAL), "", IF(_xlpm.VAL=0, "", _xlpm.VAL)))</f>
        <v/>
      </c>
    </row>
    <row r="131" spans="1:9" ht="17" x14ac:dyDescent="0.2">
      <c r="A131" s="201"/>
      <c r="B131" s="202"/>
      <c r="C131" s="129" t="str" cm="1">
        <f t="array" aca="1" ref="C131" ca="1">_xlfn.LET(_xlpm.VAL, INDEX('Heat Sheet'!$A:$I, _xlfn.XMATCH(INDIRECT("A"&amp;ROW()-1),'Heat Sheet'!$A:$A)+1, COLUMN()), IF(ISNA(_xlpm.VAL), "", IF(_xlpm.VAL=0, "", _xlpm.VAL)))</f>
        <v/>
      </c>
      <c r="D131" s="154" t="str" cm="1">
        <f t="array" aca="1" ref="D131" ca="1">_xlfn.LET(_xlpm.VAL, INDEX('Heat Sheet'!$A:$I, _xlfn.XMATCH(INDIRECT("A"&amp;ROW()-1),'Heat Sheet'!$A:$A)+1, COLUMN()), IF(ISNA(_xlpm.VAL), "", IF(_xlpm.VAL=0, "", _xlpm.VAL)))</f>
        <v/>
      </c>
      <c r="E131" s="154" t="str" cm="1">
        <f t="array" aca="1" ref="E131" ca="1">_xlfn.LET(_xlpm.VAL, INDEX('Heat Sheet'!$A:$I, _xlfn.XMATCH(INDIRECT("A"&amp;ROW()-1),'Heat Sheet'!$A:$A)+1, COLUMN()), IF(ISNA(_xlpm.VAL), "", IF(_xlpm.VAL=0, "", _xlpm.VAL)))</f>
        <v/>
      </c>
      <c r="F131" s="154" t="str" cm="1">
        <f t="array" aca="1" ref="F131" ca="1">_xlfn.LET(_xlpm.VAL, INDEX('Heat Sheet'!$A:$I, _xlfn.XMATCH(INDIRECT("A"&amp;ROW()-1),'Heat Sheet'!$A:$A)+1, COLUMN()), IF(ISNA(_xlpm.VAL), "", IF(_xlpm.VAL=0, "", _xlpm.VAL)))</f>
        <v/>
      </c>
      <c r="G131" s="154" t="str" cm="1">
        <f t="array" aca="1" ref="G131" ca="1">_xlfn.LET(_xlpm.VAL, INDEX('Heat Sheet'!$A:$I, _xlfn.XMATCH(INDIRECT("A"&amp;ROW()-1),'Heat Sheet'!$A:$A)+1, COLUMN()), IF(ISNA(_xlpm.VAL), "", IF(_xlpm.VAL=0, "", _xlpm.VAL)))</f>
        <v/>
      </c>
      <c r="H131" s="154" t="str" cm="1">
        <f t="array" aca="1" ref="H131" ca="1">_xlfn.LET(_xlpm.VAL, INDEX('Heat Sheet'!$A:$I, _xlfn.XMATCH(INDIRECT("A"&amp;ROW()-1),'Heat Sheet'!$A:$A)+1, COLUMN()), IF(ISNA(_xlpm.VAL), "", IF(_xlpm.VAL=0, "", _xlpm.VAL)))</f>
        <v/>
      </c>
      <c r="I131" s="155" t="str" cm="1">
        <f t="array" aca="1" ref="I131" ca="1">_xlfn.LET(_xlpm.VAL, INDEX('Heat Sheet'!$A:$I, _xlfn.XMATCH(INDIRECT("A"&amp;ROW()-1),'Heat Sheet'!$A:$A)+1, COLUMN()), IF(ISNA(_xlpm.VAL), "", IF(_xlpm.VAL=0, "", _xlpm.VAL)))</f>
        <v/>
      </c>
    </row>
    <row r="132" spans="1:9" ht="16" x14ac:dyDescent="0.2">
      <c r="A132" s="201"/>
      <c r="B132" s="202"/>
      <c r="C132" s="122" t="s">
        <v>22</v>
      </c>
      <c r="D132" s="124"/>
      <c r="E132" s="124"/>
      <c r="F132" s="124"/>
      <c r="G132" s="124"/>
      <c r="H132" s="124"/>
      <c r="I132" s="126"/>
    </row>
    <row r="133" spans="1:9" ht="16" x14ac:dyDescent="0.2">
      <c r="A133" s="201"/>
      <c r="B133" s="202"/>
      <c r="C133" s="122" t="s">
        <v>23</v>
      </c>
      <c r="D133" s="158"/>
      <c r="E133" s="158"/>
      <c r="F133" s="158"/>
      <c r="G133" s="158"/>
      <c r="H133" s="158"/>
      <c r="I133" s="159"/>
    </row>
    <row r="134" spans="1:9" ht="18.5" customHeight="1" x14ac:dyDescent="0.2">
      <c r="A134" s="201"/>
      <c r="B134" s="202"/>
      <c r="C134" s="26" t="s">
        <v>14</v>
      </c>
      <c r="D134" s="160"/>
      <c r="E134" s="160"/>
      <c r="F134" s="160"/>
      <c r="G134" s="160"/>
      <c r="H134" s="160"/>
      <c r="I134" s="161"/>
    </row>
    <row r="135" spans="1:9" ht="17" x14ac:dyDescent="0.2">
      <c r="A135" s="216">
        <v>27</v>
      </c>
      <c r="B135" s="202" t="str">
        <f>IFERROR(VLOOKUP(A135,'Heat Sheet'!$A:$I, 2, FALSE), "")</f>
        <v>11:10 AM</v>
      </c>
      <c r="C135" s="129" t="str" cm="1">
        <f t="array" aca="1" ref="C135" ca="1">_xlfn.LET(_xlpm.VAL, INDEX('Heat Sheet'!$A:$I, _xlfn.XMATCH(INDIRECT("A"&amp;ROW()),'Heat Sheet'!$A:$A), COLUMN()), IF(ISNA(_xlpm.VAL), "", IF(_xlpm.VAL=0, "", _xlpm.VAL)))</f>
        <v/>
      </c>
      <c r="D135" s="154" t="str" cm="1">
        <f t="array" aca="1" ref="D135" ca="1">_xlfn.LET(_xlpm.VAL, INDEX('Heat Sheet'!$A:$I, _xlfn.XMATCH(INDIRECT("A"&amp;ROW()),'Heat Sheet'!$A:$A), COLUMN()), IF(ISNA(_xlpm.VAL), "", IF(_xlpm.VAL=0, "", _xlpm.VAL)))</f>
        <v/>
      </c>
      <c r="E135" s="154" t="str" cm="1">
        <f t="array" aca="1" ref="E135" ca="1">_xlfn.LET(_xlpm.VAL, INDEX('Heat Sheet'!$A:$I, _xlfn.XMATCH(INDIRECT("A"&amp;ROW()),'Heat Sheet'!$A:$A), COLUMN()), IF(ISNA(_xlpm.VAL), "", IF(_xlpm.VAL=0, "", _xlpm.VAL)))</f>
        <v/>
      </c>
      <c r="F135" s="154" t="str" cm="1">
        <f t="array" aca="1" ref="F135" ca="1">_xlfn.LET(_xlpm.VAL, INDEX('Heat Sheet'!$A:$I, _xlfn.XMATCH(INDIRECT("A"&amp;ROW()),'Heat Sheet'!$A:$A), COLUMN()), IF(ISNA(_xlpm.VAL), "", IF(_xlpm.VAL=0, "", _xlpm.VAL)))</f>
        <v/>
      </c>
      <c r="G135" s="154" t="str" cm="1">
        <f t="array" aca="1" ref="G135" ca="1">_xlfn.LET(_xlpm.VAL, INDEX('Heat Sheet'!$A:$I, _xlfn.XMATCH(INDIRECT("A"&amp;ROW()),'Heat Sheet'!$A:$A), COLUMN()), IF(ISNA(_xlpm.VAL), "", IF(_xlpm.VAL=0, "", _xlpm.VAL)))</f>
        <v/>
      </c>
      <c r="H135" s="154" t="str" cm="1">
        <f t="array" aca="1" ref="H135" ca="1">_xlfn.LET(_xlpm.VAL, INDEX('Heat Sheet'!$A:$I, _xlfn.XMATCH(INDIRECT("A"&amp;ROW()),'Heat Sheet'!$A:$A), COLUMN()), IF(ISNA(_xlpm.VAL), "", IF(_xlpm.VAL=0, "", _xlpm.VAL)))</f>
        <v/>
      </c>
      <c r="I135" s="155" t="str" cm="1">
        <f t="array" aca="1" ref="I135" ca="1">_xlfn.LET(_xlpm.VAL, INDEX('Heat Sheet'!$A:$I, _xlfn.XMATCH(INDIRECT("A"&amp;ROW()),'Heat Sheet'!$A:$A), COLUMN()), IF(ISNA(_xlpm.VAL), "", IF(_xlpm.VAL=0, "", _xlpm.VAL)))</f>
        <v/>
      </c>
    </row>
    <row r="136" spans="1:9" ht="17" x14ac:dyDescent="0.2">
      <c r="A136" s="201"/>
      <c r="B136" s="202"/>
      <c r="C136" s="129" t="str" cm="1">
        <f t="array" aca="1" ref="C136" ca="1">_xlfn.LET(_xlpm.VAL, INDEX('Heat Sheet'!$A:$I, _xlfn.XMATCH(INDIRECT("A"&amp;ROW()-1),'Heat Sheet'!$A:$A)+1, COLUMN()), IF(ISNA(_xlpm.VAL), "", IF(_xlpm.VAL=0, "", _xlpm.VAL)))</f>
        <v/>
      </c>
      <c r="D136" s="154" t="str" cm="1">
        <f t="array" aca="1" ref="D136" ca="1">_xlfn.LET(_xlpm.VAL, INDEX('Heat Sheet'!$A:$I, _xlfn.XMATCH(INDIRECT("A"&amp;ROW()-1),'Heat Sheet'!$A:$A)+1, COLUMN()), IF(ISNA(_xlpm.VAL), "", IF(_xlpm.VAL=0, "", _xlpm.VAL)))</f>
        <v/>
      </c>
      <c r="E136" s="154" t="str" cm="1">
        <f t="array" aca="1" ref="E136" ca="1">_xlfn.LET(_xlpm.VAL, INDEX('Heat Sheet'!$A:$I, _xlfn.XMATCH(INDIRECT("A"&amp;ROW()-1),'Heat Sheet'!$A:$A)+1, COLUMN()), IF(ISNA(_xlpm.VAL), "", IF(_xlpm.VAL=0, "", _xlpm.VAL)))</f>
        <v/>
      </c>
      <c r="F136" s="154" t="str" cm="1">
        <f t="array" aca="1" ref="F136" ca="1">_xlfn.LET(_xlpm.VAL, INDEX('Heat Sheet'!$A:$I, _xlfn.XMATCH(INDIRECT("A"&amp;ROW()-1),'Heat Sheet'!$A:$A)+1, COLUMN()), IF(ISNA(_xlpm.VAL), "", IF(_xlpm.VAL=0, "", _xlpm.VAL)))</f>
        <v/>
      </c>
      <c r="G136" s="154" t="str" cm="1">
        <f t="array" aca="1" ref="G136" ca="1">_xlfn.LET(_xlpm.VAL, INDEX('Heat Sheet'!$A:$I, _xlfn.XMATCH(INDIRECT("A"&amp;ROW()-1),'Heat Sheet'!$A:$A)+1, COLUMN()), IF(ISNA(_xlpm.VAL), "", IF(_xlpm.VAL=0, "", _xlpm.VAL)))</f>
        <v/>
      </c>
      <c r="H136" s="154" t="str" cm="1">
        <f t="array" aca="1" ref="H136" ca="1">_xlfn.LET(_xlpm.VAL, INDEX('Heat Sheet'!$A:$I, _xlfn.XMATCH(INDIRECT("A"&amp;ROW()-1),'Heat Sheet'!$A:$A)+1, COLUMN()), IF(ISNA(_xlpm.VAL), "", IF(_xlpm.VAL=0, "", _xlpm.VAL)))</f>
        <v/>
      </c>
      <c r="I136" s="155" t="str" cm="1">
        <f t="array" aca="1" ref="I136" ca="1">_xlfn.LET(_xlpm.VAL, INDEX('Heat Sheet'!$A:$I, _xlfn.XMATCH(INDIRECT("A"&amp;ROW()-1),'Heat Sheet'!$A:$A)+1, COLUMN()), IF(ISNA(_xlpm.VAL), "", IF(_xlpm.VAL=0, "", _xlpm.VAL)))</f>
        <v/>
      </c>
    </row>
    <row r="137" spans="1:9" ht="16" x14ac:dyDescent="0.2">
      <c r="A137" s="201"/>
      <c r="B137" s="202"/>
      <c r="C137" s="122" t="s">
        <v>22</v>
      </c>
      <c r="D137" s="124"/>
      <c r="E137" s="124"/>
      <c r="F137" s="124"/>
      <c r="G137" s="124"/>
      <c r="H137" s="124"/>
      <c r="I137" s="126"/>
    </row>
    <row r="138" spans="1:9" ht="16" x14ac:dyDescent="0.2">
      <c r="A138" s="201"/>
      <c r="B138" s="202"/>
      <c r="C138" s="122" t="s">
        <v>23</v>
      </c>
      <c r="D138" s="158"/>
      <c r="E138" s="158"/>
      <c r="F138" s="158"/>
      <c r="G138" s="158"/>
      <c r="H138" s="158"/>
      <c r="I138" s="159"/>
    </row>
    <row r="139" spans="1:9" ht="17" x14ac:dyDescent="0.2">
      <c r="A139" s="201"/>
      <c r="B139" s="202"/>
      <c r="C139" s="26" t="s">
        <v>14</v>
      </c>
      <c r="D139" s="160"/>
      <c r="E139" s="160"/>
      <c r="F139" s="160"/>
      <c r="G139" s="160"/>
      <c r="H139" s="160"/>
      <c r="I139" s="161"/>
    </row>
    <row r="140" spans="1:9" ht="17" x14ac:dyDescent="0.2">
      <c r="A140" s="216">
        <v>28</v>
      </c>
      <c r="B140" s="202" t="str">
        <f>IFERROR(VLOOKUP(A140,'Heat Sheet'!$A:$I, 2, FALSE), "")</f>
        <v>11:15 AM</v>
      </c>
      <c r="C140" s="129" t="str" cm="1">
        <f t="array" aca="1" ref="C140" ca="1">_xlfn.LET(_xlpm.VAL, INDEX('Heat Sheet'!$A:$I, _xlfn.XMATCH(INDIRECT("A"&amp;ROW()),'Heat Sheet'!$A:$A), COLUMN()), IF(ISNA(_xlpm.VAL), "", IF(_xlpm.VAL=0, "", _xlpm.VAL)))</f>
        <v/>
      </c>
      <c r="D140" s="154" t="str" cm="1">
        <f t="array" aca="1" ref="D140" ca="1">_xlfn.LET(_xlpm.VAL, INDEX('Heat Sheet'!$A:$I, _xlfn.XMATCH(INDIRECT("A"&amp;ROW()),'Heat Sheet'!$A:$A), COLUMN()), IF(ISNA(_xlpm.VAL), "", IF(_xlpm.VAL=0, "", _xlpm.VAL)))</f>
        <v/>
      </c>
      <c r="E140" s="154" t="str" cm="1">
        <f t="array" aca="1" ref="E140" ca="1">_xlfn.LET(_xlpm.VAL, INDEX('Heat Sheet'!$A:$I, _xlfn.XMATCH(INDIRECT("A"&amp;ROW()),'Heat Sheet'!$A:$A), COLUMN()), IF(ISNA(_xlpm.VAL), "", IF(_xlpm.VAL=0, "", _xlpm.VAL)))</f>
        <v/>
      </c>
      <c r="F140" s="154" t="str" cm="1">
        <f t="array" aca="1" ref="F140" ca="1">_xlfn.LET(_xlpm.VAL, INDEX('Heat Sheet'!$A:$I, _xlfn.XMATCH(INDIRECT("A"&amp;ROW()),'Heat Sheet'!$A:$A), COLUMN()), IF(ISNA(_xlpm.VAL), "", IF(_xlpm.VAL=0, "", _xlpm.VAL)))</f>
        <v/>
      </c>
      <c r="G140" s="154" t="str" cm="1">
        <f t="array" aca="1" ref="G140" ca="1">_xlfn.LET(_xlpm.VAL, INDEX('Heat Sheet'!$A:$I, _xlfn.XMATCH(INDIRECT("A"&amp;ROW()),'Heat Sheet'!$A:$A), COLUMN()), IF(ISNA(_xlpm.VAL), "", IF(_xlpm.VAL=0, "", _xlpm.VAL)))</f>
        <v/>
      </c>
      <c r="H140" s="154" t="str" cm="1">
        <f t="array" aca="1" ref="H140" ca="1">_xlfn.LET(_xlpm.VAL, INDEX('Heat Sheet'!$A:$I, _xlfn.XMATCH(INDIRECT("A"&amp;ROW()),'Heat Sheet'!$A:$A), COLUMN()), IF(ISNA(_xlpm.VAL), "", IF(_xlpm.VAL=0, "", _xlpm.VAL)))</f>
        <v/>
      </c>
      <c r="I140" s="155" t="str" cm="1">
        <f t="array" aca="1" ref="I140" ca="1">_xlfn.LET(_xlpm.VAL, INDEX('Heat Sheet'!$A:$I, _xlfn.XMATCH(INDIRECT("A"&amp;ROW()),'Heat Sheet'!$A:$A), COLUMN()), IF(ISNA(_xlpm.VAL), "", IF(_xlpm.VAL=0, "", _xlpm.VAL)))</f>
        <v/>
      </c>
    </row>
    <row r="141" spans="1:9" ht="17" x14ac:dyDescent="0.2">
      <c r="A141" s="201"/>
      <c r="B141" s="202"/>
      <c r="C141" s="129" t="str" cm="1">
        <f t="array" aca="1" ref="C141" ca="1">_xlfn.LET(_xlpm.VAL, INDEX('Heat Sheet'!$A:$I, _xlfn.XMATCH(INDIRECT("A"&amp;ROW()-1),'Heat Sheet'!$A:$A)+1, COLUMN()), IF(ISNA(_xlpm.VAL), "", IF(_xlpm.VAL=0, "", _xlpm.VAL)))</f>
        <v/>
      </c>
      <c r="D141" s="154" t="str" cm="1">
        <f t="array" aca="1" ref="D141" ca="1">_xlfn.LET(_xlpm.VAL, INDEX('Heat Sheet'!$A:$I, _xlfn.XMATCH(INDIRECT("A"&amp;ROW()-1),'Heat Sheet'!$A:$A)+1, COLUMN()), IF(ISNA(_xlpm.VAL), "", IF(_xlpm.VAL=0, "", _xlpm.VAL)))</f>
        <v/>
      </c>
      <c r="E141" s="154" t="str" cm="1">
        <f t="array" aca="1" ref="E141" ca="1">_xlfn.LET(_xlpm.VAL, INDEX('Heat Sheet'!$A:$I, _xlfn.XMATCH(INDIRECT("A"&amp;ROW()-1),'Heat Sheet'!$A:$A)+1, COLUMN()), IF(ISNA(_xlpm.VAL), "", IF(_xlpm.VAL=0, "", _xlpm.VAL)))</f>
        <v/>
      </c>
      <c r="F141" s="154" t="str" cm="1">
        <f t="array" aca="1" ref="F141" ca="1">_xlfn.LET(_xlpm.VAL, INDEX('Heat Sheet'!$A:$I, _xlfn.XMATCH(INDIRECT("A"&amp;ROW()-1),'Heat Sheet'!$A:$A)+1, COLUMN()), IF(ISNA(_xlpm.VAL), "", IF(_xlpm.VAL=0, "", _xlpm.VAL)))</f>
        <v/>
      </c>
      <c r="G141" s="154" t="str" cm="1">
        <f t="array" aca="1" ref="G141" ca="1">_xlfn.LET(_xlpm.VAL, INDEX('Heat Sheet'!$A:$I, _xlfn.XMATCH(INDIRECT("A"&amp;ROW()-1),'Heat Sheet'!$A:$A)+1, COLUMN()), IF(ISNA(_xlpm.VAL), "", IF(_xlpm.VAL=0, "", _xlpm.VAL)))</f>
        <v/>
      </c>
      <c r="H141" s="154" t="str" cm="1">
        <f t="array" aca="1" ref="H141" ca="1">_xlfn.LET(_xlpm.VAL, INDEX('Heat Sheet'!$A:$I, _xlfn.XMATCH(INDIRECT("A"&amp;ROW()-1),'Heat Sheet'!$A:$A)+1, COLUMN()), IF(ISNA(_xlpm.VAL), "", IF(_xlpm.VAL=0, "", _xlpm.VAL)))</f>
        <v/>
      </c>
      <c r="I141" s="155" t="str" cm="1">
        <f t="array" aca="1" ref="I141" ca="1">_xlfn.LET(_xlpm.VAL, INDEX('Heat Sheet'!$A:$I, _xlfn.XMATCH(INDIRECT("A"&amp;ROW()-1),'Heat Sheet'!$A:$A)+1, COLUMN()), IF(ISNA(_xlpm.VAL), "", IF(_xlpm.VAL=0, "", _xlpm.VAL)))</f>
        <v/>
      </c>
    </row>
    <row r="142" spans="1:9" ht="18.5" customHeight="1" x14ac:dyDescent="0.2">
      <c r="A142" s="201"/>
      <c r="B142" s="202"/>
      <c r="C142" s="122" t="s">
        <v>22</v>
      </c>
      <c r="D142" s="124"/>
      <c r="E142" s="124"/>
      <c r="F142" s="124"/>
      <c r="G142" s="124"/>
      <c r="H142" s="124"/>
      <c r="I142" s="126"/>
    </row>
    <row r="143" spans="1:9" ht="16" x14ac:dyDescent="0.2">
      <c r="A143" s="201"/>
      <c r="B143" s="202"/>
      <c r="C143" s="122" t="s">
        <v>23</v>
      </c>
      <c r="D143" s="158"/>
      <c r="E143" s="158"/>
      <c r="F143" s="158"/>
      <c r="G143" s="158"/>
      <c r="H143" s="158"/>
      <c r="I143" s="159"/>
    </row>
    <row r="144" spans="1:9" ht="17" x14ac:dyDescent="0.2">
      <c r="A144" s="217"/>
      <c r="B144" s="202"/>
      <c r="C144" s="26" t="s">
        <v>14</v>
      </c>
      <c r="D144" s="160"/>
      <c r="E144" s="160"/>
      <c r="F144" s="160"/>
      <c r="G144" s="160"/>
      <c r="H144" s="160"/>
      <c r="I144" s="161"/>
    </row>
    <row r="145" spans="1:9" ht="17" x14ac:dyDescent="0.2">
      <c r="A145" s="201">
        <v>29</v>
      </c>
      <c r="B145" s="202" t="str">
        <f>IFERROR(VLOOKUP(A145,'Heat Sheet'!$A:$I, 2, FALSE), "")</f>
        <v>11:20 AM</v>
      </c>
      <c r="C145" s="129" t="str" cm="1">
        <f t="array" aca="1" ref="C145" ca="1">_xlfn.LET(_xlpm.VAL, INDEX('Heat Sheet'!$A:$I, _xlfn.XMATCH(INDIRECT("A"&amp;ROW()),'Heat Sheet'!$A:$A), COLUMN()), IF(ISNA(_xlpm.VAL), "", IF(_xlpm.VAL=0, "", _xlpm.VAL)))</f>
        <v/>
      </c>
      <c r="D145" s="154" t="str" cm="1">
        <f t="array" aca="1" ref="D145" ca="1">_xlfn.LET(_xlpm.VAL, INDEX('Heat Sheet'!$A:$I, _xlfn.XMATCH(INDIRECT("A"&amp;ROW()),'Heat Sheet'!$A:$A), COLUMN()), IF(ISNA(_xlpm.VAL), "", IF(_xlpm.VAL=0, "", _xlpm.VAL)))</f>
        <v/>
      </c>
      <c r="E145" s="154" t="str" cm="1">
        <f t="array" aca="1" ref="E145" ca="1">_xlfn.LET(_xlpm.VAL, INDEX('Heat Sheet'!$A:$I, _xlfn.XMATCH(INDIRECT("A"&amp;ROW()),'Heat Sheet'!$A:$A), COLUMN()), IF(ISNA(_xlpm.VAL), "", IF(_xlpm.VAL=0, "", _xlpm.VAL)))</f>
        <v/>
      </c>
      <c r="F145" s="154" t="str" cm="1">
        <f t="array" aca="1" ref="F145" ca="1">_xlfn.LET(_xlpm.VAL, INDEX('Heat Sheet'!$A:$I, _xlfn.XMATCH(INDIRECT("A"&amp;ROW()),'Heat Sheet'!$A:$A), COLUMN()), IF(ISNA(_xlpm.VAL), "", IF(_xlpm.VAL=0, "", _xlpm.VAL)))</f>
        <v/>
      </c>
      <c r="G145" s="154" t="str" cm="1">
        <f t="array" aca="1" ref="G145" ca="1">_xlfn.LET(_xlpm.VAL, INDEX('Heat Sheet'!$A:$I, _xlfn.XMATCH(INDIRECT("A"&amp;ROW()),'Heat Sheet'!$A:$A), COLUMN()), IF(ISNA(_xlpm.VAL), "", IF(_xlpm.VAL=0, "", _xlpm.VAL)))</f>
        <v/>
      </c>
      <c r="H145" s="154" t="str" cm="1">
        <f t="array" aca="1" ref="H145" ca="1">_xlfn.LET(_xlpm.VAL, INDEX('Heat Sheet'!$A:$I, _xlfn.XMATCH(INDIRECT("A"&amp;ROW()),'Heat Sheet'!$A:$A), COLUMN()), IF(ISNA(_xlpm.VAL), "", IF(_xlpm.VAL=0, "", _xlpm.VAL)))</f>
        <v/>
      </c>
      <c r="I145" s="155" t="str" cm="1">
        <f t="array" aca="1" ref="I145" ca="1">_xlfn.LET(_xlpm.VAL, INDEX('Heat Sheet'!$A:$I, _xlfn.XMATCH(INDIRECT("A"&amp;ROW()),'Heat Sheet'!$A:$A), COLUMN()), IF(ISNA(_xlpm.VAL), "", IF(_xlpm.VAL=0, "", _xlpm.VAL)))</f>
        <v/>
      </c>
    </row>
    <row r="146" spans="1:9" ht="17" x14ac:dyDescent="0.2">
      <c r="A146" s="201"/>
      <c r="B146" s="202"/>
      <c r="C146" s="129" t="str" cm="1">
        <f t="array" aca="1" ref="C146" ca="1">_xlfn.LET(_xlpm.VAL, INDEX('Heat Sheet'!$A:$I, _xlfn.XMATCH(INDIRECT("A"&amp;ROW()-1),'Heat Sheet'!$A:$A)+1, COLUMN()), IF(ISNA(_xlpm.VAL), "", IF(_xlpm.VAL=0, "", _xlpm.VAL)))</f>
        <v/>
      </c>
      <c r="D146" s="154" t="str" cm="1">
        <f t="array" aca="1" ref="D146" ca="1">_xlfn.LET(_xlpm.VAL, INDEX('Heat Sheet'!$A:$I, _xlfn.XMATCH(INDIRECT("A"&amp;ROW()-1),'Heat Sheet'!$A:$A)+1, COLUMN()), IF(ISNA(_xlpm.VAL), "", IF(_xlpm.VAL=0, "", _xlpm.VAL)))</f>
        <v/>
      </c>
      <c r="E146" s="154" t="str" cm="1">
        <f t="array" aca="1" ref="E146" ca="1">_xlfn.LET(_xlpm.VAL, INDEX('Heat Sheet'!$A:$I, _xlfn.XMATCH(INDIRECT("A"&amp;ROW()-1),'Heat Sheet'!$A:$A)+1, COLUMN()), IF(ISNA(_xlpm.VAL), "", IF(_xlpm.VAL=0, "", _xlpm.VAL)))</f>
        <v/>
      </c>
      <c r="F146" s="154" t="str" cm="1">
        <f t="array" aca="1" ref="F146" ca="1">_xlfn.LET(_xlpm.VAL, INDEX('Heat Sheet'!$A:$I, _xlfn.XMATCH(INDIRECT("A"&amp;ROW()-1),'Heat Sheet'!$A:$A)+1, COLUMN()), IF(ISNA(_xlpm.VAL), "", IF(_xlpm.VAL=0, "", _xlpm.VAL)))</f>
        <v/>
      </c>
      <c r="G146" s="154" t="str" cm="1">
        <f t="array" aca="1" ref="G146" ca="1">_xlfn.LET(_xlpm.VAL, INDEX('Heat Sheet'!$A:$I, _xlfn.XMATCH(INDIRECT("A"&amp;ROW()-1),'Heat Sheet'!$A:$A)+1, COLUMN()), IF(ISNA(_xlpm.VAL), "", IF(_xlpm.VAL=0, "", _xlpm.VAL)))</f>
        <v/>
      </c>
      <c r="H146" s="154" t="str" cm="1">
        <f t="array" aca="1" ref="H146" ca="1">_xlfn.LET(_xlpm.VAL, INDEX('Heat Sheet'!$A:$I, _xlfn.XMATCH(INDIRECT("A"&amp;ROW()-1),'Heat Sheet'!$A:$A)+1, COLUMN()), IF(ISNA(_xlpm.VAL), "", IF(_xlpm.VAL=0, "", _xlpm.VAL)))</f>
        <v/>
      </c>
      <c r="I146" s="155" t="str" cm="1">
        <f t="array" aca="1" ref="I146" ca="1">_xlfn.LET(_xlpm.VAL, INDEX('Heat Sheet'!$A:$I, _xlfn.XMATCH(INDIRECT("A"&amp;ROW()-1),'Heat Sheet'!$A:$A)+1, COLUMN()), IF(ISNA(_xlpm.VAL), "", IF(_xlpm.VAL=0, "", _xlpm.VAL)))</f>
        <v/>
      </c>
    </row>
    <row r="147" spans="1:9" ht="16" x14ac:dyDescent="0.2">
      <c r="A147" s="201"/>
      <c r="B147" s="202"/>
      <c r="C147" s="122" t="s">
        <v>22</v>
      </c>
      <c r="D147" s="124"/>
      <c r="E147" s="124"/>
      <c r="F147" s="124"/>
      <c r="G147" s="124"/>
      <c r="H147" s="124"/>
      <c r="I147" s="126"/>
    </row>
    <row r="148" spans="1:9" ht="18.5" customHeight="1" x14ac:dyDescent="0.2">
      <c r="A148" s="201"/>
      <c r="B148" s="202"/>
      <c r="C148" s="122" t="s">
        <v>23</v>
      </c>
      <c r="D148" s="158"/>
      <c r="E148" s="158"/>
      <c r="F148" s="158"/>
      <c r="G148" s="158"/>
      <c r="H148" s="158"/>
      <c r="I148" s="159"/>
    </row>
    <row r="149" spans="1:9" ht="17" x14ac:dyDescent="0.2">
      <c r="A149" s="201"/>
      <c r="B149" s="202"/>
      <c r="C149" s="26" t="s">
        <v>14</v>
      </c>
      <c r="D149" s="160"/>
      <c r="E149" s="160"/>
      <c r="F149" s="160"/>
      <c r="G149" s="160"/>
      <c r="H149" s="160"/>
      <c r="I149" s="161"/>
    </row>
    <row r="150" spans="1:9" ht="17" x14ac:dyDescent="0.2">
      <c r="A150" s="216">
        <v>30</v>
      </c>
      <c r="B150" s="202" t="str">
        <f>IFERROR(VLOOKUP(A150,'Heat Sheet'!$A:$I, 2, FALSE), "")</f>
        <v>11:25 AM</v>
      </c>
      <c r="C150" s="129" t="str" cm="1">
        <f t="array" aca="1" ref="C150" ca="1">_xlfn.LET(_xlpm.VAL, INDEX('Heat Sheet'!$A:$I, _xlfn.XMATCH(INDIRECT("A"&amp;ROW()),'Heat Sheet'!$A:$A), COLUMN()), IF(ISNA(_xlpm.VAL), "", IF(_xlpm.VAL=0, "", _xlpm.VAL)))</f>
        <v/>
      </c>
      <c r="D150" s="154" t="str" cm="1">
        <f t="array" aca="1" ref="D150" ca="1">_xlfn.LET(_xlpm.VAL, INDEX('Heat Sheet'!$A:$I, _xlfn.XMATCH(INDIRECT("A"&amp;ROW()),'Heat Sheet'!$A:$A), COLUMN()), IF(ISNA(_xlpm.VAL), "", IF(_xlpm.VAL=0, "", _xlpm.VAL)))</f>
        <v/>
      </c>
      <c r="E150" s="154" t="str" cm="1">
        <f t="array" aca="1" ref="E150" ca="1">_xlfn.LET(_xlpm.VAL, INDEX('Heat Sheet'!$A:$I, _xlfn.XMATCH(INDIRECT("A"&amp;ROW()),'Heat Sheet'!$A:$A), COLUMN()), IF(ISNA(_xlpm.VAL), "", IF(_xlpm.VAL=0, "", _xlpm.VAL)))</f>
        <v/>
      </c>
      <c r="F150" s="154" t="str" cm="1">
        <f t="array" aca="1" ref="F150" ca="1">_xlfn.LET(_xlpm.VAL, INDEX('Heat Sheet'!$A:$I, _xlfn.XMATCH(INDIRECT("A"&amp;ROW()),'Heat Sheet'!$A:$A), COLUMN()), IF(ISNA(_xlpm.VAL), "", IF(_xlpm.VAL=0, "", _xlpm.VAL)))</f>
        <v/>
      </c>
      <c r="G150" s="154" t="str" cm="1">
        <f t="array" aca="1" ref="G150" ca="1">_xlfn.LET(_xlpm.VAL, INDEX('Heat Sheet'!$A:$I, _xlfn.XMATCH(INDIRECT("A"&amp;ROW()),'Heat Sheet'!$A:$A), COLUMN()), IF(ISNA(_xlpm.VAL), "", IF(_xlpm.VAL=0, "", _xlpm.VAL)))</f>
        <v/>
      </c>
      <c r="H150" s="154" t="str" cm="1">
        <f t="array" aca="1" ref="H150" ca="1">_xlfn.LET(_xlpm.VAL, INDEX('Heat Sheet'!$A:$I, _xlfn.XMATCH(INDIRECT("A"&amp;ROW()),'Heat Sheet'!$A:$A), COLUMN()), IF(ISNA(_xlpm.VAL), "", IF(_xlpm.VAL=0, "", _xlpm.VAL)))</f>
        <v/>
      </c>
      <c r="I150" s="155" t="str" cm="1">
        <f t="array" aca="1" ref="I150" ca="1">_xlfn.LET(_xlpm.VAL, INDEX('Heat Sheet'!$A:$I, _xlfn.XMATCH(INDIRECT("A"&amp;ROW()),'Heat Sheet'!$A:$A), COLUMN()), IF(ISNA(_xlpm.VAL), "", IF(_xlpm.VAL=0, "", _xlpm.VAL)))</f>
        <v/>
      </c>
    </row>
    <row r="151" spans="1:9" ht="17" x14ac:dyDescent="0.2">
      <c r="A151" s="201"/>
      <c r="B151" s="202"/>
      <c r="C151" s="129" t="str" cm="1">
        <f t="array" aca="1" ref="C151" ca="1">_xlfn.LET(_xlpm.VAL, INDEX('Heat Sheet'!$A:$I, _xlfn.XMATCH(INDIRECT("A"&amp;ROW()-1),'Heat Sheet'!$A:$A)+1, COLUMN()), IF(ISNA(_xlpm.VAL), "", IF(_xlpm.VAL=0, "", _xlpm.VAL)))</f>
        <v/>
      </c>
      <c r="D151" s="154" t="str" cm="1">
        <f t="array" aca="1" ref="D151" ca="1">_xlfn.LET(_xlpm.VAL, INDEX('Heat Sheet'!$A:$I, _xlfn.XMATCH(INDIRECT("A"&amp;ROW()-1),'Heat Sheet'!$A:$A)+1, COLUMN()), IF(ISNA(_xlpm.VAL), "", IF(_xlpm.VAL=0, "", _xlpm.VAL)))</f>
        <v/>
      </c>
      <c r="E151" s="154" t="str" cm="1">
        <f t="array" aca="1" ref="E151" ca="1">_xlfn.LET(_xlpm.VAL, INDEX('Heat Sheet'!$A:$I, _xlfn.XMATCH(INDIRECT("A"&amp;ROW()-1),'Heat Sheet'!$A:$A)+1, COLUMN()), IF(ISNA(_xlpm.VAL), "", IF(_xlpm.VAL=0, "", _xlpm.VAL)))</f>
        <v/>
      </c>
      <c r="F151" s="154" t="str" cm="1">
        <f t="array" aca="1" ref="F151" ca="1">_xlfn.LET(_xlpm.VAL, INDEX('Heat Sheet'!$A:$I, _xlfn.XMATCH(INDIRECT("A"&amp;ROW()-1),'Heat Sheet'!$A:$A)+1, COLUMN()), IF(ISNA(_xlpm.VAL), "", IF(_xlpm.VAL=0, "", _xlpm.VAL)))</f>
        <v/>
      </c>
      <c r="G151" s="154" t="str" cm="1">
        <f t="array" aca="1" ref="G151" ca="1">_xlfn.LET(_xlpm.VAL, INDEX('Heat Sheet'!$A:$I, _xlfn.XMATCH(INDIRECT("A"&amp;ROW()-1),'Heat Sheet'!$A:$A)+1, COLUMN()), IF(ISNA(_xlpm.VAL), "", IF(_xlpm.VAL=0, "", _xlpm.VAL)))</f>
        <v/>
      </c>
      <c r="H151" s="154" t="str" cm="1">
        <f t="array" aca="1" ref="H151" ca="1">_xlfn.LET(_xlpm.VAL, INDEX('Heat Sheet'!$A:$I, _xlfn.XMATCH(INDIRECT("A"&amp;ROW()-1),'Heat Sheet'!$A:$A)+1, COLUMN()), IF(ISNA(_xlpm.VAL), "", IF(_xlpm.VAL=0, "", _xlpm.VAL)))</f>
        <v/>
      </c>
      <c r="I151" s="155" t="str" cm="1">
        <f t="array" aca="1" ref="I151" ca="1">_xlfn.LET(_xlpm.VAL, INDEX('Heat Sheet'!$A:$I, _xlfn.XMATCH(INDIRECT("A"&amp;ROW()-1),'Heat Sheet'!$A:$A)+1, COLUMN()), IF(ISNA(_xlpm.VAL), "", IF(_xlpm.VAL=0, "", _xlpm.VAL)))</f>
        <v/>
      </c>
    </row>
    <row r="152" spans="1:9" ht="16" x14ac:dyDescent="0.2">
      <c r="A152" s="201"/>
      <c r="B152" s="202"/>
      <c r="C152" s="122" t="s">
        <v>22</v>
      </c>
      <c r="D152" s="124"/>
      <c r="E152" s="124"/>
      <c r="F152" s="124"/>
      <c r="G152" s="124"/>
      <c r="H152" s="124"/>
      <c r="I152" s="126"/>
    </row>
    <row r="153" spans="1:9" ht="16" x14ac:dyDescent="0.2">
      <c r="A153" s="201"/>
      <c r="B153" s="202"/>
      <c r="C153" s="122" t="s">
        <v>23</v>
      </c>
      <c r="D153" s="158"/>
      <c r="E153" s="158"/>
      <c r="F153" s="158"/>
      <c r="G153" s="158"/>
      <c r="H153" s="158"/>
      <c r="I153" s="159"/>
    </row>
    <row r="154" spans="1:9" ht="18.5" customHeight="1" x14ac:dyDescent="0.2">
      <c r="A154" s="201"/>
      <c r="B154" s="202"/>
      <c r="C154" s="26" t="s">
        <v>14</v>
      </c>
      <c r="D154" s="160"/>
      <c r="E154" s="160"/>
      <c r="F154" s="160"/>
      <c r="G154" s="160"/>
      <c r="H154" s="160"/>
      <c r="I154" s="161"/>
    </row>
    <row r="155" spans="1:9" ht="16" customHeight="1" x14ac:dyDescent="0.2">
      <c r="A155" s="219">
        <v>31</v>
      </c>
      <c r="B155" s="202" t="str">
        <f>IFERROR(VLOOKUP(A155,'Heat Sheet'!$A:$I, 2, FALSE), "")</f>
        <v>11:30 AM</v>
      </c>
      <c r="C155" s="129" t="str" cm="1">
        <f t="array" aca="1" ref="C155" ca="1">_xlfn.LET(_xlpm.VAL, INDEX('Heat Sheet'!$A:$I, _xlfn.XMATCH(INDIRECT("A"&amp;ROW()),'Heat Sheet'!$A:$A), COLUMN()), IF(ISNA(_xlpm.VAL), "", IF(_xlpm.VAL=0, "", _xlpm.VAL)))</f>
        <v/>
      </c>
      <c r="D155" s="154" t="str" cm="1">
        <f t="array" aca="1" ref="D155" ca="1">_xlfn.LET(_xlpm.VAL, INDEX('Heat Sheet'!$A:$I, _xlfn.XMATCH(INDIRECT("A"&amp;ROW()),'Heat Sheet'!$A:$A), COLUMN()), IF(ISNA(_xlpm.VAL), "", IF(_xlpm.VAL=0, "", _xlpm.VAL)))</f>
        <v/>
      </c>
      <c r="E155" s="154" t="str" cm="1">
        <f t="array" aca="1" ref="E155" ca="1">_xlfn.LET(_xlpm.VAL, INDEX('Heat Sheet'!$A:$I, _xlfn.XMATCH(INDIRECT("A"&amp;ROW()),'Heat Sheet'!$A:$A), COLUMN()), IF(ISNA(_xlpm.VAL), "", IF(_xlpm.VAL=0, "", _xlpm.VAL)))</f>
        <v/>
      </c>
      <c r="F155" s="154" t="str" cm="1">
        <f t="array" aca="1" ref="F155" ca="1">_xlfn.LET(_xlpm.VAL, INDEX('Heat Sheet'!$A:$I, _xlfn.XMATCH(INDIRECT("A"&amp;ROW()),'Heat Sheet'!$A:$A), COLUMN()), IF(ISNA(_xlpm.VAL), "", IF(_xlpm.VAL=0, "", _xlpm.VAL)))</f>
        <v/>
      </c>
      <c r="G155" s="154" t="str" cm="1">
        <f t="array" aca="1" ref="G155" ca="1">_xlfn.LET(_xlpm.VAL, INDEX('Heat Sheet'!$A:$I, _xlfn.XMATCH(INDIRECT("A"&amp;ROW()),'Heat Sheet'!$A:$A), COLUMN()), IF(ISNA(_xlpm.VAL), "", IF(_xlpm.VAL=0, "", _xlpm.VAL)))</f>
        <v/>
      </c>
      <c r="H155" s="154" t="str" cm="1">
        <f t="array" aca="1" ref="H155" ca="1">_xlfn.LET(_xlpm.VAL, INDEX('Heat Sheet'!$A:$I, _xlfn.XMATCH(INDIRECT("A"&amp;ROW()),'Heat Sheet'!$A:$A), COLUMN()), IF(ISNA(_xlpm.VAL), "", IF(_xlpm.VAL=0, "", _xlpm.VAL)))</f>
        <v/>
      </c>
      <c r="I155" s="155" t="str" cm="1">
        <f t="array" aca="1" ref="I155" ca="1">_xlfn.LET(_xlpm.VAL, INDEX('Heat Sheet'!$A:$I, _xlfn.XMATCH(INDIRECT("A"&amp;ROW()),'Heat Sheet'!$A:$A), COLUMN()), IF(ISNA(_xlpm.VAL), "", IF(_xlpm.VAL=0, "", _xlpm.VAL)))</f>
        <v/>
      </c>
    </row>
    <row r="156" spans="1:9" ht="16" customHeight="1" x14ac:dyDescent="0.2">
      <c r="A156" s="218"/>
      <c r="B156" s="202"/>
      <c r="C156" s="129" t="str" cm="1">
        <f t="array" aca="1" ref="C156" ca="1">_xlfn.LET(_xlpm.VAL, INDEX('Heat Sheet'!$A:$I, _xlfn.XMATCH(INDIRECT("A"&amp;ROW()-1),'Heat Sheet'!$A:$A)+1, COLUMN()), IF(ISNA(_xlpm.VAL), "", IF(_xlpm.VAL=0, "", _xlpm.VAL)))</f>
        <v/>
      </c>
      <c r="D156" s="154" t="str" cm="1">
        <f t="array" aca="1" ref="D156" ca="1">_xlfn.LET(_xlpm.VAL, INDEX('Heat Sheet'!$A:$I, _xlfn.XMATCH(INDIRECT("A"&amp;ROW()-1),'Heat Sheet'!$A:$A)+1, COLUMN()), IF(ISNA(_xlpm.VAL), "", IF(_xlpm.VAL=0, "", _xlpm.VAL)))</f>
        <v/>
      </c>
      <c r="E156" s="154" t="str" cm="1">
        <f t="array" aca="1" ref="E156" ca="1">_xlfn.LET(_xlpm.VAL, INDEX('Heat Sheet'!$A:$I, _xlfn.XMATCH(INDIRECT("A"&amp;ROW()-1),'Heat Sheet'!$A:$A)+1, COLUMN()), IF(ISNA(_xlpm.VAL), "", IF(_xlpm.VAL=0, "", _xlpm.VAL)))</f>
        <v/>
      </c>
      <c r="F156" s="154" t="str" cm="1">
        <f t="array" aca="1" ref="F156" ca="1">_xlfn.LET(_xlpm.VAL, INDEX('Heat Sheet'!$A:$I, _xlfn.XMATCH(INDIRECT("A"&amp;ROW()-1),'Heat Sheet'!$A:$A)+1, COLUMN()), IF(ISNA(_xlpm.VAL), "", IF(_xlpm.VAL=0, "", _xlpm.VAL)))</f>
        <v/>
      </c>
      <c r="G156" s="154" t="str" cm="1">
        <f t="array" aca="1" ref="G156" ca="1">_xlfn.LET(_xlpm.VAL, INDEX('Heat Sheet'!$A:$I, _xlfn.XMATCH(INDIRECT("A"&amp;ROW()-1),'Heat Sheet'!$A:$A)+1, COLUMN()), IF(ISNA(_xlpm.VAL), "", IF(_xlpm.VAL=0, "", _xlpm.VAL)))</f>
        <v/>
      </c>
      <c r="H156" s="154" t="str" cm="1">
        <f t="array" aca="1" ref="H156" ca="1">_xlfn.LET(_xlpm.VAL, INDEX('Heat Sheet'!$A:$I, _xlfn.XMATCH(INDIRECT("A"&amp;ROW()-1),'Heat Sheet'!$A:$A)+1, COLUMN()), IF(ISNA(_xlpm.VAL), "", IF(_xlpm.VAL=0, "", _xlpm.VAL)))</f>
        <v/>
      </c>
      <c r="I156" s="155" t="str" cm="1">
        <f t="array" aca="1" ref="I156" ca="1">_xlfn.LET(_xlpm.VAL, INDEX('Heat Sheet'!$A:$I, _xlfn.XMATCH(INDIRECT("A"&amp;ROW()-1),'Heat Sheet'!$A:$A)+1, COLUMN()), IF(ISNA(_xlpm.VAL), "", IF(_xlpm.VAL=0, "", _xlpm.VAL)))</f>
        <v/>
      </c>
    </row>
    <row r="157" spans="1:9" ht="16" customHeight="1" x14ac:dyDescent="0.2">
      <c r="A157" s="218"/>
      <c r="B157" s="202"/>
      <c r="C157" s="122" t="s">
        <v>22</v>
      </c>
      <c r="D157" s="124"/>
      <c r="E157" s="124"/>
      <c r="F157" s="124"/>
      <c r="G157" s="124"/>
      <c r="H157" s="124"/>
      <c r="I157" s="126"/>
    </row>
    <row r="158" spans="1:9" ht="16" customHeight="1" x14ac:dyDescent="0.2">
      <c r="A158" s="218"/>
      <c r="B158" s="202"/>
      <c r="C158" s="122" t="s">
        <v>23</v>
      </c>
      <c r="D158" s="158"/>
      <c r="E158" s="158"/>
      <c r="F158" s="158"/>
      <c r="G158" s="158"/>
      <c r="H158" s="158"/>
      <c r="I158" s="159"/>
    </row>
    <row r="159" spans="1:9" ht="18.5" customHeight="1" x14ac:dyDescent="0.2">
      <c r="A159" s="218"/>
      <c r="B159" s="202"/>
      <c r="C159" s="26" t="s">
        <v>14</v>
      </c>
      <c r="D159" s="160"/>
      <c r="E159" s="160"/>
      <c r="F159" s="160"/>
      <c r="G159" s="160"/>
      <c r="H159" s="160"/>
      <c r="I159" s="161"/>
    </row>
    <row r="160" spans="1:9" ht="16" customHeight="1" x14ac:dyDescent="0.2">
      <c r="A160" s="201">
        <v>32</v>
      </c>
      <c r="B160" s="202" t="str">
        <f>IFERROR(VLOOKUP(A160,'Heat Sheet'!$A:$I, 2, FALSE), "")</f>
        <v>11:35 AM</v>
      </c>
      <c r="C160" s="129" t="str" cm="1">
        <f t="array" aca="1" ref="C160" ca="1">_xlfn.LET(_xlpm.VAL, INDEX('Heat Sheet'!$A:$I, _xlfn.XMATCH(INDIRECT("A"&amp;ROW()),'Heat Sheet'!$A:$A), COLUMN()), IF(ISNA(_xlpm.VAL), "", IF(_xlpm.VAL=0, "", _xlpm.VAL)))</f>
        <v/>
      </c>
      <c r="D160" s="154" t="str" cm="1">
        <f t="array" aca="1" ref="D160" ca="1">_xlfn.LET(_xlpm.VAL, INDEX('Heat Sheet'!$A:$I, _xlfn.XMATCH(INDIRECT("A"&amp;ROW()),'Heat Sheet'!$A:$A), COLUMN()), IF(ISNA(_xlpm.VAL), "", IF(_xlpm.VAL=0, "", _xlpm.VAL)))</f>
        <v/>
      </c>
      <c r="E160" s="154" t="str" cm="1">
        <f t="array" aca="1" ref="E160" ca="1">_xlfn.LET(_xlpm.VAL, INDEX('Heat Sheet'!$A:$I, _xlfn.XMATCH(INDIRECT("A"&amp;ROW()),'Heat Sheet'!$A:$A), COLUMN()), IF(ISNA(_xlpm.VAL), "", IF(_xlpm.VAL=0, "", _xlpm.VAL)))</f>
        <v/>
      </c>
      <c r="F160" s="154" t="str" cm="1">
        <f t="array" aca="1" ref="F160" ca="1">_xlfn.LET(_xlpm.VAL, INDEX('Heat Sheet'!$A:$I, _xlfn.XMATCH(INDIRECT("A"&amp;ROW()),'Heat Sheet'!$A:$A), COLUMN()), IF(ISNA(_xlpm.VAL), "", IF(_xlpm.VAL=0, "", _xlpm.VAL)))</f>
        <v/>
      </c>
      <c r="G160" s="154" t="str" cm="1">
        <f t="array" aca="1" ref="G160" ca="1">_xlfn.LET(_xlpm.VAL, INDEX('Heat Sheet'!$A:$I, _xlfn.XMATCH(INDIRECT("A"&amp;ROW()),'Heat Sheet'!$A:$A), COLUMN()), IF(ISNA(_xlpm.VAL), "", IF(_xlpm.VAL=0, "", _xlpm.VAL)))</f>
        <v/>
      </c>
      <c r="H160" s="154" t="str" cm="1">
        <f t="array" aca="1" ref="H160" ca="1">_xlfn.LET(_xlpm.VAL, INDEX('Heat Sheet'!$A:$I, _xlfn.XMATCH(INDIRECT("A"&amp;ROW()),'Heat Sheet'!$A:$A), COLUMN()), IF(ISNA(_xlpm.VAL), "", IF(_xlpm.VAL=0, "", _xlpm.VAL)))</f>
        <v/>
      </c>
      <c r="I160" s="155" t="str" cm="1">
        <f t="array" aca="1" ref="I160" ca="1">_xlfn.LET(_xlpm.VAL, INDEX('Heat Sheet'!$A:$I, _xlfn.XMATCH(INDIRECT("A"&amp;ROW()),'Heat Sheet'!$A:$A), COLUMN()), IF(ISNA(_xlpm.VAL), "", IF(_xlpm.VAL=0, "", _xlpm.VAL)))</f>
        <v/>
      </c>
    </row>
    <row r="161" spans="1:9" ht="16" customHeight="1" x14ac:dyDescent="0.2">
      <c r="A161" s="201"/>
      <c r="B161" s="202"/>
      <c r="C161" s="129" t="str" cm="1">
        <f t="array" aca="1" ref="C161" ca="1">_xlfn.LET(_xlpm.VAL, INDEX('Heat Sheet'!$A:$I, _xlfn.XMATCH(INDIRECT("A"&amp;ROW()-1),'Heat Sheet'!$A:$A)+1, COLUMN()), IF(ISNA(_xlpm.VAL), "", IF(_xlpm.VAL=0, "", _xlpm.VAL)))</f>
        <v/>
      </c>
      <c r="D161" s="154" t="str" cm="1">
        <f t="array" aca="1" ref="D161" ca="1">_xlfn.LET(_xlpm.VAL, INDEX('Heat Sheet'!$A:$I, _xlfn.XMATCH(INDIRECT("A"&amp;ROW()-1),'Heat Sheet'!$A:$A)+1, COLUMN()), IF(ISNA(_xlpm.VAL), "", IF(_xlpm.VAL=0, "", _xlpm.VAL)))</f>
        <v/>
      </c>
      <c r="E161" s="154" t="str" cm="1">
        <f t="array" aca="1" ref="E161" ca="1">_xlfn.LET(_xlpm.VAL, INDEX('Heat Sheet'!$A:$I, _xlfn.XMATCH(INDIRECT("A"&amp;ROW()-1),'Heat Sheet'!$A:$A)+1, COLUMN()), IF(ISNA(_xlpm.VAL), "", IF(_xlpm.VAL=0, "", _xlpm.VAL)))</f>
        <v/>
      </c>
      <c r="F161" s="154" t="str" cm="1">
        <f t="array" aca="1" ref="F161" ca="1">_xlfn.LET(_xlpm.VAL, INDEX('Heat Sheet'!$A:$I, _xlfn.XMATCH(INDIRECT("A"&amp;ROW()-1),'Heat Sheet'!$A:$A)+1, COLUMN()), IF(ISNA(_xlpm.VAL), "", IF(_xlpm.VAL=0, "", _xlpm.VAL)))</f>
        <v/>
      </c>
      <c r="G161" s="154" t="str" cm="1">
        <f t="array" aca="1" ref="G161" ca="1">_xlfn.LET(_xlpm.VAL, INDEX('Heat Sheet'!$A:$I, _xlfn.XMATCH(INDIRECT("A"&amp;ROW()-1),'Heat Sheet'!$A:$A)+1, COLUMN()), IF(ISNA(_xlpm.VAL), "", IF(_xlpm.VAL=0, "", _xlpm.VAL)))</f>
        <v/>
      </c>
      <c r="H161" s="154" t="str" cm="1">
        <f t="array" aca="1" ref="H161" ca="1">_xlfn.LET(_xlpm.VAL, INDEX('Heat Sheet'!$A:$I, _xlfn.XMATCH(INDIRECT("A"&amp;ROW()-1),'Heat Sheet'!$A:$A)+1, COLUMN()), IF(ISNA(_xlpm.VAL), "", IF(_xlpm.VAL=0, "", _xlpm.VAL)))</f>
        <v/>
      </c>
      <c r="I161" s="155" t="str" cm="1">
        <f t="array" aca="1" ref="I161" ca="1">_xlfn.LET(_xlpm.VAL, INDEX('Heat Sheet'!$A:$I, _xlfn.XMATCH(INDIRECT("A"&amp;ROW()-1),'Heat Sheet'!$A:$A)+1, COLUMN()), IF(ISNA(_xlpm.VAL), "", IF(_xlpm.VAL=0, "", _xlpm.VAL)))</f>
        <v/>
      </c>
    </row>
    <row r="162" spans="1:9" ht="16" customHeight="1" x14ac:dyDescent="0.2">
      <c r="A162" s="201"/>
      <c r="B162" s="202"/>
      <c r="C162" s="122" t="s">
        <v>22</v>
      </c>
      <c r="D162" s="124"/>
      <c r="E162" s="124"/>
      <c r="F162" s="124"/>
      <c r="G162" s="124"/>
      <c r="H162" s="124"/>
      <c r="I162" s="126"/>
    </row>
    <row r="163" spans="1:9" ht="16" customHeight="1" x14ac:dyDescent="0.2">
      <c r="A163" s="201"/>
      <c r="B163" s="202"/>
      <c r="C163" s="122" t="s">
        <v>23</v>
      </c>
      <c r="D163" s="158"/>
      <c r="E163" s="158"/>
      <c r="F163" s="158"/>
      <c r="G163" s="158"/>
      <c r="H163" s="158"/>
      <c r="I163" s="159"/>
    </row>
    <row r="164" spans="1:9" ht="18.5" customHeight="1" x14ac:dyDescent="0.2">
      <c r="A164" s="201"/>
      <c r="B164" s="202"/>
      <c r="C164" s="26" t="s">
        <v>14</v>
      </c>
      <c r="D164" s="160"/>
      <c r="E164" s="160"/>
      <c r="F164" s="160"/>
      <c r="G164" s="160"/>
      <c r="H164" s="160"/>
      <c r="I164" s="161"/>
    </row>
    <row r="165" spans="1:9" ht="17" x14ac:dyDescent="0.2">
      <c r="A165" s="218">
        <v>33</v>
      </c>
      <c r="B165" s="202" t="str">
        <f>IFERROR(VLOOKUP(A165,'Heat Sheet'!$A:$I, 2, FALSE), "")</f>
        <v>11:40 AM</v>
      </c>
      <c r="C165" s="129" t="str" cm="1">
        <f t="array" aca="1" ref="C165" ca="1">_xlfn.LET(_xlpm.VAL, INDEX('Heat Sheet'!$A:$I, _xlfn.XMATCH(INDIRECT("A"&amp;ROW()),'Heat Sheet'!$A:$A), COLUMN()), IF(ISNA(_xlpm.VAL), "", IF(_xlpm.VAL=0, "", _xlpm.VAL)))</f>
        <v/>
      </c>
      <c r="D165" s="154" t="str" cm="1">
        <f t="array" aca="1" ref="D165" ca="1">_xlfn.LET(_xlpm.VAL, INDEX('Heat Sheet'!$A:$I, _xlfn.XMATCH(INDIRECT("A"&amp;ROW()),'Heat Sheet'!$A:$A), COLUMN()), IF(ISNA(_xlpm.VAL), "", IF(_xlpm.VAL=0, "", _xlpm.VAL)))</f>
        <v/>
      </c>
      <c r="E165" s="154" t="str" cm="1">
        <f t="array" aca="1" ref="E165" ca="1">_xlfn.LET(_xlpm.VAL, INDEX('Heat Sheet'!$A:$I, _xlfn.XMATCH(INDIRECT("A"&amp;ROW()),'Heat Sheet'!$A:$A), COLUMN()), IF(ISNA(_xlpm.VAL), "", IF(_xlpm.VAL=0, "", _xlpm.VAL)))</f>
        <v/>
      </c>
      <c r="F165" s="154" t="str" cm="1">
        <f t="array" aca="1" ref="F165" ca="1">_xlfn.LET(_xlpm.VAL, INDEX('Heat Sheet'!$A:$I, _xlfn.XMATCH(INDIRECT("A"&amp;ROW()),'Heat Sheet'!$A:$A), COLUMN()), IF(ISNA(_xlpm.VAL), "", IF(_xlpm.VAL=0, "", _xlpm.VAL)))</f>
        <v/>
      </c>
      <c r="G165" s="154" t="str" cm="1">
        <f t="array" aca="1" ref="G165" ca="1">_xlfn.LET(_xlpm.VAL, INDEX('Heat Sheet'!$A:$I, _xlfn.XMATCH(INDIRECT("A"&amp;ROW()),'Heat Sheet'!$A:$A), COLUMN()), IF(ISNA(_xlpm.VAL), "", IF(_xlpm.VAL=0, "", _xlpm.VAL)))</f>
        <v/>
      </c>
      <c r="H165" s="154" t="str" cm="1">
        <f t="array" aca="1" ref="H165" ca="1">_xlfn.LET(_xlpm.VAL, INDEX('Heat Sheet'!$A:$I, _xlfn.XMATCH(INDIRECT("A"&amp;ROW()),'Heat Sheet'!$A:$A), COLUMN()), IF(ISNA(_xlpm.VAL), "", IF(_xlpm.VAL=0, "", _xlpm.VAL)))</f>
        <v/>
      </c>
      <c r="I165" s="155" t="str" cm="1">
        <f t="array" aca="1" ref="I165" ca="1">_xlfn.LET(_xlpm.VAL, INDEX('Heat Sheet'!$A:$I, _xlfn.XMATCH(INDIRECT("A"&amp;ROW()),'Heat Sheet'!$A:$A), COLUMN()), IF(ISNA(_xlpm.VAL), "", IF(_xlpm.VAL=0, "", _xlpm.VAL)))</f>
        <v/>
      </c>
    </row>
    <row r="166" spans="1:9" ht="17" x14ac:dyDescent="0.2">
      <c r="A166" s="218"/>
      <c r="B166" s="202"/>
      <c r="C166" s="129" t="str" cm="1">
        <f t="array" aca="1" ref="C166" ca="1">_xlfn.LET(_xlpm.VAL, INDEX('Heat Sheet'!$A:$I, _xlfn.XMATCH(INDIRECT("A"&amp;ROW()-1),'Heat Sheet'!$A:$A)+1, COLUMN()), IF(ISNA(_xlpm.VAL), "", IF(_xlpm.VAL=0, "", _xlpm.VAL)))</f>
        <v/>
      </c>
      <c r="D166" s="154" t="str" cm="1">
        <f t="array" aca="1" ref="D166" ca="1">_xlfn.LET(_xlpm.VAL, INDEX('Heat Sheet'!$A:$I, _xlfn.XMATCH(INDIRECT("A"&amp;ROW()-1),'Heat Sheet'!$A:$A)+1, COLUMN()), IF(ISNA(_xlpm.VAL), "", IF(_xlpm.VAL=0, "", _xlpm.VAL)))</f>
        <v/>
      </c>
      <c r="E166" s="154" t="str" cm="1">
        <f t="array" aca="1" ref="E166" ca="1">_xlfn.LET(_xlpm.VAL, INDEX('Heat Sheet'!$A:$I, _xlfn.XMATCH(INDIRECT("A"&amp;ROW()-1),'Heat Sheet'!$A:$A)+1, COLUMN()), IF(ISNA(_xlpm.VAL), "", IF(_xlpm.VAL=0, "", _xlpm.VAL)))</f>
        <v/>
      </c>
      <c r="F166" s="154" t="str" cm="1">
        <f t="array" aca="1" ref="F166" ca="1">_xlfn.LET(_xlpm.VAL, INDEX('Heat Sheet'!$A:$I, _xlfn.XMATCH(INDIRECT("A"&amp;ROW()-1),'Heat Sheet'!$A:$A)+1, COLUMN()), IF(ISNA(_xlpm.VAL), "", IF(_xlpm.VAL=0, "", _xlpm.VAL)))</f>
        <v/>
      </c>
      <c r="G166" s="154" t="str" cm="1">
        <f t="array" aca="1" ref="G166" ca="1">_xlfn.LET(_xlpm.VAL, INDEX('Heat Sheet'!$A:$I, _xlfn.XMATCH(INDIRECT("A"&amp;ROW()-1),'Heat Sheet'!$A:$A)+1, COLUMN()), IF(ISNA(_xlpm.VAL), "", IF(_xlpm.VAL=0, "", _xlpm.VAL)))</f>
        <v/>
      </c>
      <c r="H166" s="154" t="str" cm="1">
        <f t="array" aca="1" ref="H166" ca="1">_xlfn.LET(_xlpm.VAL, INDEX('Heat Sheet'!$A:$I, _xlfn.XMATCH(INDIRECT("A"&amp;ROW()-1),'Heat Sheet'!$A:$A)+1, COLUMN()), IF(ISNA(_xlpm.VAL), "", IF(_xlpm.VAL=0, "", _xlpm.VAL)))</f>
        <v/>
      </c>
      <c r="I166" s="155" t="str" cm="1">
        <f t="array" aca="1" ref="I166" ca="1">_xlfn.LET(_xlpm.VAL, INDEX('Heat Sheet'!$A:$I, _xlfn.XMATCH(INDIRECT("A"&amp;ROW()-1),'Heat Sheet'!$A:$A)+1, COLUMN()), IF(ISNA(_xlpm.VAL), "", IF(_xlpm.VAL=0, "", _xlpm.VAL)))</f>
        <v/>
      </c>
    </row>
    <row r="167" spans="1:9" ht="16" x14ac:dyDescent="0.2">
      <c r="A167" s="218"/>
      <c r="B167" s="202"/>
      <c r="C167" s="122" t="s">
        <v>22</v>
      </c>
      <c r="D167" s="124"/>
      <c r="E167" s="124"/>
      <c r="F167" s="124"/>
      <c r="G167" s="124"/>
      <c r="H167" s="124"/>
      <c r="I167" s="126"/>
    </row>
    <row r="168" spans="1:9" ht="16" x14ac:dyDescent="0.2">
      <c r="A168" s="218"/>
      <c r="B168" s="202"/>
      <c r="C168" s="122" t="s">
        <v>23</v>
      </c>
      <c r="D168" s="158"/>
      <c r="E168" s="158"/>
      <c r="F168" s="158"/>
      <c r="G168" s="158"/>
      <c r="H168" s="158"/>
      <c r="I168" s="159"/>
    </row>
    <row r="169" spans="1:9" ht="17" x14ac:dyDescent="0.2">
      <c r="A169" s="218"/>
      <c r="B169" s="202"/>
      <c r="C169" s="26" t="s">
        <v>14</v>
      </c>
      <c r="D169" s="160"/>
      <c r="E169" s="160"/>
      <c r="F169" s="160"/>
      <c r="G169" s="160"/>
      <c r="H169" s="160"/>
      <c r="I169" s="161"/>
    </row>
    <row r="170" spans="1:9" ht="17" x14ac:dyDescent="0.2">
      <c r="A170" s="201">
        <v>34</v>
      </c>
      <c r="B170" s="202" t="str">
        <f>IFERROR(VLOOKUP(A170,'Heat Sheet'!$A:$I, 2, FALSE), "")</f>
        <v>11:45 AM</v>
      </c>
      <c r="C170" s="129" t="str" cm="1">
        <f t="array" aca="1" ref="C170" ca="1">_xlfn.LET(_xlpm.VAL, INDEX('Heat Sheet'!$A:$I, _xlfn.XMATCH(INDIRECT("A"&amp;ROW()),'Heat Sheet'!$A:$A), COLUMN()), IF(ISNA(_xlpm.VAL), "", IF(_xlpm.VAL=0, "", _xlpm.VAL)))</f>
        <v/>
      </c>
      <c r="D170" s="154" t="str" cm="1">
        <f t="array" aca="1" ref="D170" ca="1">_xlfn.LET(_xlpm.VAL, INDEX('Heat Sheet'!$A:$I, _xlfn.XMATCH(INDIRECT("A"&amp;ROW()),'Heat Sheet'!$A:$A), COLUMN()), IF(ISNA(_xlpm.VAL), "", IF(_xlpm.VAL=0, "", _xlpm.VAL)))</f>
        <v/>
      </c>
      <c r="E170" s="154" t="str" cm="1">
        <f t="array" aca="1" ref="E170" ca="1">_xlfn.LET(_xlpm.VAL, INDEX('Heat Sheet'!$A:$I, _xlfn.XMATCH(INDIRECT("A"&amp;ROW()),'Heat Sheet'!$A:$A), COLUMN()), IF(ISNA(_xlpm.VAL), "", IF(_xlpm.VAL=0, "", _xlpm.VAL)))</f>
        <v/>
      </c>
      <c r="F170" s="154" t="str" cm="1">
        <f t="array" aca="1" ref="F170" ca="1">_xlfn.LET(_xlpm.VAL, INDEX('Heat Sheet'!$A:$I, _xlfn.XMATCH(INDIRECT("A"&amp;ROW()),'Heat Sheet'!$A:$A), COLUMN()), IF(ISNA(_xlpm.VAL), "", IF(_xlpm.VAL=0, "", _xlpm.VAL)))</f>
        <v/>
      </c>
      <c r="G170" s="154" t="str" cm="1">
        <f t="array" aca="1" ref="G170" ca="1">_xlfn.LET(_xlpm.VAL, INDEX('Heat Sheet'!$A:$I, _xlfn.XMATCH(INDIRECT("A"&amp;ROW()),'Heat Sheet'!$A:$A), COLUMN()), IF(ISNA(_xlpm.VAL), "", IF(_xlpm.VAL=0, "", _xlpm.VAL)))</f>
        <v/>
      </c>
      <c r="H170" s="154" t="str" cm="1">
        <f t="array" aca="1" ref="H170" ca="1">_xlfn.LET(_xlpm.VAL, INDEX('Heat Sheet'!$A:$I, _xlfn.XMATCH(INDIRECT("A"&amp;ROW()),'Heat Sheet'!$A:$A), COLUMN()), IF(ISNA(_xlpm.VAL), "", IF(_xlpm.VAL=0, "", _xlpm.VAL)))</f>
        <v/>
      </c>
      <c r="I170" s="155" t="str" cm="1">
        <f t="array" aca="1" ref="I170" ca="1">_xlfn.LET(_xlpm.VAL, INDEX('Heat Sheet'!$A:$I, _xlfn.XMATCH(INDIRECT("A"&amp;ROW()),'Heat Sheet'!$A:$A), COLUMN()), IF(ISNA(_xlpm.VAL), "", IF(_xlpm.VAL=0, "", _xlpm.VAL)))</f>
        <v/>
      </c>
    </row>
    <row r="171" spans="1:9" ht="17" x14ac:dyDescent="0.2">
      <c r="A171" s="201"/>
      <c r="B171" s="202"/>
      <c r="C171" s="129" t="str" cm="1">
        <f t="array" aca="1" ref="C171" ca="1">_xlfn.LET(_xlpm.VAL, INDEX('Heat Sheet'!$A:$I, _xlfn.XMATCH(INDIRECT("A"&amp;ROW()-1),'Heat Sheet'!$A:$A)+1, COLUMN()), IF(ISNA(_xlpm.VAL), "", IF(_xlpm.VAL=0, "", _xlpm.VAL)))</f>
        <v/>
      </c>
      <c r="D171" s="154" t="str" cm="1">
        <f t="array" aca="1" ref="D171" ca="1">_xlfn.LET(_xlpm.VAL, INDEX('Heat Sheet'!$A:$I, _xlfn.XMATCH(INDIRECT("A"&amp;ROW()-1),'Heat Sheet'!$A:$A)+1, COLUMN()), IF(ISNA(_xlpm.VAL), "", IF(_xlpm.VAL=0, "", _xlpm.VAL)))</f>
        <v/>
      </c>
      <c r="E171" s="154" t="str" cm="1">
        <f t="array" aca="1" ref="E171" ca="1">_xlfn.LET(_xlpm.VAL, INDEX('Heat Sheet'!$A:$I, _xlfn.XMATCH(INDIRECT("A"&amp;ROW()-1),'Heat Sheet'!$A:$A)+1, COLUMN()), IF(ISNA(_xlpm.VAL), "", IF(_xlpm.VAL=0, "", _xlpm.VAL)))</f>
        <v/>
      </c>
      <c r="F171" s="154" t="str" cm="1">
        <f t="array" aca="1" ref="F171" ca="1">_xlfn.LET(_xlpm.VAL, INDEX('Heat Sheet'!$A:$I, _xlfn.XMATCH(INDIRECT("A"&amp;ROW()-1),'Heat Sheet'!$A:$A)+1, COLUMN()), IF(ISNA(_xlpm.VAL), "", IF(_xlpm.VAL=0, "", _xlpm.VAL)))</f>
        <v/>
      </c>
      <c r="G171" s="154" t="str" cm="1">
        <f t="array" aca="1" ref="G171" ca="1">_xlfn.LET(_xlpm.VAL, INDEX('Heat Sheet'!$A:$I, _xlfn.XMATCH(INDIRECT("A"&amp;ROW()-1),'Heat Sheet'!$A:$A)+1, COLUMN()), IF(ISNA(_xlpm.VAL), "", IF(_xlpm.VAL=0, "", _xlpm.VAL)))</f>
        <v/>
      </c>
      <c r="H171" s="154" t="str" cm="1">
        <f t="array" aca="1" ref="H171" ca="1">_xlfn.LET(_xlpm.VAL, INDEX('Heat Sheet'!$A:$I, _xlfn.XMATCH(INDIRECT("A"&amp;ROW()-1),'Heat Sheet'!$A:$A)+1, COLUMN()), IF(ISNA(_xlpm.VAL), "", IF(_xlpm.VAL=0, "", _xlpm.VAL)))</f>
        <v/>
      </c>
      <c r="I171" s="155" t="str" cm="1">
        <f t="array" aca="1" ref="I171" ca="1">_xlfn.LET(_xlpm.VAL, INDEX('Heat Sheet'!$A:$I, _xlfn.XMATCH(INDIRECT("A"&amp;ROW()-1),'Heat Sheet'!$A:$A)+1, COLUMN()), IF(ISNA(_xlpm.VAL), "", IF(_xlpm.VAL=0, "", _xlpm.VAL)))</f>
        <v/>
      </c>
    </row>
    <row r="172" spans="1:9" ht="16" x14ac:dyDescent="0.2">
      <c r="A172" s="201"/>
      <c r="B172" s="202"/>
      <c r="C172" s="122" t="s">
        <v>22</v>
      </c>
      <c r="D172" s="124"/>
      <c r="E172" s="124"/>
      <c r="F172" s="124"/>
      <c r="G172" s="124"/>
      <c r="H172" s="124"/>
      <c r="I172" s="126"/>
    </row>
    <row r="173" spans="1:9" ht="16" x14ac:dyDescent="0.2">
      <c r="A173" s="201"/>
      <c r="B173" s="202"/>
      <c r="C173" s="122" t="s">
        <v>23</v>
      </c>
      <c r="D173" s="158"/>
      <c r="E173" s="158"/>
      <c r="F173" s="158"/>
      <c r="G173" s="158"/>
      <c r="H173" s="158"/>
      <c r="I173" s="159"/>
    </row>
    <row r="174" spans="1:9" ht="17" x14ac:dyDescent="0.2">
      <c r="A174" s="217"/>
      <c r="B174" s="202"/>
      <c r="C174" s="26" t="s">
        <v>14</v>
      </c>
      <c r="D174" s="160"/>
      <c r="E174" s="160"/>
      <c r="F174" s="160"/>
      <c r="G174" s="160"/>
      <c r="H174" s="160"/>
      <c r="I174" s="161"/>
    </row>
    <row r="175" spans="1:9" ht="17" x14ac:dyDescent="0.2">
      <c r="A175" s="201">
        <v>35</v>
      </c>
      <c r="B175" s="202" t="str">
        <f>IFERROR(VLOOKUP(A175,'Heat Sheet'!$A:$I, 2, FALSE), "")</f>
        <v>11:50 AM</v>
      </c>
      <c r="C175" s="129" t="str" cm="1">
        <f t="array" aca="1" ref="C175" ca="1">_xlfn.LET(_xlpm.VAL, INDEX('Heat Sheet'!$A:$I, _xlfn.XMATCH(INDIRECT("A"&amp;ROW()),'Heat Sheet'!$A:$A), COLUMN()), IF(ISNA(_xlpm.VAL), "", IF(_xlpm.VAL=0, "", _xlpm.VAL)))</f>
        <v/>
      </c>
      <c r="D175" s="154" t="str" cm="1">
        <f t="array" aca="1" ref="D175" ca="1">_xlfn.LET(_xlpm.VAL, INDEX('Heat Sheet'!$A:$I, _xlfn.XMATCH(INDIRECT("A"&amp;ROW()),'Heat Sheet'!$A:$A), COLUMN()), IF(ISNA(_xlpm.VAL), "", IF(_xlpm.VAL=0, "", _xlpm.VAL)))</f>
        <v/>
      </c>
      <c r="E175" s="154" t="str" cm="1">
        <f t="array" aca="1" ref="E175" ca="1">_xlfn.LET(_xlpm.VAL, INDEX('Heat Sheet'!$A:$I, _xlfn.XMATCH(INDIRECT("A"&amp;ROW()),'Heat Sheet'!$A:$A), COLUMN()), IF(ISNA(_xlpm.VAL), "", IF(_xlpm.VAL=0, "", _xlpm.VAL)))</f>
        <v/>
      </c>
      <c r="F175" s="154" t="str" cm="1">
        <f t="array" aca="1" ref="F175" ca="1">_xlfn.LET(_xlpm.VAL, INDEX('Heat Sheet'!$A:$I, _xlfn.XMATCH(INDIRECT("A"&amp;ROW()),'Heat Sheet'!$A:$A), COLUMN()), IF(ISNA(_xlpm.VAL), "", IF(_xlpm.VAL=0, "", _xlpm.VAL)))</f>
        <v/>
      </c>
      <c r="G175" s="154" t="str" cm="1">
        <f t="array" aca="1" ref="G175" ca="1">_xlfn.LET(_xlpm.VAL, INDEX('Heat Sheet'!$A:$I, _xlfn.XMATCH(INDIRECT("A"&amp;ROW()),'Heat Sheet'!$A:$A), COLUMN()), IF(ISNA(_xlpm.VAL), "", IF(_xlpm.VAL=0, "", _xlpm.VAL)))</f>
        <v/>
      </c>
      <c r="H175" s="154" t="str" cm="1">
        <f t="array" aca="1" ref="H175" ca="1">_xlfn.LET(_xlpm.VAL, INDEX('Heat Sheet'!$A:$I, _xlfn.XMATCH(INDIRECT("A"&amp;ROW()),'Heat Sheet'!$A:$A), COLUMN()), IF(ISNA(_xlpm.VAL), "", IF(_xlpm.VAL=0, "", _xlpm.VAL)))</f>
        <v/>
      </c>
      <c r="I175" s="155" t="str" cm="1">
        <f t="array" aca="1" ref="I175" ca="1">_xlfn.LET(_xlpm.VAL, INDEX('Heat Sheet'!$A:$I, _xlfn.XMATCH(INDIRECT("A"&amp;ROW()),'Heat Sheet'!$A:$A), COLUMN()), IF(ISNA(_xlpm.VAL), "", IF(_xlpm.VAL=0, "", _xlpm.VAL)))</f>
        <v/>
      </c>
    </row>
    <row r="176" spans="1:9" ht="17" x14ac:dyDescent="0.2">
      <c r="A176" s="201"/>
      <c r="B176" s="202"/>
      <c r="C176" s="129" t="str" cm="1">
        <f t="array" aca="1" ref="C176" ca="1">_xlfn.LET(_xlpm.VAL, INDEX('Heat Sheet'!$A:$I, _xlfn.XMATCH(INDIRECT("A"&amp;ROW()-1),'Heat Sheet'!$A:$A)+1, COLUMN()), IF(ISNA(_xlpm.VAL), "", IF(_xlpm.VAL=0, "", _xlpm.VAL)))</f>
        <v/>
      </c>
      <c r="D176" s="154" t="str" cm="1">
        <f t="array" aca="1" ref="D176" ca="1">_xlfn.LET(_xlpm.VAL, INDEX('Heat Sheet'!$A:$I, _xlfn.XMATCH(INDIRECT("A"&amp;ROW()-1),'Heat Sheet'!$A:$A)+1, COLUMN()), IF(ISNA(_xlpm.VAL), "", IF(_xlpm.VAL=0, "", _xlpm.VAL)))</f>
        <v/>
      </c>
      <c r="E176" s="154" t="str" cm="1">
        <f t="array" aca="1" ref="E176" ca="1">_xlfn.LET(_xlpm.VAL, INDEX('Heat Sheet'!$A:$I, _xlfn.XMATCH(INDIRECT("A"&amp;ROW()-1),'Heat Sheet'!$A:$A)+1, COLUMN()), IF(ISNA(_xlpm.VAL), "", IF(_xlpm.VAL=0, "", _xlpm.VAL)))</f>
        <v/>
      </c>
      <c r="F176" s="154" t="str" cm="1">
        <f t="array" aca="1" ref="F176" ca="1">_xlfn.LET(_xlpm.VAL, INDEX('Heat Sheet'!$A:$I, _xlfn.XMATCH(INDIRECT("A"&amp;ROW()-1),'Heat Sheet'!$A:$A)+1, COLUMN()), IF(ISNA(_xlpm.VAL), "", IF(_xlpm.VAL=0, "", _xlpm.VAL)))</f>
        <v/>
      </c>
      <c r="G176" s="154" t="str" cm="1">
        <f t="array" aca="1" ref="G176" ca="1">_xlfn.LET(_xlpm.VAL, INDEX('Heat Sheet'!$A:$I, _xlfn.XMATCH(INDIRECT("A"&amp;ROW()-1),'Heat Sheet'!$A:$A)+1, COLUMN()), IF(ISNA(_xlpm.VAL), "", IF(_xlpm.VAL=0, "", _xlpm.VAL)))</f>
        <v/>
      </c>
      <c r="H176" s="154" t="str" cm="1">
        <f t="array" aca="1" ref="H176" ca="1">_xlfn.LET(_xlpm.VAL, INDEX('Heat Sheet'!$A:$I, _xlfn.XMATCH(INDIRECT("A"&amp;ROW()-1),'Heat Sheet'!$A:$A)+1, COLUMN()), IF(ISNA(_xlpm.VAL), "", IF(_xlpm.VAL=0, "", _xlpm.VAL)))</f>
        <v/>
      </c>
      <c r="I176" s="155" t="str" cm="1">
        <f t="array" aca="1" ref="I176" ca="1">_xlfn.LET(_xlpm.VAL, INDEX('Heat Sheet'!$A:$I, _xlfn.XMATCH(INDIRECT("A"&amp;ROW()-1),'Heat Sheet'!$A:$A)+1, COLUMN()), IF(ISNA(_xlpm.VAL), "", IF(_xlpm.VAL=0, "", _xlpm.VAL)))</f>
        <v/>
      </c>
    </row>
    <row r="177" spans="1:9" ht="16" x14ac:dyDescent="0.2">
      <c r="A177" s="201"/>
      <c r="B177" s="202"/>
      <c r="C177" s="122" t="s">
        <v>22</v>
      </c>
      <c r="D177" s="124"/>
      <c r="E177" s="124"/>
      <c r="F177" s="124"/>
      <c r="G177" s="124"/>
      <c r="H177" s="124"/>
      <c r="I177" s="126"/>
    </row>
    <row r="178" spans="1:9" ht="16" x14ac:dyDescent="0.2">
      <c r="A178" s="201"/>
      <c r="B178" s="202"/>
      <c r="C178" s="122" t="s">
        <v>23</v>
      </c>
      <c r="D178" s="158"/>
      <c r="E178" s="158"/>
      <c r="F178" s="158"/>
      <c r="G178" s="158"/>
      <c r="H178" s="158"/>
      <c r="I178" s="159"/>
    </row>
    <row r="179" spans="1:9" ht="17" x14ac:dyDescent="0.2">
      <c r="A179" s="201"/>
      <c r="B179" s="202"/>
      <c r="C179" s="26" t="s">
        <v>14</v>
      </c>
      <c r="D179" s="160"/>
      <c r="E179" s="160"/>
      <c r="F179" s="160"/>
      <c r="G179" s="160"/>
      <c r="H179" s="160"/>
      <c r="I179" s="161"/>
    </row>
    <row r="180" spans="1:9" ht="17" x14ac:dyDescent="0.2">
      <c r="A180" s="216">
        <v>36</v>
      </c>
      <c r="B180" s="202" t="str">
        <f>IFERROR(VLOOKUP(A180,'Heat Sheet'!$A:$I, 2, FALSE), "")</f>
        <v>11:55 AM</v>
      </c>
      <c r="C180" s="129" t="str" cm="1">
        <f t="array" aca="1" ref="C180" ca="1">_xlfn.LET(_xlpm.VAL, INDEX('Heat Sheet'!$A:$I, _xlfn.XMATCH(INDIRECT("A"&amp;ROW()),'Heat Sheet'!$A:$A), COLUMN()), IF(ISNA(_xlpm.VAL), "", IF(_xlpm.VAL=0, "", _xlpm.VAL)))</f>
        <v/>
      </c>
      <c r="D180" s="154" t="str" cm="1">
        <f t="array" aca="1" ref="D180" ca="1">_xlfn.LET(_xlpm.VAL, INDEX('Heat Sheet'!$A:$I, _xlfn.XMATCH(INDIRECT("A"&amp;ROW()),'Heat Sheet'!$A:$A), COLUMN()), IF(ISNA(_xlpm.VAL), "", IF(_xlpm.VAL=0, "", _xlpm.VAL)))</f>
        <v/>
      </c>
      <c r="E180" s="154" t="str" cm="1">
        <f t="array" aca="1" ref="E180" ca="1">_xlfn.LET(_xlpm.VAL, INDEX('Heat Sheet'!$A:$I, _xlfn.XMATCH(INDIRECT("A"&amp;ROW()),'Heat Sheet'!$A:$A), COLUMN()), IF(ISNA(_xlpm.VAL), "", IF(_xlpm.VAL=0, "", _xlpm.VAL)))</f>
        <v/>
      </c>
      <c r="F180" s="154" t="str" cm="1">
        <f t="array" aca="1" ref="F180" ca="1">_xlfn.LET(_xlpm.VAL, INDEX('Heat Sheet'!$A:$I, _xlfn.XMATCH(INDIRECT("A"&amp;ROW()),'Heat Sheet'!$A:$A), COLUMN()), IF(ISNA(_xlpm.VAL), "", IF(_xlpm.VAL=0, "", _xlpm.VAL)))</f>
        <v/>
      </c>
      <c r="G180" s="154" t="str" cm="1">
        <f t="array" aca="1" ref="G180" ca="1">_xlfn.LET(_xlpm.VAL, INDEX('Heat Sheet'!$A:$I, _xlfn.XMATCH(INDIRECT("A"&amp;ROW()),'Heat Sheet'!$A:$A), COLUMN()), IF(ISNA(_xlpm.VAL), "", IF(_xlpm.VAL=0, "", _xlpm.VAL)))</f>
        <v/>
      </c>
      <c r="H180" s="154" t="str" cm="1">
        <f t="array" aca="1" ref="H180" ca="1">_xlfn.LET(_xlpm.VAL, INDEX('Heat Sheet'!$A:$I, _xlfn.XMATCH(INDIRECT("A"&amp;ROW()),'Heat Sheet'!$A:$A), COLUMN()), IF(ISNA(_xlpm.VAL), "", IF(_xlpm.VAL=0, "", _xlpm.VAL)))</f>
        <v/>
      </c>
      <c r="I180" s="155" t="str" cm="1">
        <f t="array" aca="1" ref="I180" ca="1">_xlfn.LET(_xlpm.VAL, INDEX('Heat Sheet'!$A:$I, _xlfn.XMATCH(INDIRECT("A"&amp;ROW()),'Heat Sheet'!$A:$A), COLUMN()), IF(ISNA(_xlpm.VAL), "", IF(_xlpm.VAL=0, "", _xlpm.VAL)))</f>
        <v/>
      </c>
    </row>
    <row r="181" spans="1:9" ht="17" x14ac:dyDescent="0.2">
      <c r="A181" s="201"/>
      <c r="B181" s="202"/>
      <c r="C181" s="129" t="str" cm="1">
        <f t="array" aca="1" ref="C181" ca="1">_xlfn.LET(_xlpm.VAL, INDEX('Heat Sheet'!$A:$I, _xlfn.XMATCH(INDIRECT("A"&amp;ROW()-1),'Heat Sheet'!$A:$A)+1, COLUMN()), IF(ISNA(_xlpm.VAL), "", IF(_xlpm.VAL=0, "", _xlpm.VAL)))</f>
        <v/>
      </c>
      <c r="D181" s="154" t="str" cm="1">
        <f t="array" aca="1" ref="D181" ca="1">_xlfn.LET(_xlpm.VAL, INDEX('Heat Sheet'!$A:$I, _xlfn.XMATCH(INDIRECT("A"&amp;ROW()-1),'Heat Sheet'!$A:$A)+1, COLUMN()), IF(ISNA(_xlpm.VAL), "", IF(_xlpm.VAL=0, "", _xlpm.VAL)))</f>
        <v/>
      </c>
      <c r="E181" s="154" t="str" cm="1">
        <f t="array" aca="1" ref="E181" ca="1">_xlfn.LET(_xlpm.VAL, INDEX('Heat Sheet'!$A:$I, _xlfn.XMATCH(INDIRECT("A"&amp;ROW()-1),'Heat Sheet'!$A:$A)+1, COLUMN()), IF(ISNA(_xlpm.VAL), "", IF(_xlpm.VAL=0, "", _xlpm.VAL)))</f>
        <v/>
      </c>
      <c r="F181" s="154" t="str" cm="1">
        <f t="array" aca="1" ref="F181" ca="1">_xlfn.LET(_xlpm.VAL, INDEX('Heat Sheet'!$A:$I, _xlfn.XMATCH(INDIRECT("A"&amp;ROW()-1),'Heat Sheet'!$A:$A)+1, COLUMN()), IF(ISNA(_xlpm.VAL), "", IF(_xlpm.VAL=0, "", _xlpm.VAL)))</f>
        <v/>
      </c>
      <c r="G181" s="154" t="str" cm="1">
        <f t="array" aca="1" ref="G181" ca="1">_xlfn.LET(_xlpm.VAL, INDEX('Heat Sheet'!$A:$I, _xlfn.XMATCH(INDIRECT("A"&amp;ROW()-1),'Heat Sheet'!$A:$A)+1, COLUMN()), IF(ISNA(_xlpm.VAL), "", IF(_xlpm.VAL=0, "", _xlpm.VAL)))</f>
        <v/>
      </c>
      <c r="H181" s="154" t="str" cm="1">
        <f t="array" aca="1" ref="H181" ca="1">_xlfn.LET(_xlpm.VAL, INDEX('Heat Sheet'!$A:$I, _xlfn.XMATCH(INDIRECT("A"&amp;ROW()-1),'Heat Sheet'!$A:$A)+1, COLUMN()), IF(ISNA(_xlpm.VAL), "", IF(_xlpm.VAL=0, "", _xlpm.VAL)))</f>
        <v/>
      </c>
      <c r="I181" s="155" t="str" cm="1">
        <f t="array" aca="1" ref="I181" ca="1">_xlfn.LET(_xlpm.VAL, INDEX('Heat Sheet'!$A:$I, _xlfn.XMATCH(INDIRECT("A"&amp;ROW()-1),'Heat Sheet'!$A:$A)+1, COLUMN()), IF(ISNA(_xlpm.VAL), "", IF(_xlpm.VAL=0, "", _xlpm.VAL)))</f>
        <v/>
      </c>
    </row>
    <row r="182" spans="1:9" ht="16" x14ac:dyDescent="0.2">
      <c r="A182" s="201"/>
      <c r="B182" s="202"/>
      <c r="C182" s="122" t="s">
        <v>22</v>
      </c>
      <c r="D182" s="124"/>
      <c r="E182" s="124"/>
      <c r="F182" s="124"/>
      <c r="G182" s="124"/>
      <c r="H182" s="124"/>
      <c r="I182" s="126"/>
    </row>
    <row r="183" spans="1:9" ht="16" x14ac:dyDescent="0.2">
      <c r="A183" s="201"/>
      <c r="B183" s="202"/>
      <c r="C183" s="122" t="s">
        <v>23</v>
      </c>
      <c r="D183" s="158"/>
      <c r="E183" s="158"/>
      <c r="F183" s="158"/>
      <c r="G183" s="158"/>
      <c r="H183" s="158"/>
      <c r="I183" s="159"/>
    </row>
    <row r="184" spans="1:9" ht="17" x14ac:dyDescent="0.2">
      <c r="A184" s="217"/>
      <c r="B184" s="202"/>
      <c r="C184" s="26" t="s">
        <v>14</v>
      </c>
      <c r="D184" s="160"/>
      <c r="E184" s="160"/>
      <c r="F184" s="160"/>
      <c r="G184" s="160"/>
      <c r="H184" s="160"/>
      <c r="I184" s="161"/>
    </row>
    <row r="185" spans="1:9" ht="17" x14ac:dyDescent="0.2">
      <c r="A185" s="201">
        <v>37</v>
      </c>
      <c r="B185" s="202" t="str">
        <f>IFERROR(VLOOKUP(A185,'Heat Sheet'!$A:$I, 2, FALSE), "")</f>
        <v>12:00 PM</v>
      </c>
      <c r="C185" s="129" t="str" cm="1">
        <f t="array" aca="1" ref="C185" ca="1">_xlfn.LET(_xlpm.VAL, INDEX('Heat Sheet'!$A:$I, _xlfn.XMATCH(INDIRECT("A"&amp;ROW()),'Heat Sheet'!$A:$A), COLUMN()), IF(ISNA(_xlpm.VAL), "", IF(_xlpm.VAL=0, "", _xlpm.VAL)))</f>
        <v/>
      </c>
      <c r="D185" s="154" t="str" cm="1">
        <f t="array" aca="1" ref="D185" ca="1">_xlfn.LET(_xlpm.VAL, INDEX('Heat Sheet'!$A:$I, _xlfn.XMATCH(INDIRECT("A"&amp;ROW()),'Heat Sheet'!$A:$A), COLUMN()), IF(ISNA(_xlpm.VAL), "", IF(_xlpm.VAL=0, "", _xlpm.VAL)))</f>
        <v/>
      </c>
      <c r="E185" s="154" t="str" cm="1">
        <f t="array" aca="1" ref="E185" ca="1">_xlfn.LET(_xlpm.VAL, INDEX('Heat Sheet'!$A:$I, _xlfn.XMATCH(INDIRECT("A"&amp;ROW()),'Heat Sheet'!$A:$A), COLUMN()), IF(ISNA(_xlpm.VAL), "", IF(_xlpm.VAL=0, "", _xlpm.VAL)))</f>
        <v/>
      </c>
      <c r="F185" s="154" t="str" cm="1">
        <f t="array" aca="1" ref="F185" ca="1">_xlfn.LET(_xlpm.VAL, INDEX('Heat Sheet'!$A:$I, _xlfn.XMATCH(INDIRECT("A"&amp;ROW()),'Heat Sheet'!$A:$A), COLUMN()), IF(ISNA(_xlpm.VAL), "", IF(_xlpm.VAL=0, "", _xlpm.VAL)))</f>
        <v/>
      </c>
      <c r="G185" s="154" t="str" cm="1">
        <f t="array" aca="1" ref="G185" ca="1">_xlfn.LET(_xlpm.VAL, INDEX('Heat Sheet'!$A:$I, _xlfn.XMATCH(INDIRECT("A"&amp;ROW()),'Heat Sheet'!$A:$A), COLUMN()), IF(ISNA(_xlpm.VAL), "", IF(_xlpm.VAL=0, "", _xlpm.VAL)))</f>
        <v/>
      </c>
      <c r="H185" s="154" t="str" cm="1">
        <f t="array" aca="1" ref="H185" ca="1">_xlfn.LET(_xlpm.VAL, INDEX('Heat Sheet'!$A:$I, _xlfn.XMATCH(INDIRECT("A"&amp;ROW()),'Heat Sheet'!$A:$A), COLUMN()), IF(ISNA(_xlpm.VAL), "", IF(_xlpm.VAL=0, "", _xlpm.VAL)))</f>
        <v/>
      </c>
      <c r="I185" s="155" t="str" cm="1">
        <f t="array" aca="1" ref="I185" ca="1">_xlfn.LET(_xlpm.VAL, INDEX('Heat Sheet'!$A:$I, _xlfn.XMATCH(INDIRECT("A"&amp;ROW()),'Heat Sheet'!$A:$A), COLUMN()), IF(ISNA(_xlpm.VAL), "", IF(_xlpm.VAL=0, "", _xlpm.VAL)))</f>
        <v/>
      </c>
    </row>
    <row r="186" spans="1:9" ht="17" x14ac:dyDescent="0.2">
      <c r="A186" s="201"/>
      <c r="B186" s="202"/>
      <c r="C186" s="129" t="str" cm="1">
        <f t="array" aca="1" ref="C186" ca="1">_xlfn.LET(_xlpm.VAL, INDEX('Heat Sheet'!$A:$I, _xlfn.XMATCH(INDIRECT("A"&amp;ROW()-1),'Heat Sheet'!$A:$A)+1, COLUMN()), IF(ISNA(_xlpm.VAL), "", IF(_xlpm.VAL=0, "", _xlpm.VAL)))</f>
        <v/>
      </c>
      <c r="D186" s="154" t="str" cm="1">
        <f t="array" aca="1" ref="D186" ca="1">_xlfn.LET(_xlpm.VAL, INDEX('Heat Sheet'!$A:$I, _xlfn.XMATCH(INDIRECT("A"&amp;ROW()-1),'Heat Sheet'!$A:$A)+1, COLUMN()), IF(ISNA(_xlpm.VAL), "", IF(_xlpm.VAL=0, "", _xlpm.VAL)))</f>
        <v/>
      </c>
      <c r="E186" s="154" t="str" cm="1">
        <f t="array" aca="1" ref="E186" ca="1">_xlfn.LET(_xlpm.VAL, INDEX('Heat Sheet'!$A:$I, _xlfn.XMATCH(INDIRECT("A"&amp;ROW()-1),'Heat Sheet'!$A:$A)+1, COLUMN()), IF(ISNA(_xlpm.VAL), "", IF(_xlpm.VAL=0, "", _xlpm.VAL)))</f>
        <v/>
      </c>
      <c r="F186" s="154" t="str" cm="1">
        <f t="array" aca="1" ref="F186" ca="1">_xlfn.LET(_xlpm.VAL, INDEX('Heat Sheet'!$A:$I, _xlfn.XMATCH(INDIRECT("A"&amp;ROW()-1),'Heat Sheet'!$A:$A)+1, COLUMN()), IF(ISNA(_xlpm.VAL), "", IF(_xlpm.VAL=0, "", _xlpm.VAL)))</f>
        <v/>
      </c>
      <c r="G186" s="154" t="str" cm="1">
        <f t="array" aca="1" ref="G186" ca="1">_xlfn.LET(_xlpm.VAL, INDEX('Heat Sheet'!$A:$I, _xlfn.XMATCH(INDIRECT("A"&amp;ROW()-1),'Heat Sheet'!$A:$A)+1, COLUMN()), IF(ISNA(_xlpm.VAL), "", IF(_xlpm.VAL=0, "", _xlpm.VAL)))</f>
        <v/>
      </c>
      <c r="H186" s="154" t="str" cm="1">
        <f t="array" aca="1" ref="H186" ca="1">_xlfn.LET(_xlpm.VAL, INDEX('Heat Sheet'!$A:$I, _xlfn.XMATCH(INDIRECT("A"&amp;ROW()-1),'Heat Sheet'!$A:$A)+1, COLUMN()), IF(ISNA(_xlpm.VAL), "", IF(_xlpm.VAL=0, "", _xlpm.VAL)))</f>
        <v/>
      </c>
      <c r="I186" s="155" t="str" cm="1">
        <f t="array" aca="1" ref="I186" ca="1">_xlfn.LET(_xlpm.VAL, INDEX('Heat Sheet'!$A:$I, _xlfn.XMATCH(INDIRECT("A"&amp;ROW()-1),'Heat Sheet'!$A:$A)+1, COLUMN()), IF(ISNA(_xlpm.VAL), "", IF(_xlpm.VAL=0, "", _xlpm.VAL)))</f>
        <v/>
      </c>
    </row>
    <row r="187" spans="1:9" ht="16" x14ac:dyDescent="0.2">
      <c r="A187" s="201"/>
      <c r="B187" s="202"/>
      <c r="C187" s="122" t="s">
        <v>22</v>
      </c>
      <c r="D187" s="124"/>
      <c r="E187" s="124"/>
      <c r="F187" s="124"/>
      <c r="G187" s="124"/>
      <c r="H187" s="124"/>
      <c r="I187" s="126"/>
    </row>
    <row r="188" spans="1:9" ht="16" x14ac:dyDescent="0.2">
      <c r="A188" s="201"/>
      <c r="B188" s="202"/>
      <c r="C188" s="122" t="s">
        <v>23</v>
      </c>
      <c r="D188" s="158"/>
      <c r="E188" s="158"/>
      <c r="F188" s="158"/>
      <c r="G188" s="158"/>
      <c r="H188" s="158"/>
      <c r="I188" s="159"/>
    </row>
    <row r="189" spans="1:9" ht="17" x14ac:dyDescent="0.2">
      <c r="A189" s="201"/>
      <c r="B189" s="202"/>
      <c r="C189" s="26" t="s">
        <v>14</v>
      </c>
      <c r="D189" s="160"/>
      <c r="E189" s="160"/>
      <c r="F189" s="160"/>
      <c r="G189" s="160"/>
      <c r="H189" s="160"/>
      <c r="I189" s="161"/>
    </row>
    <row r="190" spans="1:9" ht="17" x14ac:dyDescent="0.2">
      <c r="A190" s="216">
        <v>38</v>
      </c>
      <c r="B190" s="202" t="str">
        <f>IFERROR(VLOOKUP(A190,'Heat Sheet'!$A:$I, 2, FALSE), "")</f>
        <v>12:05 PM</v>
      </c>
      <c r="C190" s="129" t="str" cm="1">
        <f t="array" aca="1" ref="C190" ca="1">_xlfn.LET(_xlpm.VAL, INDEX('Heat Sheet'!$A:$I, _xlfn.XMATCH(INDIRECT("A"&amp;ROW()),'Heat Sheet'!$A:$A), COLUMN()), IF(ISNA(_xlpm.VAL), "", IF(_xlpm.VAL=0, "", _xlpm.VAL)))</f>
        <v/>
      </c>
      <c r="D190" s="154" t="str" cm="1">
        <f t="array" aca="1" ref="D190" ca="1">_xlfn.LET(_xlpm.VAL, INDEX('Heat Sheet'!$A:$I, _xlfn.XMATCH(INDIRECT("A"&amp;ROW()),'Heat Sheet'!$A:$A), COLUMN()), IF(ISNA(_xlpm.VAL), "", IF(_xlpm.VAL=0, "", _xlpm.VAL)))</f>
        <v/>
      </c>
      <c r="E190" s="154" t="str" cm="1">
        <f t="array" aca="1" ref="E190" ca="1">_xlfn.LET(_xlpm.VAL, INDEX('Heat Sheet'!$A:$I, _xlfn.XMATCH(INDIRECT("A"&amp;ROW()),'Heat Sheet'!$A:$A), COLUMN()), IF(ISNA(_xlpm.VAL), "", IF(_xlpm.VAL=0, "", _xlpm.VAL)))</f>
        <v/>
      </c>
      <c r="F190" s="154" t="str" cm="1">
        <f t="array" aca="1" ref="F190" ca="1">_xlfn.LET(_xlpm.VAL, INDEX('Heat Sheet'!$A:$I, _xlfn.XMATCH(INDIRECT("A"&amp;ROW()),'Heat Sheet'!$A:$A), COLUMN()), IF(ISNA(_xlpm.VAL), "", IF(_xlpm.VAL=0, "", _xlpm.VAL)))</f>
        <v/>
      </c>
      <c r="G190" s="154" t="str" cm="1">
        <f t="array" aca="1" ref="G190" ca="1">_xlfn.LET(_xlpm.VAL, INDEX('Heat Sheet'!$A:$I, _xlfn.XMATCH(INDIRECT("A"&amp;ROW()),'Heat Sheet'!$A:$A), COLUMN()), IF(ISNA(_xlpm.VAL), "", IF(_xlpm.VAL=0, "", _xlpm.VAL)))</f>
        <v/>
      </c>
      <c r="H190" s="154" t="str" cm="1">
        <f t="array" aca="1" ref="H190" ca="1">_xlfn.LET(_xlpm.VAL, INDEX('Heat Sheet'!$A:$I, _xlfn.XMATCH(INDIRECT("A"&amp;ROW()),'Heat Sheet'!$A:$A), COLUMN()), IF(ISNA(_xlpm.VAL), "", IF(_xlpm.VAL=0, "", _xlpm.VAL)))</f>
        <v/>
      </c>
      <c r="I190" s="155" t="str" cm="1">
        <f t="array" aca="1" ref="I190" ca="1">_xlfn.LET(_xlpm.VAL, INDEX('Heat Sheet'!$A:$I, _xlfn.XMATCH(INDIRECT("A"&amp;ROW()),'Heat Sheet'!$A:$A), COLUMN()), IF(ISNA(_xlpm.VAL), "", IF(_xlpm.VAL=0, "", _xlpm.VAL)))</f>
        <v/>
      </c>
    </row>
    <row r="191" spans="1:9" ht="17" x14ac:dyDescent="0.2">
      <c r="A191" s="201"/>
      <c r="B191" s="202"/>
      <c r="C191" s="129" t="str" cm="1">
        <f t="array" aca="1" ref="C191" ca="1">_xlfn.LET(_xlpm.VAL, INDEX('Heat Sheet'!$A:$I, _xlfn.XMATCH(INDIRECT("A"&amp;ROW()-1),'Heat Sheet'!$A:$A)+1, COLUMN()), IF(ISNA(_xlpm.VAL), "", IF(_xlpm.VAL=0, "", _xlpm.VAL)))</f>
        <v/>
      </c>
      <c r="D191" s="154" t="str" cm="1">
        <f t="array" aca="1" ref="D191" ca="1">_xlfn.LET(_xlpm.VAL, INDEX('Heat Sheet'!$A:$I, _xlfn.XMATCH(INDIRECT("A"&amp;ROW()-1),'Heat Sheet'!$A:$A)+1, COLUMN()), IF(ISNA(_xlpm.VAL), "", IF(_xlpm.VAL=0, "", _xlpm.VAL)))</f>
        <v/>
      </c>
      <c r="E191" s="154" t="str" cm="1">
        <f t="array" aca="1" ref="E191" ca="1">_xlfn.LET(_xlpm.VAL, INDEX('Heat Sheet'!$A:$I, _xlfn.XMATCH(INDIRECT("A"&amp;ROW()-1),'Heat Sheet'!$A:$A)+1, COLUMN()), IF(ISNA(_xlpm.VAL), "", IF(_xlpm.VAL=0, "", _xlpm.VAL)))</f>
        <v/>
      </c>
      <c r="F191" s="154" t="str" cm="1">
        <f t="array" aca="1" ref="F191" ca="1">_xlfn.LET(_xlpm.VAL, INDEX('Heat Sheet'!$A:$I, _xlfn.XMATCH(INDIRECT("A"&amp;ROW()-1),'Heat Sheet'!$A:$A)+1, COLUMN()), IF(ISNA(_xlpm.VAL), "", IF(_xlpm.VAL=0, "", _xlpm.VAL)))</f>
        <v/>
      </c>
      <c r="G191" s="154" t="str" cm="1">
        <f t="array" aca="1" ref="G191" ca="1">_xlfn.LET(_xlpm.VAL, INDEX('Heat Sheet'!$A:$I, _xlfn.XMATCH(INDIRECT("A"&amp;ROW()-1),'Heat Sheet'!$A:$A)+1, COLUMN()), IF(ISNA(_xlpm.VAL), "", IF(_xlpm.VAL=0, "", _xlpm.VAL)))</f>
        <v/>
      </c>
      <c r="H191" s="154" t="str" cm="1">
        <f t="array" aca="1" ref="H191" ca="1">_xlfn.LET(_xlpm.VAL, INDEX('Heat Sheet'!$A:$I, _xlfn.XMATCH(INDIRECT("A"&amp;ROW()-1),'Heat Sheet'!$A:$A)+1, COLUMN()), IF(ISNA(_xlpm.VAL), "", IF(_xlpm.VAL=0, "", _xlpm.VAL)))</f>
        <v/>
      </c>
      <c r="I191" s="155" t="str" cm="1">
        <f t="array" aca="1" ref="I191" ca="1">_xlfn.LET(_xlpm.VAL, INDEX('Heat Sheet'!$A:$I, _xlfn.XMATCH(INDIRECT("A"&amp;ROW()-1),'Heat Sheet'!$A:$A)+1, COLUMN()), IF(ISNA(_xlpm.VAL), "", IF(_xlpm.VAL=0, "", _xlpm.VAL)))</f>
        <v/>
      </c>
    </row>
    <row r="192" spans="1:9" ht="16" x14ac:dyDescent="0.2">
      <c r="A192" s="201"/>
      <c r="B192" s="202"/>
      <c r="C192" s="122" t="s">
        <v>22</v>
      </c>
      <c r="D192" s="124"/>
      <c r="E192" s="124"/>
      <c r="F192" s="124"/>
      <c r="G192" s="124"/>
      <c r="H192" s="124"/>
      <c r="I192" s="126"/>
    </row>
    <row r="193" spans="1:9" ht="16" x14ac:dyDescent="0.2">
      <c r="A193" s="201"/>
      <c r="B193" s="202"/>
      <c r="C193" s="122" t="s">
        <v>23</v>
      </c>
      <c r="D193" s="158"/>
      <c r="E193" s="158"/>
      <c r="F193" s="158"/>
      <c r="G193" s="158"/>
      <c r="H193" s="158"/>
      <c r="I193" s="159"/>
    </row>
    <row r="194" spans="1:9" ht="17" x14ac:dyDescent="0.2">
      <c r="A194" s="201"/>
      <c r="B194" s="202"/>
      <c r="C194" s="26" t="s">
        <v>14</v>
      </c>
      <c r="D194" s="160"/>
      <c r="E194" s="160"/>
      <c r="F194" s="160"/>
      <c r="G194" s="160"/>
      <c r="H194" s="160"/>
      <c r="I194" s="161"/>
    </row>
    <row r="195" spans="1:9" ht="17" x14ac:dyDescent="0.2">
      <c r="A195" s="201">
        <v>39</v>
      </c>
      <c r="B195" s="202" t="str">
        <f>IFERROR(VLOOKUP(A195,'Heat Sheet'!$A:$I, 2, FALSE), "")</f>
        <v>12:10 PM</v>
      </c>
      <c r="C195" s="129" t="str" cm="1">
        <f t="array" aca="1" ref="C195" ca="1">_xlfn.LET(_xlpm.VAL, INDEX('Heat Sheet'!$A:$I, _xlfn.XMATCH(INDIRECT("A"&amp;ROW()),'Heat Sheet'!$A:$A), COLUMN()), IF(ISNA(_xlpm.VAL), "", IF(_xlpm.VAL=0, "", _xlpm.VAL)))</f>
        <v/>
      </c>
      <c r="D195" s="154" t="str" cm="1">
        <f t="array" aca="1" ref="D195" ca="1">_xlfn.LET(_xlpm.VAL, INDEX('Heat Sheet'!$A:$I, _xlfn.XMATCH(INDIRECT("A"&amp;ROW()),'Heat Sheet'!$A:$A), COLUMN()), IF(ISNA(_xlpm.VAL), "", IF(_xlpm.VAL=0, "", _xlpm.VAL)))</f>
        <v/>
      </c>
      <c r="E195" s="154" t="str" cm="1">
        <f t="array" aca="1" ref="E195" ca="1">_xlfn.LET(_xlpm.VAL, INDEX('Heat Sheet'!$A:$I, _xlfn.XMATCH(INDIRECT("A"&amp;ROW()),'Heat Sheet'!$A:$A), COLUMN()), IF(ISNA(_xlpm.VAL), "", IF(_xlpm.VAL=0, "", _xlpm.VAL)))</f>
        <v/>
      </c>
      <c r="F195" s="154" t="str" cm="1">
        <f t="array" aca="1" ref="F195" ca="1">_xlfn.LET(_xlpm.VAL, INDEX('Heat Sheet'!$A:$I, _xlfn.XMATCH(INDIRECT("A"&amp;ROW()),'Heat Sheet'!$A:$A), COLUMN()), IF(ISNA(_xlpm.VAL), "", IF(_xlpm.VAL=0, "", _xlpm.VAL)))</f>
        <v/>
      </c>
      <c r="G195" s="154" t="str" cm="1">
        <f t="array" aca="1" ref="G195" ca="1">_xlfn.LET(_xlpm.VAL, INDEX('Heat Sheet'!$A:$I, _xlfn.XMATCH(INDIRECT("A"&amp;ROW()),'Heat Sheet'!$A:$A), COLUMN()), IF(ISNA(_xlpm.VAL), "", IF(_xlpm.VAL=0, "", _xlpm.VAL)))</f>
        <v/>
      </c>
      <c r="H195" s="154" t="str" cm="1">
        <f t="array" aca="1" ref="H195" ca="1">_xlfn.LET(_xlpm.VAL, INDEX('Heat Sheet'!$A:$I, _xlfn.XMATCH(INDIRECT("A"&amp;ROW()),'Heat Sheet'!$A:$A), COLUMN()), IF(ISNA(_xlpm.VAL), "", IF(_xlpm.VAL=0, "", _xlpm.VAL)))</f>
        <v/>
      </c>
      <c r="I195" s="155" t="str" cm="1">
        <f t="array" aca="1" ref="I195" ca="1">_xlfn.LET(_xlpm.VAL, INDEX('Heat Sheet'!$A:$I, _xlfn.XMATCH(INDIRECT("A"&amp;ROW()),'Heat Sheet'!$A:$A), COLUMN()), IF(ISNA(_xlpm.VAL), "", IF(_xlpm.VAL=0, "", _xlpm.VAL)))</f>
        <v/>
      </c>
    </row>
    <row r="196" spans="1:9" ht="17" x14ac:dyDescent="0.2">
      <c r="A196" s="201"/>
      <c r="B196" s="202"/>
      <c r="C196" s="129" t="str" cm="1">
        <f t="array" aca="1" ref="C196" ca="1">_xlfn.LET(_xlpm.VAL, INDEX('Heat Sheet'!$A:$I, _xlfn.XMATCH(INDIRECT("A"&amp;ROW()-1),'Heat Sheet'!$A:$A)+1, COLUMN()), IF(ISNA(_xlpm.VAL), "", IF(_xlpm.VAL=0, "", _xlpm.VAL)))</f>
        <v/>
      </c>
      <c r="D196" s="154" t="str" cm="1">
        <f t="array" aca="1" ref="D196" ca="1">_xlfn.LET(_xlpm.VAL, INDEX('Heat Sheet'!$A:$I, _xlfn.XMATCH(INDIRECT("A"&amp;ROW()-1),'Heat Sheet'!$A:$A)+1, COLUMN()), IF(ISNA(_xlpm.VAL), "", IF(_xlpm.VAL=0, "", _xlpm.VAL)))</f>
        <v/>
      </c>
      <c r="E196" s="154" t="str" cm="1">
        <f t="array" aca="1" ref="E196" ca="1">_xlfn.LET(_xlpm.VAL, INDEX('Heat Sheet'!$A:$I, _xlfn.XMATCH(INDIRECT("A"&amp;ROW()-1),'Heat Sheet'!$A:$A)+1, COLUMN()), IF(ISNA(_xlpm.VAL), "", IF(_xlpm.VAL=0, "", _xlpm.VAL)))</f>
        <v/>
      </c>
      <c r="F196" s="154" t="str" cm="1">
        <f t="array" aca="1" ref="F196" ca="1">_xlfn.LET(_xlpm.VAL, INDEX('Heat Sheet'!$A:$I, _xlfn.XMATCH(INDIRECT("A"&amp;ROW()-1),'Heat Sheet'!$A:$A)+1, COLUMN()), IF(ISNA(_xlpm.VAL), "", IF(_xlpm.VAL=0, "", _xlpm.VAL)))</f>
        <v/>
      </c>
      <c r="G196" s="154" t="str" cm="1">
        <f t="array" aca="1" ref="G196" ca="1">_xlfn.LET(_xlpm.VAL, INDEX('Heat Sheet'!$A:$I, _xlfn.XMATCH(INDIRECT("A"&amp;ROW()-1),'Heat Sheet'!$A:$A)+1, COLUMN()), IF(ISNA(_xlpm.VAL), "", IF(_xlpm.VAL=0, "", _xlpm.VAL)))</f>
        <v/>
      </c>
      <c r="H196" s="154" t="str" cm="1">
        <f t="array" aca="1" ref="H196" ca="1">_xlfn.LET(_xlpm.VAL, INDEX('Heat Sheet'!$A:$I, _xlfn.XMATCH(INDIRECT("A"&amp;ROW()-1),'Heat Sheet'!$A:$A)+1, COLUMN()), IF(ISNA(_xlpm.VAL), "", IF(_xlpm.VAL=0, "", _xlpm.VAL)))</f>
        <v/>
      </c>
      <c r="I196" s="155" t="str" cm="1">
        <f t="array" aca="1" ref="I196" ca="1">_xlfn.LET(_xlpm.VAL, INDEX('Heat Sheet'!$A:$I, _xlfn.XMATCH(INDIRECT("A"&amp;ROW()-1),'Heat Sheet'!$A:$A)+1, COLUMN()), IF(ISNA(_xlpm.VAL), "", IF(_xlpm.VAL=0, "", _xlpm.VAL)))</f>
        <v/>
      </c>
    </row>
    <row r="197" spans="1:9" ht="16" x14ac:dyDescent="0.2">
      <c r="A197" s="201"/>
      <c r="B197" s="202"/>
      <c r="C197" s="122" t="s">
        <v>22</v>
      </c>
      <c r="D197" s="124"/>
      <c r="E197" s="124"/>
      <c r="F197" s="124"/>
      <c r="G197" s="124"/>
      <c r="H197" s="124"/>
      <c r="I197" s="126"/>
    </row>
    <row r="198" spans="1:9" ht="16" x14ac:dyDescent="0.2">
      <c r="A198" s="201"/>
      <c r="B198" s="202"/>
      <c r="C198" s="122" t="s">
        <v>23</v>
      </c>
      <c r="D198" s="158"/>
      <c r="E198" s="158"/>
      <c r="F198" s="158"/>
      <c r="G198" s="158"/>
      <c r="H198" s="158"/>
      <c r="I198" s="159"/>
    </row>
    <row r="199" spans="1:9" ht="17" x14ac:dyDescent="0.2">
      <c r="A199" s="201"/>
      <c r="B199" s="202"/>
      <c r="C199" s="26" t="s">
        <v>14</v>
      </c>
      <c r="D199" s="160"/>
      <c r="E199" s="160"/>
      <c r="F199" s="160"/>
      <c r="G199" s="160"/>
      <c r="H199" s="160"/>
      <c r="I199" s="161"/>
    </row>
    <row r="200" spans="1:9" ht="17" x14ac:dyDescent="0.2">
      <c r="A200" s="201">
        <v>40</v>
      </c>
      <c r="B200" s="202" t="str">
        <f>IFERROR(VLOOKUP(A200,'Heat Sheet'!$A:$I, 2, FALSE), "")</f>
        <v>12:15 PM</v>
      </c>
      <c r="C200" s="129" t="str" cm="1">
        <f t="array" aca="1" ref="C200" ca="1">_xlfn.LET(_xlpm.VAL, INDEX('Heat Sheet'!$A:$I, _xlfn.XMATCH(INDIRECT("A"&amp;ROW()),'Heat Sheet'!$A:$A), COLUMN()), IF(ISNA(_xlpm.VAL), "", IF(_xlpm.VAL=0, "", _xlpm.VAL)))</f>
        <v/>
      </c>
      <c r="D200" s="154" t="str" cm="1">
        <f t="array" aca="1" ref="D200" ca="1">_xlfn.LET(_xlpm.VAL, INDEX('Heat Sheet'!$A:$I, _xlfn.XMATCH(INDIRECT("A"&amp;ROW()),'Heat Sheet'!$A:$A), COLUMN()), IF(ISNA(_xlpm.VAL), "", IF(_xlpm.VAL=0, "", _xlpm.VAL)))</f>
        <v/>
      </c>
      <c r="E200" s="154" t="str" cm="1">
        <f t="array" aca="1" ref="E200" ca="1">_xlfn.LET(_xlpm.VAL, INDEX('Heat Sheet'!$A:$I, _xlfn.XMATCH(INDIRECT("A"&amp;ROW()),'Heat Sheet'!$A:$A), COLUMN()), IF(ISNA(_xlpm.VAL), "", IF(_xlpm.VAL=0, "", _xlpm.VAL)))</f>
        <v/>
      </c>
      <c r="F200" s="154" t="str" cm="1">
        <f t="array" aca="1" ref="F200" ca="1">_xlfn.LET(_xlpm.VAL, INDEX('Heat Sheet'!$A:$I, _xlfn.XMATCH(INDIRECT("A"&amp;ROW()),'Heat Sheet'!$A:$A), COLUMN()), IF(ISNA(_xlpm.VAL), "", IF(_xlpm.VAL=0, "", _xlpm.VAL)))</f>
        <v/>
      </c>
      <c r="G200" s="154" t="str" cm="1">
        <f t="array" aca="1" ref="G200" ca="1">_xlfn.LET(_xlpm.VAL, INDEX('Heat Sheet'!$A:$I, _xlfn.XMATCH(INDIRECT("A"&amp;ROW()),'Heat Sheet'!$A:$A), COLUMN()), IF(ISNA(_xlpm.VAL), "", IF(_xlpm.VAL=0, "", _xlpm.VAL)))</f>
        <v/>
      </c>
      <c r="H200" s="154" t="str" cm="1">
        <f t="array" aca="1" ref="H200" ca="1">_xlfn.LET(_xlpm.VAL, INDEX('Heat Sheet'!$A:$I, _xlfn.XMATCH(INDIRECT("A"&amp;ROW()),'Heat Sheet'!$A:$A), COLUMN()), IF(ISNA(_xlpm.VAL), "", IF(_xlpm.VAL=0, "", _xlpm.VAL)))</f>
        <v/>
      </c>
      <c r="I200" s="155" t="str" cm="1">
        <f t="array" aca="1" ref="I200" ca="1">_xlfn.LET(_xlpm.VAL, INDEX('Heat Sheet'!$A:$I, _xlfn.XMATCH(INDIRECT("A"&amp;ROW()),'Heat Sheet'!$A:$A), COLUMN()), IF(ISNA(_xlpm.VAL), "", IF(_xlpm.VAL=0, "", _xlpm.VAL)))</f>
        <v/>
      </c>
    </row>
    <row r="201" spans="1:9" ht="17" x14ac:dyDescent="0.2">
      <c r="A201" s="201"/>
      <c r="B201" s="202"/>
      <c r="C201" s="129" t="str" cm="1">
        <f t="array" aca="1" ref="C201" ca="1">_xlfn.LET(_xlpm.VAL, INDEX('Heat Sheet'!$A:$I, _xlfn.XMATCH(INDIRECT("A"&amp;ROW()-1),'Heat Sheet'!$A:$A)+1, COLUMN()), IF(ISNA(_xlpm.VAL), "", IF(_xlpm.VAL=0, "", _xlpm.VAL)))</f>
        <v/>
      </c>
      <c r="D201" s="154" t="str" cm="1">
        <f t="array" aca="1" ref="D201" ca="1">_xlfn.LET(_xlpm.VAL, INDEX('Heat Sheet'!$A:$I, _xlfn.XMATCH(INDIRECT("A"&amp;ROW()-1),'Heat Sheet'!$A:$A)+1, COLUMN()), IF(ISNA(_xlpm.VAL), "", IF(_xlpm.VAL=0, "", _xlpm.VAL)))</f>
        <v/>
      </c>
      <c r="E201" s="154" t="str" cm="1">
        <f t="array" aca="1" ref="E201" ca="1">_xlfn.LET(_xlpm.VAL, INDEX('Heat Sheet'!$A:$I, _xlfn.XMATCH(INDIRECT("A"&amp;ROW()-1),'Heat Sheet'!$A:$A)+1, COLUMN()), IF(ISNA(_xlpm.VAL), "", IF(_xlpm.VAL=0, "", _xlpm.VAL)))</f>
        <v/>
      </c>
      <c r="F201" s="154" t="str" cm="1">
        <f t="array" aca="1" ref="F201" ca="1">_xlfn.LET(_xlpm.VAL, INDEX('Heat Sheet'!$A:$I, _xlfn.XMATCH(INDIRECT("A"&amp;ROW()-1),'Heat Sheet'!$A:$A)+1, COLUMN()), IF(ISNA(_xlpm.VAL), "", IF(_xlpm.VAL=0, "", _xlpm.VAL)))</f>
        <v/>
      </c>
      <c r="G201" s="154" t="str" cm="1">
        <f t="array" aca="1" ref="G201" ca="1">_xlfn.LET(_xlpm.VAL, INDEX('Heat Sheet'!$A:$I, _xlfn.XMATCH(INDIRECT("A"&amp;ROW()-1),'Heat Sheet'!$A:$A)+1, COLUMN()), IF(ISNA(_xlpm.VAL), "", IF(_xlpm.VAL=0, "", _xlpm.VAL)))</f>
        <v/>
      </c>
      <c r="H201" s="154" t="str" cm="1">
        <f t="array" aca="1" ref="H201" ca="1">_xlfn.LET(_xlpm.VAL, INDEX('Heat Sheet'!$A:$I, _xlfn.XMATCH(INDIRECT("A"&amp;ROW()-1),'Heat Sheet'!$A:$A)+1, COLUMN()), IF(ISNA(_xlpm.VAL), "", IF(_xlpm.VAL=0, "", _xlpm.VAL)))</f>
        <v/>
      </c>
      <c r="I201" s="155" t="str" cm="1">
        <f t="array" aca="1" ref="I201" ca="1">_xlfn.LET(_xlpm.VAL, INDEX('Heat Sheet'!$A:$I, _xlfn.XMATCH(INDIRECT("A"&amp;ROW()-1),'Heat Sheet'!$A:$A)+1, COLUMN()), IF(ISNA(_xlpm.VAL), "", IF(_xlpm.VAL=0, "", _xlpm.VAL)))</f>
        <v/>
      </c>
    </row>
    <row r="202" spans="1:9" ht="16" x14ac:dyDescent="0.2">
      <c r="A202" s="201"/>
      <c r="B202" s="202"/>
      <c r="C202" s="122" t="s">
        <v>22</v>
      </c>
      <c r="D202" s="124"/>
      <c r="E202" s="124"/>
      <c r="F202" s="124"/>
      <c r="G202" s="124"/>
      <c r="H202" s="124"/>
      <c r="I202" s="126"/>
    </row>
    <row r="203" spans="1:9" ht="18.5" customHeight="1" x14ac:dyDescent="0.2">
      <c r="A203" s="201"/>
      <c r="B203" s="202"/>
      <c r="C203" s="122" t="s">
        <v>23</v>
      </c>
      <c r="D203" s="158"/>
      <c r="E203" s="158"/>
      <c r="F203" s="158"/>
      <c r="G203" s="158"/>
      <c r="H203" s="158"/>
      <c r="I203" s="159"/>
    </row>
    <row r="204" spans="1:9" ht="17" x14ac:dyDescent="0.2">
      <c r="A204" s="217"/>
      <c r="B204" s="202"/>
      <c r="C204" s="26" t="s">
        <v>14</v>
      </c>
      <c r="D204" s="160"/>
      <c r="E204" s="160"/>
      <c r="F204" s="160"/>
      <c r="G204" s="160"/>
      <c r="H204" s="160"/>
      <c r="I204" s="161"/>
    </row>
    <row r="205" spans="1:9" ht="17" x14ac:dyDescent="0.2">
      <c r="A205" s="201">
        <v>41</v>
      </c>
      <c r="B205" s="202" t="str">
        <f>IFERROR(VLOOKUP(A205,'Heat Sheet'!$A:$I, 2, FALSE), "")</f>
        <v>01:22 PM</v>
      </c>
      <c r="C205" s="129" t="str" cm="1">
        <f t="array" aca="1" ref="C205" ca="1">_xlfn.LET(_xlpm.VAL, INDEX('Heat Sheet'!$A:$I, _xlfn.XMATCH(INDIRECT("A"&amp;ROW()),'Heat Sheet'!$A:$A), COLUMN()), IF(ISNA(_xlpm.VAL), "", IF(_xlpm.VAL=0, "", _xlpm.VAL)))</f>
        <v/>
      </c>
      <c r="D205" s="154" t="str" cm="1">
        <f t="array" aca="1" ref="D205" ca="1">_xlfn.LET(_xlpm.VAL, INDEX('Heat Sheet'!$A:$I, _xlfn.XMATCH(INDIRECT("A"&amp;ROW()),'Heat Sheet'!$A:$A), COLUMN()), IF(ISNA(_xlpm.VAL), "", IF(_xlpm.VAL=0, "", _xlpm.VAL)))</f>
        <v/>
      </c>
      <c r="E205" s="154" t="str" cm="1">
        <f t="array" aca="1" ref="E205" ca="1">_xlfn.LET(_xlpm.VAL, INDEX('Heat Sheet'!$A:$I, _xlfn.XMATCH(INDIRECT("A"&amp;ROW()),'Heat Sheet'!$A:$A), COLUMN()), IF(ISNA(_xlpm.VAL), "", IF(_xlpm.VAL=0, "", _xlpm.VAL)))</f>
        <v/>
      </c>
      <c r="F205" s="154" t="str" cm="1">
        <f t="array" aca="1" ref="F205" ca="1">_xlfn.LET(_xlpm.VAL, INDEX('Heat Sheet'!$A:$I, _xlfn.XMATCH(INDIRECT("A"&amp;ROW()),'Heat Sheet'!$A:$A), COLUMN()), IF(ISNA(_xlpm.VAL), "", IF(_xlpm.VAL=0, "", _xlpm.VAL)))</f>
        <v/>
      </c>
      <c r="G205" s="154" t="str" cm="1">
        <f t="array" aca="1" ref="G205" ca="1">_xlfn.LET(_xlpm.VAL, INDEX('Heat Sheet'!$A:$I, _xlfn.XMATCH(INDIRECT("A"&amp;ROW()),'Heat Sheet'!$A:$A), COLUMN()), IF(ISNA(_xlpm.VAL), "", IF(_xlpm.VAL=0, "", _xlpm.VAL)))</f>
        <v/>
      </c>
      <c r="H205" s="154" t="str" cm="1">
        <f t="array" aca="1" ref="H205" ca="1">_xlfn.LET(_xlpm.VAL, INDEX('Heat Sheet'!$A:$I, _xlfn.XMATCH(INDIRECT("A"&amp;ROW()),'Heat Sheet'!$A:$A), COLUMN()), IF(ISNA(_xlpm.VAL), "", IF(_xlpm.VAL=0, "", _xlpm.VAL)))</f>
        <v/>
      </c>
      <c r="I205" s="155" t="str" cm="1">
        <f t="array" aca="1" ref="I205" ca="1">_xlfn.LET(_xlpm.VAL, INDEX('Heat Sheet'!$A:$I, _xlfn.XMATCH(INDIRECT("A"&amp;ROW()),'Heat Sheet'!$A:$A), COLUMN()), IF(ISNA(_xlpm.VAL), "", IF(_xlpm.VAL=0, "", _xlpm.VAL)))</f>
        <v/>
      </c>
    </row>
    <row r="206" spans="1:9" ht="17" x14ac:dyDescent="0.2">
      <c r="A206" s="201"/>
      <c r="B206" s="202"/>
      <c r="C206" s="129" t="str" cm="1">
        <f t="array" aca="1" ref="C206" ca="1">_xlfn.LET(_xlpm.VAL, INDEX('Heat Sheet'!$A:$I, _xlfn.XMATCH(INDIRECT("A"&amp;ROW()-1),'Heat Sheet'!$A:$A)+1, COLUMN()), IF(ISNA(_xlpm.VAL), "", IF(_xlpm.VAL=0, "", _xlpm.VAL)))</f>
        <v/>
      </c>
      <c r="D206" s="154" t="str" cm="1">
        <f t="array" aca="1" ref="D206" ca="1">_xlfn.LET(_xlpm.VAL, INDEX('Heat Sheet'!$A:$I, _xlfn.XMATCH(INDIRECT("A"&amp;ROW()-1),'Heat Sheet'!$A:$A)+1, COLUMN()), IF(ISNA(_xlpm.VAL), "", IF(_xlpm.VAL=0, "", _xlpm.VAL)))</f>
        <v/>
      </c>
      <c r="E206" s="154" t="str" cm="1">
        <f t="array" aca="1" ref="E206" ca="1">_xlfn.LET(_xlpm.VAL, INDEX('Heat Sheet'!$A:$I, _xlfn.XMATCH(INDIRECT("A"&amp;ROW()-1),'Heat Sheet'!$A:$A)+1, COLUMN()), IF(ISNA(_xlpm.VAL), "", IF(_xlpm.VAL=0, "", _xlpm.VAL)))</f>
        <v/>
      </c>
      <c r="F206" s="154" t="str" cm="1">
        <f t="array" aca="1" ref="F206" ca="1">_xlfn.LET(_xlpm.VAL, INDEX('Heat Sheet'!$A:$I, _xlfn.XMATCH(INDIRECT("A"&amp;ROW()-1),'Heat Sheet'!$A:$A)+1, COLUMN()), IF(ISNA(_xlpm.VAL), "", IF(_xlpm.VAL=0, "", _xlpm.VAL)))</f>
        <v/>
      </c>
      <c r="G206" s="154" t="str" cm="1">
        <f t="array" aca="1" ref="G206" ca="1">_xlfn.LET(_xlpm.VAL, INDEX('Heat Sheet'!$A:$I, _xlfn.XMATCH(INDIRECT("A"&amp;ROW()-1),'Heat Sheet'!$A:$A)+1, COLUMN()), IF(ISNA(_xlpm.VAL), "", IF(_xlpm.VAL=0, "", _xlpm.VAL)))</f>
        <v/>
      </c>
      <c r="H206" s="154" t="str" cm="1">
        <f t="array" aca="1" ref="H206" ca="1">_xlfn.LET(_xlpm.VAL, INDEX('Heat Sheet'!$A:$I, _xlfn.XMATCH(INDIRECT("A"&amp;ROW()-1),'Heat Sheet'!$A:$A)+1, COLUMN()), IF(ISNA(_xlpm.VAL), "", IF(_xlpm.VAL=0, "", _xlpm.VAL)))</f>
        <v/>
      </c>
      <c r="I206" s="155" t="str" cm="1">
        <f t="array" aca="1" ref="I206" ca="1">_xlfn.LET(_xlpm.VAL, INDEX('Heat Sheet'!$A:$I, _xlfn.XMATCH(INDIRECT("A"&amp;ROW()-1),'Heat Sheet'!$A:$A)+1, COLUMN()), IF(ISNA(_xlpm.VAL), "", IF(_xlpm.VAL=0, "", _xlpm.VAL)))</f>
        <v/>
      </c>
    </row>
    <row r="207" spans="1:9" ht="16" x14ac:dyDescent="0.2">
      <c r="A207" s="201"/>
      <c r="B207" s="202"/>
      <c r="C207" s="122" t="s">
        <v>22</v>
      </c>
      <c r="D207" s="124"/>
      <c r="E207" s="124"/>
      <c r="F207" s="124"/>
      <c r="G207" s="124"/>
      <c r="H207" s="124"/>
      <c r="I207" s="126"/>
    </row>
    <row r="208" spans="1:9" ht="16" x14ac:dyDescent="0.2">
      <c r="A208" s="201"/>
      <c r="B208" s="202"/>
      <c r="C208" s="122" t="s">
        <v>23</v>
      </c>
      <c r="D208" s="158"/>
      <c r="E208" s="158"/>
      <c r="F208" s="158"/>
      <c r="G208" s="158"/>
      <c r="H208" s="158"/>
      <c r="I208" s="159"/>
    </row>
    <row r="209" spans="1:9" ht="18.5" customHeight="1" x14ac:dyDescent="0.2">
      <c r="A209" s="201"/>
      <c r="B209" s="202"/>
      <c r="C209" s="26" t="s">
        <v>14</v>
      </c>
      <c r="D209" s="160"/>
      <c r="E209" s="160"/>
      <c r="F209" s="160"/>
      <c r="G209" s="160"/>
      <c r="H209" s="160"/>
      <c r="I209" s="161"/>
    </row>
    <row r="210" spans="1:9" ht="15.5" customHeight="1" x14ac:dyDescent="0.2">
      <c r="A210" s="216">
        <v>42</v>
      </c>
      <c r="B210" s="202" t="str">
        <f>IFERROR(VLOOKUP(A210,'Heat Sheet'!$A:$I, 2, FALSE), "")</f>
        <v>01:27 PM</v>
      </c>
      <c r="C210" s="129" t="str" cm="1">
        <f t="array" aca="1" ref="C210" ca="1">_xlfn.LET(_xlpm.VAL, INDEX('Heat Sheet'!$A:$I, _xlfn.XMATCH(INDIRECT("A"&amp;ROW()),'Heat Sheet'!$A:$A), COLUMN()), IF(ISNA(_xlpm.VAL), "", IF(_xlpm.VAL=0, "", _xlpm.VAL)))</f>
        <v/>
      </c>
      <c r="D210" s="154" t="str" cm="1">
        <f t="array" aca="1" ref="D210" ca="1">_xlfn.LET(_xlpm.VAL, INDEX('Heat Sheet'!$A:$I, _xlfn.XMATCH(INDIRECT("A"&amp;ROW()),'Heat Sheet'!$A:$A), COLUMN()), IF(ISNA(_xlpm.VAL), "", IF(_xlpm.VAL=0, "", _xlpm.VAL)))</f>
        <v/>
      </c>
      <c r="E210" s="154" t="str" cm="1">
        <f t="array" aca="1" ref="E210" ca="1">_xlfn.LET(_xlpm.VAL, INDEX('Heat Sheet'!$A:$I, _xlfn.XMATCH(INDIRECT("A"&amp;ROW()),'Heat Sheet'!$A:$A), COLUMN()), IF(ISNA(_xlpm.VAL), "", IF(_xlpm.VAL=0, "", _xlpm.VAL)))</f>
        <v/>
      </c>
      <c r="F210" s="154" t="str" cm="1">
        <f t="array" aca="1" ref="F210" ca="1">_xlfn.LET(_xlpm.VAL, INDEX('Heat Sheet'!$A:$I, _xlfn.XMATCH(INDIRECT("A"&amp;ROW()),'Heat Sheet'!$A:$A), COLUMN()), IF(ISNA(_xlpm.VAL), "", IF(_xlpm.VAL=0, "", _xlpm.VAL)))</f>
        <v/>
      </c>
      <c r="G210" s="154" t="str" cm="1">
        <f t="array" aca="1" ref="G210" ca="1">_xlfn.LET(_xlpm.VAL, INDEX('Heat Sheet'!$A:$I, _xlfn.XMATCH(INDIRECT("A"&amp;ROW()),'Heat Sheet'!$A:$A), COLUMN()), IF(ISNA(_xlpm.VAL), "", IF(_xlpm.VAL=0, "", _xlpm.VAL)))</f>
        <v/>
      </c>
      <c r="H210" s="154" t="str" cm="1">
        <f t="array" aca="1" ref="H210" ca="1">_xlfn.LET(_xlpm.VAL, INDEX('Heat Sheet'!$A:$I, _xlfn.XMATCH(INDIRECT("A"&amp;ROW()),'Heat Sheet'!$A:$A), COLUMN()), IF(ISNA(_xlpm.VAL), "", IF(_xlpm.VAL=0, "", _xlpm.VAL)))</f>
        <v/>
      </c>
      <c r="I210" s="155" t="str" cm="1">
        <f t="array" aca="1" ref="I210" ca="1">_xlfn.LET(_xlpm.VAL, INDEX('Heat Sheet'!$A:$I, _xlfn.XMATCH(INDIRECT("A"&amp;ROW()),'Heat Sheet'!$A:$A), COLUMN()), IF(ISNA(_xlpm.VAL), "", IF(_xlpm.VAL=0, "", _xlpm.VAL)))</f>
        <v/>
      </c>
    </row>
    <row r="211" spans="1:9" ht="15.5" customHeight="1" x14ac:dyDescent="0.2">
      <c r="A211" s="201"/>
      <c r="B211" s="202"/>
      <c r="C211" s="129" t="str" cm="1">
        <f t="array" aca="1" ref="C211" ca="1">_xlfn.LET(_xlpm.VAL, INDEX('Heat Sheet'!$A:$I, _xlfn.XMATCH(INDIRECT("A"&amp;ROW()-1),'Heat Sheet'!$A:$A)+1, COLUMN()), IF(ISNA(_xlpm.VAL), "", IF(_xlpm.VAL=0, "", _xlpm.VAL)))</f>
        <v/>
      </c>
      <c r="D211" s="154" t="str" cm="1">
        <f t="array" aca="1" ref="D211" ca="1">_xlfn.LET(_xlpm.VAL, INDEX('Heat Sheet'!$A:$I, _xlfn.XMATCH(INDIRECT("A"&amp;ROW()-1),'Heat Sheet'!$A:$A)+1, COLUMN()), IF(ISNA(_xlpm.VAL), "", IF(_xlpm.VAL=0, "", _xlpm.VAL)))</f>
        <v/>
      </c>
      <c r="E211" s="154" t="str" cm="1">
        <f t="array" aca="1" ref="E211" ca="1">_xlfn.LET(_xlpm.VAL, INDEX('Heat Sheet'!$A:$I, _xlfn.XMATCH(INDIRECT("A"&amp;ROW()-1),'Heat Sheet'!$A:$A)+1, COLUMN()), IF(ISNA(_xlpm.VAL), "", IF(_xlpm.VAL=0, "", _xlpm.VAL)))</f>
        <v/>
      </c>
      <c r="F211" s="154" t="str" cm="1">
        <f t="array" aca="1" ref="F211" ca="1">_xlfn.LET(_xlpm.VAL, INDEX('Heat Sheet'!$A:$I, _xlfn.XMATCH(INDIRECT("A"&amp;ROW()-1),'Heat Sheet'!$A:$A)+1, COLUMN()), IF(ISNA(_xlpm.VAL), "", IF(_xlpm.VAL=0, "", _xlpm.VAL)))</f>
        <v/>
      </c>
      <c r="G211" s="154" t="str" cm="1">
        <f t="array" aca="1" ref="G211" ca="1">_xlfn.LET(_xlpm.VAL, INDEX('Heat Sheet'!$A:$I, _xlfn.XMATCH(INDIRECT("A"&amp;ROW()-1),'Heat Sheet'!$A:$A)+1, COLUMN()), IF(ISNA(_xlpm.VAL), "", IF(_xlpm.VAL=0, "", _xlpm.VAL)))</f>
        <v/>
      </c>
      <c r="H211" s="154" t="str" cm="1">
        <f t="array" aca="1" ref="H211" ca="1">_xlfn.LET(_xlpm.VAL, INDEX('Heat Sheet'!$A:$I, _xlfn.XMATCH(INDIRECT("A"&amp;ROW()-1),'Heat Sheet'!$A:$A)+1, COLUMN()), IF(ISNA(_xlpm.VAL), "", IF(_xlpm.VAL=0, "", _xlpm.VAL)))</f>
        <v/>
      </c>
      <c r="I211" s="155" t="str" cm="1">
        <f t="array" aca="1" ref="I211" ca="1">_xlfn.LET(_xlpm.VAL, INDEX('Heat Sheet'!$A:$I, _xlfn.XMATCH(INDIRECT("A"&amp;ROW()-1),'Heat Sheet'!$A:$A)+1, COLUMN()), IF(ISNA(_xlpm.VAL), "", IF(_xlpm.VAL=0, "", _xlpm.VAL)))</f>
        <v/>
      </c>
    </row>
    <row r="212" spans="1:9" ht="15.5" customHeight="1" x14ac:dyDescent="0.2">
      <c r="A212" s="201"/>
      <c r="B212" s="202"/>
      <c r="C212" s="122" t="s">
        <v>22</v>
      </c>
      <c r="D212" s="124"/>
      <c r="E212" s="124"/>
      <c r="F212" s="124"/>
      <c r="G212" s="124"/>
      <c r="H212" s="124"/>
      <c r="I212" s="126"/>
    </row>
    <row r="213" spans="1:9" ht="16" x14ac:dyDescent="0.2">
      <c r="A213" s="201"/>
      <c r="B213" s="202"/>
      <c r="C213" s="122" t="s">
        <v>23</v>
      </c>
      <c r="D213" s="158"/>
      <c r="E213" s="158"/>
      <c r="F213" s="158"/>
      <c r="G213" s="158"/>
      <c r="H213" s="158"/>
      <c r="I213" s="159"/>
    </row>
    <row r="214" spans="1:9" ht="17" x14ac:dyDescent="0.2">
      <c r="A214" s="201"/>
      <c r="B214" s="202"/>
      <c r="C214" s="26" t="s">
        <v>14</v>
      </c>
      <c r="D214" s="160"/>
      <c r="E214" s="160"/>
      <c r="F214" s="160"/>
      <c r="G214" s="160"/>
      <c r="H214" s="160"/>
      <c r="I214" s="161"/>
    </row>
    <row r="215" spans="1:9" ht="17" x14ac:dyDescent="0.2">
      <c r="A215" s="216">
        <v>43</v>
      </c>
      <c r="B215" s="202" t="str">
        <f>IFERROR(VLOOKUP(A215,'Heat Sheet'!$A:$I, 2, FALSE), "")</f>
        <v>01:32 PM</v>
      </c>
      <c r="C215" s="129" t="str" cm="1">
        <f t="array" aca="1" ref="C215" ca="1">_xlfn.LET(_xlpm.VAL, INDEX('Heat Sheet'!$A:$I, _xlfn.XMATCH(INDIRECT("A"&amp;ROW()),'Heat Sheet'!$A:$A), COLUMN()), IF(ISNA(_xlpm.VAL), "", IF(_xlpm.VAL=0, "", _xlpm.VAL)))</f>
        <v/>
      </c>
      <c r="D215" s="154" t="str" cm="1">
        <f t="array" aca="1" ref="D215" ca="1">_xlfn.LET(_xlpm.VAL, INDEX('Heat Sheet'!$A:$I, _xlfn.XMATCH(INDIRECT("A"&amp;ROW()),'Heat Sheet'!$A:$A), COLUMN()), IF(ISNA(_xlpm.VAL), "", IF(_xlpm.VAL=0, "", _xlpm.VAL)))</f>
        <v/>
      </c>
      <c r="E215" s="154" t="str" cm="1">
        <f t="array" aca="1" ref="E215" ca="1">_xlfn.LET(_xlpm.VAL, INDEX('Heat Sheet'!$A:$I, _xlfn.XMATCH(INDIRECT("A"&amp;ROW()),'Heat Sheet'!$A:$A), COLUMN()), IF(ISNA(_xlpm.VAL), "", IF(_xlpm.VAL=0, "", _xlpm.VAL)))</f>
        <v/>
      </c>
      <c r="F215" s="154" t="str" cm="1">
        <f t="array" aca="1" ref="F215" ca="1">_xlfn.LET(_xlpm.VAL, INDEX('Heat Sheet'!$A:$I, _xlfn.XMATCH(INDIRECT("A"&amp;ROW()),'Heat Sheet'!$A:$A), COLUMN()), IF(ISNA(_xlpm.VAL), "", IF(_xlpm.VAL=0, "", _xlpm.VAL)))</f>
        <v/>
      </c>
      <c r="G215" s="154" t="str" cm="1">
        <f t="array" aca="1" ref="G215" ca="1">_xlfn.LET(_xlpm.VAL, INDEX('Heat Sheet'!$A:$I, _xlfn.XMATCH(INDIRECT("A"&amp;ROW()),'Heat Sheet'!$A:$A), COLUMN()), IF(ISNA(_xlpm.VAL), "", IF(_xlpm.VAL=0, "", _xlpm.VAL)))</f>
        <v/>
      </c>
      <c r="H215" s="154" t="str" cm="1">
        <f t="array" aca="1" ref="H215" ca="1">_xlfn.LET(_xlpm.VAL, INDEX('Heat Sheet'!$A:$I, _xlfn.XMATCH(INDIRECT("A"&amp;ROW()),'Heat Sheet'!$A:$A), COLUMN()), IF(ISNA(_xlpm.VAL), "", IF(_xlpm.VAL=0, "", _xlpm.VAL)))</f>
        <v/>
      </c>
      <c r="I215" s="155" t="str" cm="1">
        <f t="array" aca="1" ref="I215" ca="1">_xlfn.LET(_xlpm.VAL, INDEX('Heat Sheet'!$A:$I, _xlfn.XMATCH(INDIRECT("A"&amp;ROW()),'Heat Sheet'!$A:$A), COLUMN()), IF(ISNA(_xlpm.VAL), "", IF(_xlpm.VAL=0, "", _xlpm.VAL)))</f>
        <v/>
      </c>
    </row>
    <row r="216" spans="1:9" ht="17" x14ac:dyDescent="0.2">
      <c r="A216" s="201"/>
      <c r="B216" s="202"/>
      <c r="C216" s="129" t="str" cm="1">
        <f t="array" aca="1" ref="C216" ca="1">_xlfn.LET(_xlpm.VAL, INDEX('Heat Sheet'!$A:$I, _xlfn.XMATCH(INDIRECT("A"&amp;ROW()-1),'Heat Sheet'!$A:$A)+1, COLUMN()), IF(ISNA(_xlpm.VAL), "", IF(_xlpm.VAL=0, "", _xlpm.VAL)))</f>
        <v/>
      </c>
      <c r="D216" s="154" t="str" cm="1">
        <f t="array" aca="1" ref="D216" ca="1">_xlfn.LET(_xlpm.VAL, INDEX('Heat Sheet'!$A:$I, _xlfn.XMATCH(INDIRECT("A"&amp;ROW()-1),'Heat Sheet'!$A:$A)+1, COLUMN()), IF(ISNA(_xlpm.VAL), "", IF(_xlpm.VAL=0, "", _xlpm.VAL)))</f>
        <v/>
      </c>
      <c r="E216" s="154" t="str" cm="1">
        <f t="array" aca="1" ref="E216" ca="1">_xlfn.LET(_xlpm.VAL, INDEX('Heat Sheet'!$A:$I, _xlfn.XMATCH(INDIRECT("A"&amp;ROW()-1),'Heat Sheet'!$A:$A)+1, COLUMN()), IF(ISNA(_xlpm.VAL), "", IF(_xlpm.VAL=0, "", _xlpm.VAL)))</f>
        <v/>
      </c>
      <c r="F216" s="154" t="str" cm="1">
        <f t="array" aca="1" ref="F216" ca="1">_xlfn.LET(_xlpm.VAL, INDEX('Heat Sheet'!$A:$I, _xlfn.XMATCH(INDIRECT("A"&amp;ROW()-1),'Heat Sheet'!$A:$A)+1, COLUMN()), IF(ISNA(_xlpm.VAL), "", IF(_xlpm.VAL=0, "", _xlpm.VAL)))</f>
        <v/>
      </c>
      <c r="G216" s="154" t="str" cm="1">
        <f t="array" aca="1" ref="G216" ca="1">_xlfn.LET(_xlpm.VAL, INDEX('Heat Sheet'!$A:$I, _xlfn.XMATCH(INDIRECT("A"&amp;ROW()-1),'Heat Sheet'!$A:$A)+1, COLUMN()), IF(ISNA(_xlpm.VAL), "", IF(_xlpm.VAL=0, "", _xlpm.VAL)))</f>
        <v/>
      </c>
      <c r="H216" s="154" t="str" cm="1">
        <f t="array" aca="1" ref="H216" ca="1">_xlfn.LET(_xlpm.VAL, INDEX('Heat Sheet'!$A:$I, _xlfn.XMATCH(INDIRECT("A"&amp;ROW()-1),'Heat Sheet'!$A:$A)+1, COLUMN()), IF(ISNA(_xlpm.VAL), "", IF(_xlpm.VAL=0, "", _xlpm.VAL)))</f>
        <v/>
      </c>
      <c r="I216" s="155" t="str" cm="1">
        <f t="array" aca="1" ref="I216" ca="1">_xlfn.LET(_xlpm.VAL, INDEX('Heat Sheet'!$A:$I, _xlfn.XMATCH(INDIRECT("A"&amp;ROW()-1),'Heat Sheet'!$A:$A)+1, COLUMN()), IF(ISNA(_xlpm.VAL), "", IF(_xlpm.VAL=0, "", _xlpm.VAL)))</f>
        <v/>
      </c>
    </row>
    <row r="217" spans="1:9" ht="16" x14ac:dyDescent="0.2">
      <c r="A217" s="201"/>
      <c r="B217" s="202"/>
      <c r="C217" s="122" t="s">
        <v>22</v>
      </c>
      <c r="D217" s="124"/>
      <c r="E217" s="124"/>
      <c r="F217" s="124"/>
      <c r="G217" s="124"/>
      <c r="H217" s="124"/>
      <c r="I217" s="126"/>
    </row>
    <row r="218" spans="1:9" ht="18.5" customHeight="1" x14ac:dyDescent="0.2">
      <c r="A218" s="201"/>
      <c r="B218" s="202"/>
      <c r="C218" s="122" t="s">
        <v>23</v>
      </c>
      <c r="D218" s="158"/>
      <c r="E218" s="158"/>
      <c r="F218" s="158"/>
      <c r="G218" s="158"/>
      <c r="H218" s="158"/>
      <c r="I218" s="159"/>
    </row>
    <row r="219" spans="1:9" ht="17" x14ac:dyDescent="0.2">
      <c r="A219" s="217"/>
      <c r="B219" s="202"/>
      <c r="C219" s="26" t="s">
        <v>14</v>
      </c>
      <c r="D219" s="160"/>
      <c r="E219" s="160"/>
      <c r="F219" s="160"/>
      <c r="G219" s="160"/>
      <c r="H219" s="160"/>
      <c r="I219" s="161"/>
    </row>
    <row r="220" spans="1:9" ht="17" x14ac:dyDescent="0.2">
      <c r="A220" s="201">
        <v>44</v>
      </c>
      <c r="B220" s="202" t="str">
        <f>IFERROR(VLOOKUP(A220,'Heat Sheet'!$A:$I, 2, FALSE), "")</f>
        <v>01:37 PM</v>
      </c>
      <c r="C220" s="129" t="str" cm="1">
        <f t="array" aca="1" ref="C220" ca="1">_xlfn.LET(_xlpm.VAL, INDEX('Heat Sheet'!$A:$I, _xlfn.XMATCH(INDIRECT("A"&amp;ROW()),'Heat Sheet'!$A:$A), COLUMN()), IF(ISNA(_xlpm.VAL), "", IF(_xlpm.VAL=0, "", _xlpm.VAL)))</f>
        <v/>
      </c>
      <c r="D220" s="154" t="str" cm="1">
        <f t="array" aca="1" ref="D220" ca="1">_xlfn.LET(_xlpm.VAL, INDEX('Heat Sheet'!$A:$I, _xlfn.XMATCH(INDIRECT("A"&amp;ROW()),'Heat Sheet'!$A:$A), COLUMN()), IF(ISNA(_xlpm.VAL), "", IF(_xlpm.VAL=0, "", _xlpm.VAL)))</f>
        <v/>
      </c>
      <c r="E220" s="154" t="str" cm="1">
        <f t="array" aca="1" ref="E220" ca="1">_xlfn.LET(_xlpm.VAL, INDEX('Heat Sheet'!$A:$I, _xlfn.XMATCH(INDIRECT("A"&amp;ROW()),'Heat Sheet'!$A:$A), COLUMN()), IF(ISNA(_xlpm.VAL), "", IF(_xlpm.VAL=0, "", _xlpm.VAL)))</f>
        <v/>
      </c>
      <c r="F220" s="154" t="str" cm="1">
        <f t="array" aca="1" ref="F220" ca="1">_xlfn.LET(_xlpm.VAL, INDEX('Heat Sheet'!$A:$I, _xlfn.XMATCH(INDIRECT("A"&amp;ROW()),'Heat Sheet'!$A:$A), COLUMN()), IF(ISNA(_xlpm.VAL), "", IF(_xlpm.VAL=0, "", _xlpm.VAL)))</f>
        <v/>
      </c>
      <c r="G220" s="154" t="str" cm="1">
        <f t="array" aca="1" ref="G220" ca="1">_xlfn.LET(_xlpm.VAL, INDEX('Heat Sheet'!$A:$I, _xlfn.XMATCH(INDIRECT("A"&amp;ROW()),'Heat Sheet'!$A:$A), COLUMN()), IF(ISNA(_xlpm.VAL), "", IF(_xlpm.VAL=0, "", _xlpm.VAL)))</f>
        <v/>
      </c>
      <c r="H220" s="154" t="str" cm="1">
        <f t="array" aca="1" ref="H220" ca="1">_xlfn.LET(_xlpm.VAL, INDEX('Heat Sheet'!$A:$I, _xlfn.XMATCH(INDIRECT("A"&amp;ROW()),'Heat Sheet'!$A:$A), COLUMN()), IF(ISNA(_xlpm.VAL), "", IF(_xlpm.VAL=0, "", _xlpm.VAL)))</f>
        <v/>
      </c>
      <c r="I220" s="155" t="str" cm="1">
        <f t="array" aca="1" ref="I220" ca="1">_xlfn.LET(_xlpm.VAL, INDEX('Heat Sheet'!$A:$I, _xlfn.XMATCH(INDIRECT("A"&amp;ROW()),'Heat Sheet'!$A:$A), COLUMN()), IF(ISNA(_xlpm.VAL), "", IF(_xlpm.VAL=0, "", _xlpm.VAL)))</f>
        <v/>
      </c>
    </row>
    <row r="221" spans="1:9" ht="17" x14ac:dyDescent="0.2">
      <c r="A221" s="201"/>
      <c r="B221" s="202"/>
      <c r="C221" s="129" t="str" cm="1">
        <f t="array" aca="1" ref="C221" ca="1">_xlfn.LET(_xlpm.VAL, INDEX('Heat Sheet'!$A:$I, _xlfn.XMATCH(INDIRECT("A"&amp;ROW()-1),'Heat Sheet'!$A:$A)+1, COLUMN()), IF(ISNA(_xlpm.VAL), "", IF(_xlpm.VAL=0, "", _xlpm.VAL)))</f>
        <v/>
      </c>
      <c r="D221" s="154" t="str" cm="1">
        <f t="array" aca="1" ref="D221" ca="1">_xlfn.LET(_xlpm.VAL, INDEX('Heat Sheet'!$A:$I, _xlfn.XMATCH(INDIRECT("A"&amp;ROW()-1),'Heat Sheet'!$A:$A)+1, COLUMN()), IF(ISNA(_xlpm.VAL), "", IF(_xlpm.VAL=0, "", _xlpm.VAL)))</f>
        <v/>
      </c>
      <c r="E221" s="154" t="str" cm="1">
        <f t="array" aca="1" ref="E221" ca="1">_xlfn.LET(_xlpm.VAL, INDEX('Heat Sheet'!$A:$I, _xlfn.XMATCH(INDIRECT("A"&amp;ROW()-1),'Heat Sheet'!$A:$A)+1, COLUMN()), IF(ISNA(_xlpm.VAL), "", IF(_xlpm.VAL=0, "", _xlpm.VAL)))</f>
        <v/>
      </c>
      <c r="F221" s="154" t="str" cm="1">
        <f t="array" aca="1" ref="F221" ca="1">_xlfn.LET(_xlpm.VAL, INDEX('Heat Sheet'!$A:$I, _xlfn.XMATCH(INDIRECT("A"&amp;ROW()-1),'Heat Sheet'!$A:$A)+1, COLUMN()), IF(ISNA(_xlpm.VAL), "", IF(_xlpm.VAL=0, "", _xlpm.VAL)))</f>
        <v/>
      </c>
      <c r="G221" s="154" t="str" cm="1">
        <f t="array" aca="1" ref="G221" ca="1">_xlfn.LET(_xlpm.VAL, INDEX('Heat Sheet'!$A:$I, _xlfn.XMATCH(INDIRECT("A"&amp;ROW()-1),'Heat Sheet'!$A:$A)+1, COLUMN()), IF(ISNA(_xlpm.VAL), "", IF(_xlpm.VAL=0, "", _xlpm.VAL)))</f>
        <v/>
      </c>
      <c r="H221" s="154" t="str" cm="1">
        <f t="array" aca="1" ref="H221" ca="1">_xlfn.LET(_xlpm.VAL, INDEX('Heat Sheet'!$A:$I, _xlfn.XMATCH(INDIRECT("A"&amp;ROW()-1),'Heat Sheet'!$A:$A)+1, COLUMN()), IF(ISNA(_xlpm.VAL), "", IF(_xlpm.VAL=0, "", _xlpm.VAL)))</f>
        <v/>
      </c>
      <c r="I221" s="155" t="str" cm="1">
        <f t="array" aca="1" ref="I221" ca="1">_xlfn.LET(_xlpm.VAL, INDEX('Heat Sheet'!$A:$I, _xlfn.XMATCH(INDIRECT("A"&amp;ROW()-1),'Heat Sheet'!$A:$A)+1, COLUMN()), IF(ISNA(_xlpm.VAL), "", IF(_xlpm.VAL=0, "", _xlpm.VAL)))</f>
        <v/>
      </c>
    </row>
    <row r="222" spans="1:9" ht="16" x14ac:dyDescent="0.2">
      <c r="A222" s="201"/>
      <c r="B222" s="202"/>
      <c r="C222" s="122" t="s">
        <v>22</v>
      </c>
      <c r="D222" s="124"/>
      <c r="E222" s="124"/>
      <c r="F222" s="124"/>
      <c r="G222" s="124"/>
      <c r="H222" s="124"/>
      <c r="I222" s="126"/>
    </row>
    <row r="223" spans="1:9" ht="16" x14ac:dyDescent="0.2">
      <c r="A223" s="201"/>
      <c r="B223" s="202"/>
      <c r="C223" s="122" t="s">
        <v>23</v>
      </c>
      <c r="D223" s="158"/>
      <c r="E223" s="158"/>
      <c r="F223" s="158"/>
      <c r="G223" s="158"/>
      <c r="H223" s="158"/>
      <c r="I223" s="159"/>
    </row>
    <row r="224" spans="1:9" ht="18.5" customHeight="1" x14ac:dyDescent="0.2">
      <c r="A224" s="201"/>
      <c r="B224" s="202"/>
      <c r="C224" s="26" t="s">
        <v>14</v>
      </c>
      <c r="D224" s="160"/>
      <c r="E224" s="160"/>
      <c r="F224" s="160"/>
      <c r="G224" s="160"/>
      <c r="H224" s="160"/>
      <c r="I224" s="161"/>
    </row>
    <row r="225" spans="1:9" ht="17" x14ac:dyDescent="0.2">
      <c r="A225" s="216">
        <v>45</v>
      </c>
      <c r="B225" s="202" t="str">
        <f>IFERROR(VLOOKUP(A225,'Heat Sheet'!$A:$I, 2, FALSE), "")</f>
        <v>01:42 PM</v>
      </c>
      <c r="C225" s="129" t="str" cm="1">
        <f t="array" aca="1" ref="C225" ca="1">_xlfn.LET(_xlpm.VAL, INDEX('Heat Sheet'!$A:$I, _xlfn.XMATCH(INDIRECT("A"&amp;ROW()),'Heat Sheet'!$A:$A), COLUMN()), IF(ISNA(_xlpm.VAL), "", IF(_xlpm.VAL=0, "", _xlpm.VAL)))</f>
        <v/>
      </c>
      <c r="D225" s="154" t="str" cm="1">
        <f t="array" aca="1" ref="D225" ca="1">_xlfn.LET(_xlpm.VAL, INDEX('Heat Sheet'!$A:$I, _xlfn.XMATCH(INDIRECT("A"&amp;ROW()),'Heat Sheet'!$A:$A), COLUMN()), IF(ISNA(_xlpm.VAL), "", IF(_xlpm.VAL=0, "", _xlpm.VAL)))</f>
        <v/>
      </c>
      <c r="E225" s="154" t="str" cm="1">
        <f t="array" aca="1" ref="E225" ca="1">_xlfn.LET(_xlpm.VAL, INDEX('Heat Sheet'!$A:$I, _xlfn.XMATCH(INDIRECT("A"&amp;ROW()),'Heat Sheet'!$A:$A), COLUMN()), IF(ISNA(_xlpm.VAL), "", IF(_xlpm.VAL=0, "", _xlpm.VAL)))</f>
        <v/>
      </c>
      <c r="F225" s="154" t="str" cm="1">
        <f t="array" aca="1" ref="F225" ca="1">_xlfn.LET(_xlpm.VAL, INDEX('Heat Sheet'!$A:$I, _xlfn.XMATCH(INDIRECT("A"&amp;ROW()),'Heat Sheet'!$A:$A), COLUMN()), IF(ISNA(_xlpm.VAL), "", IF(_xlpm.VAL=0, "", _xlpm.VAL)))</f>
        <v/>
      </c>
      <c r="G225" s="154" t="str" cm="1">
        <f t="array" aca="1" ref="G225" ca="1">_xlfn.LET(_xlpm.VAL, INDEX('Heat Sheet'!$A:$I, _xlfn.XMATCH(INDIRECT("A"&amp;ROW()),'Heat Sheet'!$A:$A), COLUMN()), IF(ISNA(_xlpm.VAL), "", IF(_xlpm.VAL=0, "", _xlpm.VAL)))</f>
        <v/>
      </c>
      <c r="H225" s="154" t="str" cm="1">
        <f t="array" aca="1" ref="H225" ca="1">_xlfn.LET(_xlpm.VAL, INDEX('Heat Sheet'!$A:$I, _xlfn.XMATCH(INDIRECT("A"&amp;ROW()),'Heat Sheet'!$A:$A), COLUMN()), IF(ISNA(_xlpm.VAL), "", IF(_xlpm.VAL=0, "", _xlpm.VAL)))</f>
        <v/>
      </c>
      <c r="I225" s="155" t="str" cm="1">
        <f t="array" aca="1" ref="I225" ca="1">_xlfn.LET(_xlpm.VAL, INDEX('Heat Sheet'!$A:$I, _xlfn.XMATCH(INDIRECT("A"&amp;ROW()),'Heat Sheet'!$A:$A), COLUMN()), IF(ISNA(_xlpm.VAL), "", IF(_xlpm.VAL=0, "", _xlpm.VAL)))</f>
        <v/>
      </c>
    </row>
    <row r="226" spans="1:9" ht="17" x14ac:dyDescent="0.2">
      <c r="A226" s="201"/>
      <c r="B226" s="202"/>
      <c r="C226" s="129" t="str" cm="1">
        <f t="array" aca="1" ref="C226" ca="1">_xlfn.LET(_xlpm.VAL, INDEX('Heat Sheet'!$A:$I, _xlfn.XMATCH(INDIRECT("A"&amp;ROW()-1),'Heat Sheet'!$A:$A)+1, COLUMN()), IF(ISNA(_xlpm.VAL), "", IF(_xlpm.VAL=0, "", _xlpm.VAL)))</f>
        <v/>
      </c>
      <c r="D226" s="154" t="str" cm="1">
        <f t="array" aca="1" ref="D226" ca="1">_xlfn.LET(_xlpm.VAL, INDEX('Heat Sheet'!$A:$I, _xlfn.XMATCH(INDIRECT("A"&amp;ROW()-1),'Heat Sheet'!$A:$A)+1, COLUMN()), IF(ISNA(_xlpm.VAL), "", IF(_xlpm.VAL=0, "", _xlpm.VAL)))</f>
        <v/>
      </c>
      <c r="E226" s="154" t="str" cm="1">
        <f t="array" aca="1" ref="E226" ca="1">_xlfn.LET(_xlpm.VAL, INDEX('Heat Sheet'!$A:$I, _xlfn.XMATCH(INDIRECT("A"&amp;ROW()-1),'Heat Sheet'!$A:$A)+1, COLUMN()), IF(ISNA(_xlpm.VAL), "", IF(_xlpm.VAL=0, "", _xlpm.VAL)))</f>
        <v/>
      </c>
      <c r="F226" s="154" t="str" cm="1">
        <f t="array" aca="1" ref="F226" ca="1">_xlfn.LET(_xlpm.VAL, INDEX('Heat Sheet'!$A:$I, _xlfn.XMATCH(INDIRECT("A"&amp;ROW()-1),'Heat Sheet'!$A:$A)+1, COLUMN()), IF(ISNA(_xlpm.VAL), "", IF(_xlpm.VAL=0, "", _xlpm.VAL)))</f>
        <v/>
      </c>
      <c r="G226" s="154" t="str" cm="1">
        <f t="array" aca="1" ref="G226" ca="1">_xlfn.LET(_xlpm.VAL, INDEX('Heat Sheet'!$A:$I, _xlfn.XMATCH(INDIRECT("A"&amp;ROW()-1),'Heat Sheet'!$A:$A)+1, COLUMN()), IF(ISNA(_xlpm.VAL), "", IF(_xlpm.VAL=0, "", _xlpm.VAL)))</f>
        <v/>
      </c>
      <c r="H226" s="154" t="str" cm="1">
        <f t="array" aca="1" ref="H226" ca="1">_xlfn.LET(_xlpm.VAL, INDEX('Heat Sheet'!$A:$I, _xlfn.XMATCH(INDIRECT("A"&amp;ROW()-1),'Heat Sheet'!$A:$A)+1, COLUMN()), IF(ISNA(_xlpm.VAL), "", IF(_xlpm.VAL=0, "", _xlpm.VAL)))</f>
        <v/>
      </c>
      <c r="I226" s="155" t="str" cm="1">
        <f t="array" aca="1" ref="I226" ca="1">_xlfn.LET(_xlpm.VAL, INDEX('Heat Sheet'!$A:$I, _xlfn.XMATCH(INDIRECT("A"&amp;ROW()-1),'Heat Sheet'!$A:$A)+1, COLUMN()), IF(ISNA(_xlpm.VAL), "", IF(_xlpm.VAL=0, "", _xlpm.VAL)))</f>
        <v/>
      </c>
    </row>
    <row r="227" spans="1:9" ht="16" x14ac:dyDescent="0.2">
      <c r="A227" s="201"/>
      <c r="B227" s="202"/>
      <c r="C227" s="122" t="s">
        <v>22</v>
      </c>
      <c r="D227" s="124"/>
      <c r="E227" s="124"/>
      <c r="F227" s="124"/>
      <c r="G227" s="124"/>
      <c r="H227" s="124"/>
      <c r="I227" s="126"/>
    </row>
    <row r="228" spans="1:9" ht="16" x14ac:dyDescent="0.2">
      <c r="A228" s="201"/>
      <c r="B228" s="202"/>
      <c r="C228" s="122" t="s">
        <v>23</v>
      </c>
      <c r="D228" s="158"/>
      <c r="E228" s="158"/>
      <c r="F228" s="158"/>
      <c r="G228" s="158"/>
      <c r="H228" s="158"/>
      <c r="I228" s="159"/>
    </row>
    <row r="229" spans="1:9" ht="17" x14ac:dyDescent="0.2">
      <c r="A229" s="201"/>
      <c r="B229" s="202"/>
      <c r="C229" s="26" t="s">
        <v>14</v>
      </c>
      <c r="D229" s="160"/>
      <c r="E229" s="160"/>
      <c r="F229" s="160"/>
      <c r="G229" s="160"/>
      <c r="H229" s="160"/>
      <c r="I229" s="161"/>
    </row>
    <row r="230" spans="1:9" ht="17" x14ac:dyDescent="0.2">
      <c r="A230" s="201">
        <v>46</v>
      </c>
      <c r="B230" s="202" t="str">
        <f>IFERROR(VLOOKUP(A230,'Heat Sheet'!$A:$I, 2, FALSE), "")</f>
        <v>01:47 PM</v>
      </c>
      <c r="C230" s="129" t="str" cm="1">
        <f t="array" aca="1" ref="C230" ca="1">_xlfn.LET(_xlpm.VAL, INDEX('Heat Sheet'!$A:$I, _xlfn.XMATCH(INDIRECT("A"&amp;ROW()),'Heat Sheet'!$A:$A), COLUMN()), IF(ISNA(_xlpm.VAL), "", IF(_xlpm.VAL=0, "", _xlpm.VAL)))</f>
        <v/>
      </c>
      <c r="D230" s="154" t="str" cm="1">
        <f t="array" aca="1" ref="D230" ca="1">_xlfn.LET(_xlpm.VAL, INDEX('Heat Sheet'!$A:$I, _xlfn.XMATCH(INDIRECT("A"&amp;ROW()),'Heat Sheet'!$A:$A), COLUMN()), IF(ISNA(_xlpm.VAL), "", IF(_xlpm.VAL=0, "", _xlpm.VAL)))</f>
        <v/>
      </c>
      <c r="E230" s="154" t="str" cm="1">
        <f t="array" aca="1" ref="E230" ca="1">_xlfn.LET(_xlpm.VAL, INDEX('Heat Sheet'!$A:$I, _xlfn.XMATCH(INDIRECT("A"&amp;ROW()),'Heat Sheet'!$A:$A), COLUMN()), IF(ISNA(_xlpm.VAL), "", IF(_xlpm.VAL=0, "", _xlpm.VAL)))</f>
        <v/>
      </c>
      <c r="F230" s="154" t="str" cm="1">
        <f t="array" aca="1" ref="F230" ca="1">_xlfn.LET(_xlpm.VAL, INDEX('Heat Sheet'!$A:$I, _xlfn.XMATCH(INDIRECT("A"&amp;ROW()),'Heat Sheet'!$A:$A), COLUMN()), IF(ISNA(_xlpm.VAL), "", IF(_xlpm.VAL=0, "", _xlpm.VAL)))</f>
        <v/>
      </c>
      <c r="G230" s="154" t="str" cm="1">
        <f t="array" aca="1" ref="G230" ca="1">_xlfn.LET(_xlpm.VAL, INDEX('Heat Sheet'!$A:$I, _xlfn.XMATCH(INDIRECT("A"&amp;ROW()),'Heat Sheet'!$A:$A), COLUMN()), IF(ISNA(_xlpm.VAL), "", IF(_xlpm.VAL=0, "", _xlpm.VAL)))</f>
        <v/>
      </c>
      <c r="H230" s="154" t="str" cm="1">
        <f t="array" aca="1" ref="H230" ca="1">_xlfn.LET(_xlpm.VAL, INDEX('Heat Sheet'!$A:$I, _xlfn.XMATCH(INDIRECT("A"&amp;ROW()),'Heat Sheet'!$A:$A), COLUMN()), IF(ISNA(_xlpm.VAL), "", IF(_xlpm.VAL=0, "", _xlpm.VAL)))</f>
        <v/>
      </c>
      <c r="I230" s="155" t="str" cm="1">
        <f t="array" aca="1" ref="I230" ca="1">_xlfn.LET(_xlpm.VAL, INDEX('Heat Sheet'!$A:$I, _xlfn.XMATCH(INDIRECT("A"&amp;ROW()),'Heat Sheet'!$A:$A), COLUMN()), IF(ISNA(_xlpm.VAL), "", IF(_xlpm.VAL=0, "", _xlpm.VAL)))</f>
        <v/>
      </c>
    </row>
    <row r="231" spans="1:9" ht="17" x14ac:dyDescent="0.2">
      <c r="A231" s="201"/>
      <c r="B231" s="202"/>
      <c r="C231" s="129" t="str" cm="1">
        <f t="array" aca="1" ref="C231" ca="1">_xlfn.LET(_xlpm.VAL, INDEX('Heat Sheet'!$A:$I, _xlfn.XMATCH(INDIRECT("A"&amp;ROW()-1),'Heat Sheet'!$A:$A)+1, COLUMN()), IF(ISNA(_xlpm.VAL), "", IF(_xlpm.VAL=0, "", _xlpm.VAL)))</f>
        <v/>
      </c>
      <c r="D231" s="154" t="str" cm="1">
        <f t="array" aca="1" ref="D231" ca="1">_xlfn.LET(_xlpm.VAL, INDEX('Heat Sheet'!$A:$I, _xlfn.XMATCH(INDIRECT("A"&amp;ROW()-1),'Heat Sheet'!$A:$A)+1, COLUMN()), IF(ISNA(_xlpm.VAL), "", IF(_xlpm.VAL=0, "", _xlpm.VAL)))</f>
        <v/>
      </c>
      <c r="E231" s="154" t="str" cm="1">
        <f t="array" aca="1" ref="E231" ca="1">_xlfn.LET(_xlpm.VAL, INDEX('Heat Sheet'!$A:$I, _xlfn.XMATCH(INDIRECT("A"&amp;ROW()-1),'Heat Sheet'!$A:$A)+1, COLUMN()), IF(ISNA(_xlpm.VAL), "", IF(_xlpm.VAL=0, "", _xlpm.VAL)))</f>
        <v/>
      </c>
      <c r="F231" s="154" t="str" cm="1">
        <f t="array" aca="1" ref="F231" ca="1">_xlfn.LET(_xlpm.VAL, INDEX('Heat Sheet'!$A:$I, _xlfn.XMATCH(INDIRECT("A"&amp;ROW()-1),'Heat Sheet'!$A:$A)+1, COLUMN()), IF(ISNA(_xlpm.VAL), "", IF(_xlpm.VAL=0, "", _xlpm.VAL)))</f>
        <v/>
      </c>
      <c r="G231" s="154" t="str" cm="1">
        <f t="array" aca="1" ref="G231" ca="1">_xlfn.LET(_xlpm.VAL, INDEX('Heat Sheet'!$A:$I, _xlfn.XMATCH(INDIRECT("A"&amp;ROW()-1),'Heat Sheet'!$A:$A)+1, COLUMN()), IF(ISNA(_xlpm.VAL), "", IF(_xlpm.VAL=0, "", _xlpm.VAL)))</f>
        <v/>
      </c>
      <c r="H231" s="154" t="str" cm="1">
        <f t="array" aca="1" ref="H231" ca="1">_xlfn.LET(_xlpm.VAL, INDEX('Heat Sheet'!$A:$I, _xlfn.XMATCH(INDIRECT("A"&amp;ROW()-1),'Heat Sheet'!$A:$A)+1, COLUMN()), IF(ISNA(_xlpm.VAL), "", IF(_xlpm.VAL=0, "", _xlpm.VAL)))</f>
        <v/>
      </c>
      <c r="I231" s="155" t="str" cm="1">
        <f t="array" aca="1" ref="I231" ca="1">_xlfn.LET(_xlpm.VAL, INDEX('Heat Sheet'!$A:$I, _xlfn.XMATCH(INDIRECT("A"&amp;ROW()-1),'Heat Sheet'!$A:$A)+1, COLUMN()), IF(ISNA(_xlpm.VAL), "", IF(_xlpm.VAL=0, "", _xlpm.VAL)))</f>
        <v/>
      </c>
    </row>
    <row r="232" spans="1:9" ht="16" x14ac:dyDescent="0.2">
      <c r="A232" s="201"/>
      <c r="B232" s="202"/>
      <c r="C232" s="122" t="s">
        <v>22</v>
      </c>
      <c r="D232" s="124"/>
      <c r="E232" s="124"/>
      <c r="F232" s="124"/>
      <c r="G232" s="124"/>
      <c r="H232" s="124"/>
      <c r="I232" s="126"/>
    </row>
    <row r="233" spans="1:9" ht="16" x14ac:dyDescent="0.2">
      <c r="A233" s="201"/>
      <c r="B233" s="202"/>
      <c r="C233" s="122" t="s">
        <v>23</v>
      </c>
      <c r="D233" s="158"/>
      <c r="E233" s="158"/>
      <c r="F233" s="158"/>
      <c r="G233" s="158"/>
      <c r="H233" s="158"/>
      <c r="I233" s="159"/>
    </row>
    <row r="234" spans="1:9" ht="17" x14ac:dyDescent="0.2">
      <c r="A234" s="201"/>
      <c r="B234" s="202"/>
      <c r="C234" s="26" t="s">
        <v>14</v>
      </c>
      <c r="D234" s="160"/>
      <c r="E234" s="160"/>
      <c r="F234" s="160"/>
      <c r="G234" s="160"/>
      <c r="H234" s="160"/>
      <c r="I234" s="161"/>
    </row>
    <row r="235" spans="1:9" ht="17" x14ac:dyDescent="0.2">
      <c r="A235" s="201">
        <v>47</v>
      </c>
      <c r="B235" s="202" t="str">
        <f>IFERROR(VLOOKUP(A235,'Heat Sheet'!$A:$I, 2, FALSE), "")</f>
        <v>01:52 PM</v>
      </c>
      <c r="C235" s="129" t="str" cm="1">
        <f t="array" aca="1" ref="C235" ca="1">_xlfn.LET(_xlpm.VAL, INDEX('Heat Sheet'!$A:$I, _xlfn.XMATCH(INDIRECT("A"&amp;ROW()),'Heat Sheet'!$A:$A), COLUMN()), IF(ISNA(_xlpm.VAL), "", IF(_xlpm.VAL=0, "", _xlpm.VAL)))</f>
        <v/>
      </c>
      <c r="D235" s="154" t="str" cm="1">
        <f t="array" aca="1" ref="D235" ca="1">_xlfn.LET(_xlpm.VAL, INDEX('Heat Sheet'!$A:$I, _xlfn.XMATCH(INDIRECT("A"&amp;ROW()),'Heat Sheet'!$A:$A), COLUMN()), IF(ISNA(_xlpm.VAL), "", IF(_xlpm.VAL=0, "", _xlpm.VAL)))</f>
        <v/>
      </c>
      <c r="E235" s="154" t="str" cm="1">
        <f t="array" aca="1" ref="E235" ca="1">_xlfn.LET(_xlpm.VAL, INDEX('Heat Sheet'!$A:$I, _xlfn.XMATCH(INDIRECT("A"&amp;ROW()),'Heat Sheet'!$A:$A), COLUMN()), IF(ISNA(_xlpm.VAL), "", IF(_xlpm.VAL=0, "", _xlpm.VAL)))</f>
        <v/>
      </c>
      <c r="F235" s="154" t="str" cm="1">
        <f t="array" aca="1" ref="F235" ca="1">_xlfn.LET(_xlpm.VAL, INDEX('Heat Sheet'!$A:$I, _xlfn.XMATCH(INDIRECT("A"&amp;ROW()),'Heat Sheet'!$A:$A), COLUMN()), IF(ISNA(_xlpm.VAL), "", IF(_xlpm.VAL=0, "", _xlpm.VAL)))</f>
        <v/>
      </c>
      <c r="G235" s="154" t="str" cm="1">
        <f t="array" aca="1" ref="G235" ca="1">_xlfn.LET(_xlpm.VAL, INDEX('Heat Sheet'!$A:$I, _xlfn.XMATCH(INDIRECT("A"&amp;ROW()),'Heat Sheet'!$A:$A), COLUMN()), IF(ISNA(_xlpm.VAL), "", IF(_xlpm.VAL=0, "", _xlpm.VAL)))</f>
        <v/>
      </c>
      <c r="H235" s="154" t="str" cm="1">
        <f t="array" aca="1" ref="H235" ca="1">_xlfn.LET(_xlpm.VAL, INDEX('Heat Sheet'!$A:$I, _xlfn.XMATCH(INDIRECT("A"&amp;ROW()),'Heat Sheet'!$A:$A), COLUMN()), IF(ISNA(_xlpm.VAL), "", IF(_xlpm.VAL=0, "", _xlpm.VAL)))</f>
        <v/>
      </c>
      <c r="I235" s="155" t="str" cm="1">
        <f t="array" aca="1" ref="I235" ca="1">_xlfn.LET(_xlpm.VAL, INDEX('Heat Sheet'!$A:$I, _xlfn.XMATCH(INDIRECT("A"&amp;ROW()),'Heat Sheet'!$A:$A), COLUMN()), IF(ISNA(_xlpm.VAL), "", IF(_xlpm.VAL=0, "", _xlpm.VAL)))</f>
        <v/>
      </c>
    </row>
    <row r="236" spans="1:9" ht="17" x14ac:dyDescent="0.2">
      <c r="A236" s="201"/>
      <c r="B236" s="202"/>
      <c r="C236" s="129" t="str" cm="1">
        <f t="array" aca="1" ref="C236" ca="1">_xlfn.LET(_xlpm.VAL, INDEX('Heat Sheet'!$A:$I, _xlfn.XMATCH(INDIRECT("A"&amp;ROW()-1),'Heat Sheet'!$A:$A)+1, COLUMN()), IF(ISNA(_xlpm.VAL), "", IF(_xlpm.VAL=0, "", _xlpm.VAL)))</f>
        <v/>
      </c>
      <c r="D236" s="154" t="str" cm="1">
        <f t="array" aca="1" ref="D236" ca="1">_xlfn.LET(_xlpm.VAL, INDEX('Heat Sheet'!$A:$I, _xlfn.XMATCH(INDIRECT("A"&amp;ROW()-1),'Heat Sheet'!$A:$A)+1, COLUMN()), IF(ISNA(_xlpm.VAL), "", IF(_xlpm.VAL=0, "", _xlpm.VAL)))</f>
        <v/>
      </c>
      <c r="E236" s="154" t="str" cm="1">
        <f t="array" aca="1" ref="E236" ca="1">_xlfn.LET(_xlpm.VAL, INDEX('Heat Sheet'!$A:$I, _xlfn.XMATCH(INDIRECT("A"&amp;ROW()-1),'Heat Sheet'!$A:$A)+1, COLUMN()), IF(ISNA(_xlpm.VAL), "", IF(_xlpm.VAL=0, "", _xlpm.VAL)))</f>
        <v/>
      </c>
      <c r="F236" s="154" t="str" cm="1">
        <f t="array" aca="1" ref="F236" ca="1">_xlfn.LET(_xlpm.VAL, INDEX('Heat Sheet'!$A:$I, _xlfn.XMATCH(INDIRECT("A"&amp;ROW()-1),'Heat Sheet'!$A:$A)+1, COLUMN()), IF(ISNA(_xlpm.VAL), "", IF(_xlpm.VAL=0, "", _xlpm.VAL)))</f>
        <v/>
      </c>
      <c r="G236" s="154" t="str" cm="1">
        <f t="array" aca="1" ref="G236" ca="1">_xlfn.LET(_xlpm.VAL, INDEX('Heat Sheet'!$A:$I, _xlfn.XMATCH(INDIRECT("A"&amp;ROW()-1),'Heat Sheet'!$A:$A)+1, COLUMN()), IF(ISNA(_xlpm.VAL), "", IF(_xlpm.VAL=0, "", _xlpm.VAL)))</f>
        <v/>
      </c>
      <c r="H236" s="154" t="str" cm="1">
        <f t="array" aca="1" ref="H236" ca="1">_xlfn.LET(_xlpm.VAL, INDEX('Heat Sheet'!$A:$I, _xlfn.XMATCH(INDIRECT("A"&amp;ROW()-1),'Heat Sheet'!$A:$A)+1, COLUMN()), IF(ISNA(_xlpm.VAL), "", IF(_xlpm.VAL=0, "", _xlpm.VAL)))</f>
        <v/>
      </c>
      <c r="I236" s="155" t="str" cm="1">
        <f t="array" aca="1" ref="I236" ca="1">_xlfn.LET(_xlpm.VAL, INDEX('Heat Sheet'!$A:$I, _xlfn.XMATCH(INDIRECT("A"&amp;ROW()-1),'Heat Sheet'!$A:$A)+1, COLUMN()), IF(ISNA(_xlpm.VAL), "", IF(_xlpm.VAL=0, "", _xlpm.VAL)))</f>
        <v/>
      </c>
    </row>
    <row r="237" spans="1:9" ht="16" x14ac:dyDescent="0.2">
      <c r="A237" s="201"/>
      <c r="B237" s="202"/>
      <c r="C237" s="122" t="s">
        <v>22</v>
      </c>
      <c r="D237" s="124"/>
      <c r="E237" s="124"/>
      <c r="F237" s="124"/>
      <c r="G237" s="124"/>
      <c r="H237" s="124"/>
      <c r="I237" s="126"/>
    </row>
    <row r="238" spans="1:9" ht="18.5" customHeight="1" x14ac:dyDescent="0.2">
      <c r="A238" s="201"/>
      <c r="B238" s="202"/>
      <c r="C238" s="122" t="s">
        <v>23</v>
      </c>
      <c r="D238" s="158"/>
      <c r="E238" s="158"/>
      <c r="F238" s="158"/>
      <c r="G238" s="158"/>
      <c r="H238" s="158"/>
      <c r="I238" s="159"/>
    </row>
    <row r="239" spans="1:9" ht="17" x14ac:dyDescent="0.2">
      <c r="A239" s="201"/>
      <c r="B239" s="202"/>
      <c r="C239" s="26" t="s">
        <v>14</v>
      </c>
      <c r="D239" s="160"/>
      <c r="E239" s="160"/>
      <c r="F239" s="160"/>
      <c r="G239" s="160"/>
      <c r="H239" s="160"/>
      <c r="I239" s="161"/>
    </row>
    <row r="240" spans="1:9" ht="17" x14ac:dyDescent="0.2">
      <c r="A240" s="201">
        <v>48</v>
      </c>
      <c r="B240" s="202" t="str">
        <f>IFERROR(VLOOKUP(A240,'Heat Sheet'!$A:$I, 2, FALSE), "")</f>
        <v>01:57 PM</v>
      </c>
      <c r="C240" s="129" t="str" cm="1">
        <f t="array" aca="1" ref="C240" ca="1">_xlfn.LET(_xlpm.VAL, INDEX('Heat Sheet'!$A:$I, _xlfn.XMATCH(INDIRECT("A"&amp;ROW()),'Heat Sheet'!$A:$A), COLUMN()), IF(ISNA(_xlpm.VAL), "", IF(_xlpm.VAL=0, "", _xlpm.VAL)))</f>
        <v/>
      </c>
      <c r="D240" s="154" t="str" cm="1">
        <f t="array" aca="1" ref="D240" ca="1">_xlfn.LET(_xlpm.VAL, INDEX('Heat Sheet'!$A:$I, _xlfn.XMATCH(INDIRECT("A"&amp;ROW()),'Heat Sheet'!$A:$A), COLUMN()), IF(ISNA(_xlpm.VAL), "", IF(_xlpm.VAL=0, "", _xlpm.VAL)))</f>
        <v/>
      </c>
      <c r="E240" s="154" t="str" cm="1">
        <f t="array" aca="1" ref="E240" ca="1">_xlfn.LET(_xlpm.VAL, INDEX('Heat Sheet'!$A:$I, _xlfn.XMATCH(INDIRECT("A"&amp;ROW()),'Heat Sheet'!$A:$A), COLUMN()), IF(ISNA(_xlpm.VAL), "", IF(_xlpm.VAL=0, "", _xlpm.VAL)))</f>
        <v/>
      </c>
      <c r="F240" s="154" t="str" cm="1">
        <f t="array" aca="1" ref="F240" ca="1">_xlfn.LET(_xlpm.VAL, INDEX('Heat Sheet'!$A:$I, _xlfn.XMATCH(INDIRECT("A"&amp;ROW()),'Heat Sheet'!$A:$A), COLUMN()), IF(ISNA(_xlpm.VAL), "", IF(_xlpm.VAL=0, "", _xlpm.VAL)))</f>
        <v/>
      </c>
      <c r="G240" s="154" t="str" cm="1">
        <f t="array" aca="1" ref="G240" ca="1">_xlfn.LET(_xlpm.VAL, INDEX('Heat Sheet'!$A:$I, _xlfn.XMATCH(INDIRECT("A"&amp;ROW()),'Heat Sheet'!$A:$A), COLUMN()), IF(ISNA(_xlpm.VAL), "", IF(_xlpm.VAL=0, "", _xlpm.VAL)))</f>
        <v/>
      </c>
      <c r="H240" s="154" t="str" cm="1">
        <f t="array" aca="1" ref="H240" ca="1">_xlfn.LET(_xlpm.VAL, INDEX('Heat Sheet'!$A:$I, _xlfn.XMATCH(INDIRECT("A"&amp;ROW()),'Heat Sheet'!$A:$A), COLUMN()), IF(ISNA(_xlpm.VAL), "", IF(_xlpm.VAL=0, "", _xlpm.VAL)))</f>
        <v/>
      </c>
      <c r="I240" s="155" t="str" cm="1">
        <f t="array" aca="1" ref="I240" ca="1">_xlfn.LET(_xlpm.VAL, INDEX('Heat Sheet'!$A:$I, _xlfn.XMATCH(INDIRECT("A"&amp;ROW()),'Heat Sheet'!$A:$A), COLUMN()), IF(ISNA(_xlpm.VAL), "", IF(_xlpm.VAL=0, "", _xlpm.VAL)))</f>
        <v/>
      </c>
    </row>
    <row r="241" spans="1:9" ht="17" x14ac:dyDescent="0.2">
      <c r="A241" s="201"/>
      <c r="B241" s="202"/>
      <c r="C241" s="129" t="str" cm="1">
        <f t="array" aca="1" ref="C241" ca="1">_xlfn.LET(_xlpm.VAL, INDEX('Heat Sheet'!$A:$I, _xlfn.XMATCH(INDIRECT("A"&amp;ROW()-1),'Heat Sheet'!$A:$A)+1, COLUMN()), IF(ISNA(_xlpm.VAL), "", IF(_xlpm.VAL=0, "", _xlpm.VAL)))</f>
        <v/>
      </c>
      <c r="D241" s="154" t="str" cm="1">
        <f t="array" aca="1" ref="D241" ca="1">_xlfn.LET(_xlpm.VAL, INDEX('Heat Sheet'!$A:$I, _xlfn.XMATCH(INDIRECT("A"&amp;ROW()-1),'Heat Sheet'!$A:$A)+1, COLUMN()), IF(ISNA(_xlpm.VAL), "", IF(_xlpm.VAL=0, "", _xlpm.VAL)))</f>
        <v/>
      </c>
      <c r="E241" s="154" t="str" cm="1">
        <f t="array" aca="1" ref="E241" ca="1">_xlfn.LET(_xlpm.VAL, INDEX('Heat Sheet'!$A:$I, _xlfn.XMATCH(INDIRECT("A"&amp;ROW()-1),'Heat Sheet'!$A:$A)+1, COLUMN()), IF(ISNA(_xlpm.VAL), "", IF(_xlpm.VAL=0, "", _xlpm.VAL)))</f>
        <v/>
      </c>
      <c r="F241" s="154" t="str" cm="1">
        <f t="array" aca="1" ref="F241" ca="1">_xlfn.LET(_xlpm.VAL, INDEX('Heat Sheet'!$A:$I, _xlfn.XMATCH(INDIRECT("A"&amp;ROW()-1),'Heat Sheet'!$A:$A)+1, COLUMN()), IF(ISNA(_xlpm.VAL), "", IF(_xlpm.VAL=0, "", _xlpm.VAL)))</f>
        <v/>
      </c>
      <c r="G241" s="154" t="str" cm="1">
        <f t="array" aca="1" ref="G241" ca="1">_xlfn.LET(_xlpm.VAL, INDEX('Heat Sheet'!$A:$I, _xlfn.XMATCH(INDIRECT("A"&amp;ROW()-1),'Heat Sheet'!$A:$A)+1, COLUMN()), IF(ISNA(_xlpm.VAL), "", IF(_xlpm.VAL=0, "", _xlpm.VAL)))</f>
        <v/>
      </c>
      <c r="H241" s="154" t="str" cm="1">
        <f t="array" aca="1" ref="H241" ca="1">_xlfn.LET(_xlpm.VAL, INDEX('Heat Sheet'!$A:$I, _xlfn.XMATCH(INDIRECT("A"&amp;ROW()-1),'Heat Sheet'!$A:$A)+1, COLUMN()), IF(ISNA(_xlpm.VAL), "", IF(_xlpm.VAL=0, "", _xlpm.VAL)))</f>
        <v/>
      </c>
      <c r="I241" s="155" t="str" cm="1">
        <f t="array" aca="1" ref="I241" ca="1">_xlfn.LET(_xlpm.VAL, INDEX('Heat Sheet'!$A:$I, _xlfn.XMATCH(INDIRECT("A"&amp;ROW()-1),'Heat Sheet'!$A:$A)+1, COLUMN()), IF(ISNA(_xlpm.VAL), "", IF(_xlpm.VAL=0, "", _xlpm.VAL)))</f>
        <v/>
      </c>
    </row>
    <row r="242" spans="1:9" ht="16" x14ac:dyDescent="0.2">
      <c r="A242" s="201"/>
      <c r="B242" s="202"/>
      <c r="C242" s="122" t="s">
        <v>22</v>
      </c>
      <c r="D242" s="124"/>
      <c r="E242" s="124"/>
      <c r="F242" s="124"/>
      <c r="G242" s="124"/>
      <c r="H242" s="124"/>
      <c r="I242" s="126"/>
    </row>
    <row r="243" spans="1:9" ht="16" x14ac:dyDescent="0.2">
      <c r="A243" s="201"/>
      <c r="B243" s="202"/>
      <c r="C243" s="122" t="s">
        <v>23</v>
      </c>
      <c r="D243" s="158"/>
      <c r="E243" s="158"/>
      <c r="F243" s="158"/>
      <c r="G243" s="158"/>
      <c r="H243" s="158"/>
      <c r="I243" s="159"/>
    </row>
    <row r="244" spans="1:9" ht="18.5" customHeight="1" x14ac:dyDescent="0.2">
      <c r="A244" s="201"/>
      <c r="B244" s="202"/>
      <c r="C244" s="26" t="s">
        <v>14</v>
      </c>
      <c r="D244" s="160"/>
      <c r="E244" s="160"/>
      <c r="F244" s="160"/>
      <c r="G244" s="160"/>
      <c r="H244" s="160"/>
      <c r="I244" s="161"/>
    </row>
    <row r="245" spans="1:9" ht="17" x14ac:dyDescent="0.2">
      <c r="A245" s="201">
        <v>49</v>
      </c>
      <c r="B245" s="202" t="str">
        <f>IFERROR(VLOOKUP(A245,'Heat Sheet'!$A:$I, 2, FALSE), "")</f>
        <v>02:02 PM</v>
      </c>
      <c r="C245" s="129" t="str" cm="1">
        <f t="array" aca="1" ref="C245" ca="1">_xlfn.LET(_xlpm.VAL, INDEX('Heat Sheet'!$A:$I, _xlfn.XMATCH(INDIRECT("A"&amp;ROW()),'Heat Sheet'!$A:$A), COLUMN()), IF(ISNA(_xlpm.VAL), "", IF(_xlpm.VAL=0, "", _xlpm.VAL)))</f>
        <v/>
      </c>
      <c r="D245" s="154" t="str" cm="1">
        <f t="array" aca="1" ref="D245" ca="1">_xlfn.LET(_xlpm.VAL, INDEX('Heat Sheet'!$A:$I, _xlfn.XMATCH(INDIRECT("A"&amp;ROW()),'Heat Sheet'!$A:$A), COLUMN()), IF(ISNA(_xlpm.VAL), "", IF(_xlpm.VAL=0, "", _xlpm.VAL)))</f>
        <v/>
      </c>
      <c r="E245" s="154" t="str" cm="1">
        <f t="array" aca="1" ref="E245" ca="1">_xlfn.LET(_xlpm.VAL, INDEX('Heat Sheet'!$A:$I, _xlfn.XMATCH(INDIRECT("A"&amp;ROW()),'Heat Sheet'!$A:$A), COLUMN()), IF(ISNA(_xlpm.VAL), "", IF(_xlpm.VAL=0, "", _xlpm.VAL)))</f>
        <v/>
      </c>
      <c r="F245" s="154" t="str" cm="1">
        <f t="array" aca="1" ref="F245" ca="1">_xlfn.LET(_xlpm.VAL, INDEX('Heat Sheet'!$A:$I, _xlfn.XMATCH(INDIRECT("A"&amp;ROW()),'Heat Sheet'!$A:$A), COLUMN()), IF(ISNA(_xlpm.VAL), "", IF(_xlpm.VAL=0, "", _xlpm.VAL)))</f>
        <v/>
      </c>
      <c r="G245" s="154" t="str" cm="1">
        <f t="array" aca="1" ref="G245" ca="1">_xlfn.LET(_xlpm.VAL, INDEX('Heat Sheet'!$A:$I, _xlfn.XMATCH(INDIRECT("A"&amp;ROW()),'Heat Sheet'!$A:$A), COLUMN()), IF(ISNA(_xlpm.VAL), "", IF(_xlpm.VAL=0, "", _xlpm.VAL)))</f>
        <v/>
      </c>
      <c r="H245" s="154" t="str" cm="1">
        <f t="array" aca="1" ref="H245" ca="1">_xlfn.LET(_xlpm.VAL, INDEX('Heat Sheet'!$A:$I, _xlfn.XMATCH(INDIRECT("A"&amp;ROW()),'Heat Sheet'!$A:$A), COLUMN()), IF(ISNA(_xlpm.VAL), "", IF(_xlpm.VAL=0, "", _xlpm.VAL)))</f>
        <v/>
      </c>
      <c r="I245" s="155" t="str" cm="1">
        <f t="array" aca="1" ref="I245" ca="1">_xlfn.LET(_xlpm.VAL, INDEX('Heat Sheet'!$A:$I, _xlfn.XMATCH(INDIRECT("A"&amp;ROW()),'Heat Sheet'!$A:$A), COLUMN()), IF(ISNA(_xlpm.VAL), "", IF(_xlpm.VAL=0, "", _xlpm.VAL)))</f>
        <v/>
      </c>
    </row>
    <row r="246" spans="1:9" ht="17" x14ac:dyDescent="0.2">
      <c r="A246" s="201"/>
      <c r="B246" s="202"/>
      <c r="C246" s="129" t="str" cm="1">
        <f t="array" aca="1" ref="C246" ca="1">_xlfn.LET(_xlpm.VAL, INDEX('Heat Sheet'!$A:$I, _xlfn.XMATCH(INDIRECT("A"&amp;ROW()-1),'Heat Sheet'!$A:$A)+1, COLUMN()), IF(ISNA(_xlpm.VAL), "", IF(_xlpm.VAL=0, "", _xlpm.VAL)))</f>
        <v/>
      </c>
      <c r="D246" s="154" t="str" cm="1">
        <f t="array" aca="1" ref="D246" ca="1">_xlfn.LET(_xlpm.VAL, INDEX('Heat Sheet'!$A:$I, _xlfn.XMATCH(INDIRECT("A"&amp;ROW()-1),'Heat Sheet'!$A:$A)+1, COLUMN()), IF(ISNA(_xlpm.VAL), "", IF(_xlpm.VAL=0, "", _xlpm.VAL)))</f>
        <v/>
      </c>
      <c r="E246" s="154" t="str" cm="1">
        <f t="array" aca="1" ref="E246" ca="1">_xlfn.LET(_xlpm.VAL, INDEX('Heat Sheet'!$A:$I, _xlfn.XMATCH(INDIRECT("A"&amp;ROW()-1),'Heat Sheet'!$A:$A)+1, COLUMN()), IF(ISNA(_xlpm.VAL), "", IF(_xlpm.VAL=0, "", _xlpm.VAL)))</f>
        <v/>
      </c>
      <c r="F246" s="154" t="str" cm="1">
        <f t="array" aca="1" ref="F246" ca="1">_xlfn.LET(_xlpm.VAL, INDEX('Heat Sheet'!$A:$I, _xlfn.XMATCH(INDIRECT("A"&amp;ROW()-1),'Heat Sheet'!$A:$A)+1, COLUMN()), IF(ISNA(_xlpm.VAL), "", IF(_xlpm.VAL=0, "", _xlpm.VAL)))</f>
        <v/>
      </c>
      <c r="G246" s="154" t="str" cm="1">
        <f t="array" aca="1" ref="G246" ca="1">_xlfn.LET(_xlpm.VAL, INDEX('Heat Sheet'!$A:$I, _xlfn.XMATCH(INDIRECT("A"&amp;ROW()-1),'Heat Sheet'!$A:$A)+1, COLUMN()), IF(ISNA(_xlpm.VAL), "", IF(_xlpm.VAL=0, "", _xlpm.VAL)))</f>
        <v/>
      </c>
      <c r="H246" s="154" t="str" cm="1">
        <f t="array" aca="1" ref="H246" ca="1">_xlfn.LET(_xlpm.VAL, INDEX('Heat Sheet'!$A:$I, _xlfn.XMATCH(INDIRECT("A"&amp;ROW()-1),'Heat Sheet'!$A:$A)+1, COLUMN()), IF(ISNA(_xlpm.VAL), "", IF(_xlpm.VAL=0, "", _xlpm.VAL)))</f>
        <v/>
      </c>
      <c r="I246" s="155" t="str" cm="1">
        <f t="array" aca="1" ref="I246" ca="1">_xlfn.LET(_xlpm.VAL, INDEX('Heat Sheet'!$A:$I, _xlfn.XMATCH(INDIRECT("A"&amp;ROW()-1),'Heat Sheet'!$A:$A)+1, COLUMN()), IF(ISNA(_xlpm.VAL), "", IF(_xlpm.VAL=0, "", _xlpm.VAL)))</f>
        <v/>
      </c>
    </row>
    <row r="247" spans="1:9" ht="16" x14ac:dyDescent="0.2">
      <c r="A247" s="201"/>
      <c r="B247" s="202"/>
      <c r="C247" s="122" t="s">
        <v>22</v>
      </c>
      <c r="D247" s="124"/>
      <c r="E247" s="124"/>
      <c r="F247" s="124"/>
      <c r="G247" s="124"/>
      <c r="H247" s="124"/>
      <c r="I247" s="126"/>
    </row>
    <row r="248" spans="1:9" ht="16" x14ac:dyDescent="0.2">
      <c r="A248" s="201"/>
      <c r="B248" s="202"/>
      <c r="C248" s="122" t="s">
        <v>23</v>
      </c>
      <c r="D248" s="158"/>
      <c r="E248" s="158"/>
      <c r="F248" s="158"/>
      <c r="G248" s="158"/>
      <c r="H248" s="158"/>
      <c r="I248" s="159"/>
    </row>
    <row r="249" spans="1:9" ht="17" x14ac:dyDescent="0.2">
      <c r="A249" s="201"/>
      <c r="B249" s="202"/>
      <c r="C249" s="26" t="s">
        <v>14</v>
      </c>
      <c r="D249" s="160"/>
      <c r="E249" s="160"/>
      <c r="F249" s="160"/>
      <c r="G249" s="160"/>
      <c r="H249" s="160"/>
      <c r="I249" s="161"/>
    </row>
    <row r="250" spans="1:9" ht="18.5" customHeight="1" x14ac:dyDescent="0.2">
      <c r="A250" s="201">
        <v>50</v>
      </c>
      <c r="B250" s="202" t="str">
        <f>IFERROR(VLOOKUP(A250,'Heat Sheet'!$A:$I, 2, FALSE), "")</f>
        <v>02:07 PM</v>
      </c>
      <c r="C250" s="129" t="str" cm="1">
        <f t="array" aca="1" ref="C250" ca="1">_xlfn.LET(_xlpm.VAL, INDEX('Heat Sheet'!$A:$I, _xlfn.XMATCH(INDIRECT("A"&amp;ROW()),'Heat Sheet'!$A:$A), COLUMN()), IF(ISNA(_xlpm.VAL), "", IF(_xlpm.VAL=0, "", _xlpm.VAL)))</f>
        <v/>
      </c>
      <c r="D250" s="154" t="str" cm="1">
        <f t="array" aca="1" ref="D250" ca="1">_xlfn.LET(_xlpm.VAL, INDEX('Heat Sheet'!$A:$I, _xlfn.XMATCH(INDIRECT("A"&amp;ROW()),'Heat Sheet'!$A:$A), COLUMN()), IF(ISNA(_xlpm.VAL), "", IF(_xlpm.VAL=0, "", _xlpm.VAL)))</f>
        <v/>
      </c>
      <c r="E250" s="154" t="str" cm="1">
        <f t="array" aca="1" ref="E250" ca="1">_xlfn.LET(_xlpm.VAL, INDEX('Heat Sheet'!$A:$I, _xlfn.XMATCH(INDIRECT("A"&amp;ROW()),'Heat Sheet'!$A:$A), COLUMN()), IF(ISNA(_xlpm.VAL), "", IF(_xlpm.VAL=0, "", _xlpm.VAL)))</f>
        <v/>
      </c>
      <c r="F250" s="154" t="str" cm="1">
        <f t="array" aca="1" ref="F250" ca="1">_xlfn.LET(_xlpm.VAL, INDEX('Heat Sheet'!$A:$I, _xlfn.XMATCH(INDIRECT("A"&amp;ROW()),'Heat Sheet'!$A:$A), COLUMN()), IF(ISNA(_xlpm.VAL), "", IF(_xlpm.VAL=0, "", _xlpm.VAL)))</f>
        <v/>
      </c>
      <c r="G250" s="154" t="str" cm="1">
        <f t="array" aca="1" ref="G250" ca="1">_xlfn.LET(_xlpm.VAL, INDEX('Heat Sheet'!$A:$I, _xlfn.XMATCH(INDIRECT("A"&amp;ROW()),'Heat Sheet'!$A:$A), COLUMN()), IF(ISNA(_xlpm.VAL), "", IF(_xlpm.VAL=0, "", _xlpm.VAL)))</f>
        <v/>
      </c>
      <c r="H250" s="154" t="str" cm="1">
        <f t="array" aca="1" ref="H250" ca="1">_xlfn.LET(_xlpm.VAL, INDEX('Heat Sheet'!$A:$I, _xlfn.XMATCH(INDIRECT("A"&amp;ROW()),'Heat Sheet'!$A:$A), COLUMN()), IF(ISNA(_xlpm.VAL), "", IF(_xlpm.VAL=0, "", _xlpm.VAL)))</f>
        <v/>
      </c>
      <c r="I250" s="155" t="str" cm="1">
        <f t="array" aca="1" ref="I250" ca="1">_xlfn.LET(_xlpm.VAL, INDEX('Heat Sheet'!$A:$I, _xlfn.XMATCH(INDIRECT("A"&amp;ROW()),'Heat Sheet'!$A:$A), COLUMN()), IF(ISNA(_xlpm.VAL), "", IF(_xlpm.VAL=0, "", _xlpm.VAL)))</f>
        <v/>
      </c>
    </row>
    <row r="251" spans="1:9" ht="18.5" customHeight="1" x14ac:dyDescent="0.2">
      <c r="A251" s="201"/>
      <c r="B251" s="202"/>
      <c r="C251" s="129" t="str" cm="1">
        <f t="array" aca="1" ref="C251" ca="1">_xlfn.LET(_xlpm.VAL, INDEX('Heat Sheet'!$A:$I, _xlfn.XMATCH(INDIRECT("A"&amp;ROW()-1),'Heat Sheet'!$A:$A)+1, COLUMN()), IF(ISNA(_xlpm.VAL), "", IF(_xlpm.VAL=0, "", _xlpm.VAL)))</f>
        <v/>
      </c>
      <c r="D251" s="154" t="str" cm="1">
        <f t="array" aca="1" ref="D251" ca="1">_xlfn.LET(_xlpm.VAL, INDEX('Heat Sheet'!$A:$I, _xlfn.XMATCH(INDIRECT("A"&amp;ROW()-1),'Heat Sheet'!$A:$A)+1, COLUMN()), IF(ISNA(_xlpm.VAL), "", IF(_xlpm.VAL=0, "", _xlpm.VAL)))</f>
        <v/>
      </c>
      <c r="E251" s="154" t="str" cm="1">
        <f t="array" aca="1" ref="E251" ca="1">_xlfn.LET(_xlpm.VAL, INDEX('Heat Sheet'!$A:$I, _xlfn.XMATCH(INDIRECT("A"&amp;ROW()-1),'Heat Sheet'!$A:$A)+1, COLUMN()), IF(ISNA(_xlpm.VAL), "", IF(_xlpm.VAL=0, "", _xlpm.VAL)))</f>
        <v/>
      </c>
      <c r="F251" s="154" t="str" cm="1">
        <f t="array" aca="1" ref="F251" ca="1">_xlfn.LET(_xlpm.VAL, INDEX('Heat Sheet'!$A:$I, _xlfn.XMATCH(INDIRECT("A"&amp;ROW()-1),'Heat Sheet'!$A:$A)+1, COLUMN()), IF(ISNA(_xlpm.VAL), "", IF(_xlpm.VAL=0, "", _xlpm.VAL)))</f>
        <v/>
      </c>
      <c r="G251" s="154" t="str" cm="1">
        <f t="array" aca="1" ref="G251" ca="1">_xlfn.LET(_xlpm.VAL, INDEX('Heat Sheet'!$A:$I, _xlfn.XMATCH(INDIRECT("A"&amp;ROW()-1),'Heat Sheet'!$A:$A)+1, COLUMN()), IF(ISNA(_xlpm.VAL), "", IF(_xlpm.VAL=0, "", _xlpm.VAL)))</f>
        <v/>
      </c>
      <c r="H251" s="154" t="str" cm="1">
        <f t="array" aca="1" ref="H251" ca="1">_xlfn.LET(_xlpm.VAL, INDEX('Heat Sheet'!$A:$I, _xlfn.XMATCH(INDIRECT("A"&amp;ROW()-1),'Heat Sheet'!$A:$A)+1, COLUMN()), IF(ISNA(_xlpm.VAL), "", IF(_xlpm.VAL=0, "", _xlpm.VAL)))</f>
        <v/>
      </c>
      <c r="I251" s="155" t="str" cm="1">
        <f t="array" aca="1" ref="I251" ca="1">_xlfn.LET(_xlpm.VAL, INDEX('Heat Sheet'!$A:$I, _xlfn.XMATCH(INDIRECT("A"&amp;ROW()-1),'Heat Sheet'!$A:$A)+1, COLUMN()), IF(ISNA(_xlpm.VAL), "", IF(_xlpm.VAL=0, "", _xlpm.VAL)))</f>
        <v/>
      </c>
    </row>
    <row r="252" spans="1:9" ht="18.5" customHeight="1" x14ac:dyDescent="0.2">
      <c r="A252" s="201"/>
      <c r="B252" s="202"/>
      <c r="C252" s="122" t="s">
        <v>22</v>
      </c>
      <c r="D252" s="124"/>
      <c r="E252" s="124"/>
      <c r="F252" s="124"/>
      <c r="G252" s="124"/>
      <c r="H252" s="124"/>
      <c r="I252" s="126"/>
    </row>
    <row r="253" spans="1:9" ht="16" x14ac:dyDescent="0.2">
      <c r="A253" s="201"/>
      <c r="B253" s="202"/>
      <c r="C253" s="122" t="s">
        <v>23</v>
      </c>
      <c r="D253" s="158"/>
      <c r="E253" s="158"/>
      <c r="F253" s="158"/>
      <c r="G253" s="158"/>
      <c r="H253" s="158"/>
      <c r="I253" s="159"/>
    </row>
    <row r="254" spans="1:9" ht="17" x14ac:dyDescent="0.2">
      <c r="A254" s="201"/>
      <c r="B254" s="202"/>
      <c r="C254" s="26" t="s">
        <v>14</v>
      </c>
      <c r="D254" s="160"/>
      <c r="E254" s="160"/>
      <c r="F254" s="160"/>
      <c r="G254" s="160"/>
      <c r="H254" s="160"/>
      <c r="I254" s="161"/>
    </row>
    <row r="255" spans="1:9" ht="17" x14ac:dyDescent="0.2">
      <c r="A255" s="201">
        <v>51</v>
      </c>
      <c r="B255" s="202" t="str">
        <f>IFERROR(VLOOKUP(A255,'Heat Sheet'!$A:$I, 2, FALSE), "")</f>
        <v/>
      </c>
      <c r="C255" s="129" t="str" cm="1">
        <f t="array" aca="1" ref="C255" ca="1">_xlfn.LET(_xlpm.VAL, INDEX('Heat Sheet'!$A:$I, _xlfn.XMATCH(INDIRECT("A"&amp;ROW()),'Heat Sheet'!$A:$A), COLUMN()), IF(ISNA(_xlpm.VAL), "", IF(_xlpm.VAL=0, "", _xlpm.VAL)))</f>
        <v/>
      </c>
      <c r="D255" s="154" t="str" cm="1">
        <f t="array" aca="1" ref="D255" ca="1">_xlfn.LET(_xlpm.VAL, INDEX('Heat Sheet'!$A:$I, _xlfn.XMATCH(INDIRECT("A"&amp;ROW()),'Heat Sheet'!$A:$A), COLUMN()), IF(ISNA(_xlpm.VAL), "", IF(_xlpm.VAL=0, "", _xlpm.VAL)))</f>
        <v/>
      </c>
      <c r="E255" s="154" t="str" cm="1">
        <f t="array" aca="1" ref="E255" ca="1">_xlfn.LET(_xlpm.VAL, INDEX('Heat Sheet'!$A:$I, _xlfn.XMATCH(INDIRECT("A"&amp;ROW()),'Heat Sheet'!$A:$A), COLUMN()), IF(ISNA(_xlpm.VAL), "", IF(_xlpm.VAL=0, "", _xlpm.VAL)))</f>
        <v/>
      </c>
      <c r="F255" s="154" t="str" cm="1">
        <f t="array" aca="1" ref="F255" ca="1">_xlfn.LET(_xlpm.VAL, INDEX('Heat Sheet'!$A:$I, _xlfn.XMATCH(INDIRECT("A"&amp;ROW()),'Heat Sheet'!$A:$A), COLUMN()), IF(ISNA(_xlpm.VAL), "", IF(_xlpm.VAL=0, "", _xlpm.VAL)))</f>
        <v/>
      </c>
      <c r="G255" s="154" t="str" cm="1">
        <f t="array" aca="1" ref="G255" ca="1">_xlfn.LET(_xlpm.VAL, INDEX('Heat Sheet'!$A:$I, _xlfn.XMATCH(INDIRECT("A"&amp;ROW()),'Heat Sheet'!$A:$A), COLUMN()), IF(ISNA(_xlpm.VAL), "", IF(_xlpm.VAL=0, "", _xlpm.VAL)))</f>
        <v/>
      </c>
      <c r="H255" s="154" t="str" cm="1">
        <f t="array" aca="1" ref="H255" ca="1">_xlfn.LET(_xlpm.VAL, INDEX('Heat Sheet'!$A:$I, _xlfn.XMATCH(INDIRECT("A"&amp;ROW()),'Heat Sheet'!$A:$A), COLUMN()), IF(ISNA(_xlpm.VAL), "", IF(_xlpm.VAL=0, "", _xlpm.VAL)))</f>
        <v/>
      </c>
      <c r="I255" s="155" t="str" cm="1">
        <f t="array" aca="1" ref="I255" ca="1">_xlfn.LET(_xlpm.VAL, INDEX('Heat Sheet'!$A:$I, _xlfn.XMATCH(INDIRECT("A"&amp;ROW()),'Heat Sheet'!$A:$A), COLUMN()), IF(ISNA(_xlpm.VAL), "", IF(_xlpm.VAL=0, "", _xlpm.VAL)))</f>
        <v/>
      </c>
    </row>
    <row r="256" spans="1:9" ht="17" x14ac:dyDescent="0.2">
      <c r="A256" s="201"/>
      <c r="B256" s="202"/>
      <c r="C256" s="129" t="str" cm="1">
        <f t="array" aca="1" ref="C256" ca="1">_xlfn.LET(_xlpm.VAL, INDEX('Heat Sheet'!$A:$I, _xlfn.XMATCH(INDIRECT("A"&amp;ROW()-1),'Heat Sheet'!$A:$A)+1, COLUMN()), IF(ISNA(_xlpm.VAL), "", IF(_xlpm.VAL=0, "", _xlpm.VAL)))</f>
        <v/>
      </c>
      <c r="D256" s="154" t="str" cm="1">
        <f t="array" aca="1" ref="D256" ca="1">_xlfn.LET(_xlpm.VAL, INDEX('Heat Sheet'!$A:$I, _xlfn.XMATCH(INDIRECT("A"&amp;ROW()-1),'Heat Sheet'!$A:$A)+1, COLUMN()), IF(ISNA(_xlpm.VAL), "", IF(_xlpm.VAL=0, "", _xlpm.VAL)))</f>
        <v/>
      </c>
      <c r="E256" s="154" t="str" cm="1">
        <f t="array" aca="1" ref="E256" ca="1">_xlfn.LET(_xlpm.VAL, INDEX('Heat Sheet'!$A:$I, _xlfn.XMATCH(INDIRECT("A"&amp;ROW()-1),'Heat Sheet'!$A:$A)+1, COLUMN()), IF(ISNA(_xlpm.VAL), "", IF(_xlpm.VAL=0, "", _xlpm.VAL)))</f>
        <v/>
      </c>
      <c r="F256" s="154" t="str" cm="1">
        <f t="array" aca="1" ref="F256" ca="1">_xlfn.LET(_xlpm.VAL, INDEX('Heat Sheet'!$A:$I, _xlfn.XMATCH(INDIRECT("A"&amp;ROW()-1),'Heat Sheet'!$A:$A)+1, COLUMN()), IF(ISNA(_xlpm.VAL), "", IF(_xlpm.VAL=0, "", _xlpm.VAL)))</f>
        <v/>
      </c>
      <c r="G256" s="154" t="str" cm="1">
        <f t="array" aca="1" ref="G256" ca="1">_xlfn.LET(_xlpm.VAL, INDEX('Heat Sheet'!$A:$I, _xlfn.XMATCH(INDIRECT("A"&amp;ROW()-1),'Heat Sheet'!$A:$A)+1, COLUMN()), IF(ISNA(_xlpm.VAL), "", IF(_xlpm.VAL=0, "", _xlpm.VAL)))</f>
        <v/>
      </c>
      <c r="H256" s="154" t="str" cm="1">
        <f t="array" aca="1" ref="H256" ca="1">_xlfn.LET(_xlpm.VAL, INDEX('Heat Sheet'!$A:$I, _xlfn.XMATCH(INDIRECT("A"&amp;ROW()-1),'Heat Sheet'!$A:$A)+1, COLUMN()), IF(ISNA(_xlpm.VAL), "", IF(_xlpm.VAL=0, "", _xlpm.VAL)))</f>
        <v/>
      </c>
      <c r="I256" s="155" t="str" cm="1">
        <f t="array" aca="1" ref="I256" ca="1">_xlfn.LET(_xlpm.VAL, INDEX('Heat Sheet'!$A:$I, _xlfn.XMATCH(INDIRECT("A"&amp;ROW()-1),'Heat Sheet'!$A:$A)+1, COLUMN()), IF(ISNA(_xlpm.VAL), "", IF(_xlpm.VAL=0, "", _xlpm.VAL)))</f>
        <v/>
      </c>
    </row>
    <row r="257" spans="1:9" ht="16" x14ac:dyDescent="0.2">
      <c r="A257" s="201"/>
      <c r="B257" s="202"/>
      <c r="C257" s="122" t="s">
        <v>22</v>
      </c>
      <c r="D257" s="124"/>
      <c r="E257" s="124"/>
      <c r="F257" s="124"/>
      <c r="G257" s="124"/>
      <c r="H257" s="124"/>
      <c r="I257" s="126"/>
    </row>
    <row r="258" spans="1:9" ht="18.5" customHeight="1" x14ac:dyDescent="0.2">
      <c r="A258" s="201"/>
      <c r="B258" s="202"/>
      <c r="C258" s="122" t="s">
        <v>23</v>
      </c>
      <c r="D258" s="158"/>
      <c r="E258" s="158"/>
      <c r="F258" s="158"/>
      <c r="G258" s="158"/>
      <c r="H258" s="158"/>
      <c r="I258" s="159"/>
    </row>
    <row r="259" spans="1:9" ht="17" x14ac:dyDescent="0.2">
      <c r="A259" s="201"/>
      <c r="B259" s="202"/>
      <c r="C259" s="26" t="s">
        <v>14</v>
      </c>
      <c r="D259" s="160"/>
      <c r="E259" s="160"/>
      <c r="F259" s="160"/>
      <c r="G259" s="160"/>
      <c r="H259" s="160"/>
      <c r="I259" s="161"/>
    </row>
    <row r="260" spans="1:9" ht="17" x14ac:dyDescent="0.2">
      <c r="A260" s="201">
        <v>52</v>
      </c>
      <c r="B260" s="202" t="str">
        <f>IFERROR(VLOOKUP(A260,'Heat Sheet'!$A:$I, 2, FALSE), "")</f>
        <v/>
      </c>
      <c r="C260" s="129" t="str" cm="1">
        <f t="array" aca="1" ref="C260" ca="1">_xlfn.LET(_xlpm.VAL, INDEX('Heat Sheet'!$A:$I, _xlfn.XMATCH(INDIRECT("A"&amp;ROW()),'Heat Sheet'!$A:$A), COLUMN()), IF(ISNA(_xlpm.VAL), "", IF(_xlpm.VAL=0, "", _xlpm.VAL)))</f>
        <v/>
      </c>
      <c r="D260" s="154" t="str" cm="1">
        <f t="array" aca="1" ref="D260" ca="1">_xlfn.LET(_xlpm.VAL, INDEX('Heat Sheet'!$A:$I, _xlfn.XMATCH(INDIRECT("A"&amp;ROW()),'Heat Sheet'!$A:$A), COLUMN()), IF(ISNA(_xlpm.VAL), "", IF(_xlpm.VAL=0, "", _xlpm.VAL)))</f>
        <v/>
      </c>
      <c r="E260" s="154" t="str" cm="1">
        <f t="array" aca="1" ref="E260" ca="1">_xlfn.LET(_xlpm.VAL, INDEX('Heat Sheet'!$A:$I, _xlfn.XMATCH(INDIRECT("A"&amp;ROW()),'Heat Sheet'!$A:$A), COLUMN()), IF(ISNA(_xlpm.VAL), "", IF(_xlpm.VAL=0, "", _xlpm.VAL)))</f>
        <v/>
      </c>
      <c r="F260" s="154" t="str" cm="1">
        <f t="array" aca="1" ref="F260" ca="1">_xlfn.LET(_xlpm.VAL, INDEX('Heat Sheet'!$A:$I, _xlfn.XMATCH(INDIRECT("A"&amp;ROW()),'Heat Sheet'!$A:$A), COLUMN()), IF(ISNA(_xlpm.VAL), "", IF(_xlpm.VAL=0, "", _xlpm.VAL)))</f>
        <v/>
      </c>
      <c r="G260" s="154" t="str" cm="1">
        <f t="array" aca="1" ref="G260" ca="1">_xlfn.LET(_xlpm.VAL, INDEX('Heat Sheet'!$A:$I, _xlfn.XMATCH(INDIRECT("A"&amp;ROW()),'Heat Sheet'!$A:$A), COLUMN()), IF(ISNA(_xlpm.VAL), "", IF(_xlpm.VAL=0, "", _xlpm.VAL)))</f>
        <v/>
      </c>
      <c r="H260" s="154" t="str" cm="1">
        <f t="array" aca="1" ref="H260" ca="1">_xlfn.LET(_xlpm.VAL, INDEX('Heat Sheet'!$A:$I, _xlfn.XMATCH(INDIRECT("A"&amp;ROW()),'Heat Sheet'!$A:$A), COLUMN()), IF(ISNA(_xlpm.VAL), "", IF(_xlpm.VAL=0, "", _xlpm.VAL)))</f>
        <v/>
      </c>
      <c r="I260" s="155" t="str" cm="1">
        <f t="array" aca="1" ref="I260" ca="1">_xlfn.LET(_xlpm.VAL, INDEX('Heat Sheet'!$A:$I, _xlfn.XMATCH(INDIRECT("A"&amp;ROW()),'Heat Sheet'!$A:$A), COLUMN()), IF(ISNA(_xlpm.VAL), "", IF(_xlpm.VAL=0, "", _xlpm.VAL)))</f>
        <v/>
      </c>
    </row>
    <row r="261" spans="1:9" ht="17" x14ac:dyDescent="0.2">
      <c r="A261" s="201"/>
      <c r="B261" s="202"/>
      <c r="C261" s="129" t="str" cm="1">
        <f t="array" aca="1" ref="C261" ca="1">_xlfn.LET(_xlpm.VAL, INDEX('Heat Sheet'!$A:$I, _xlfn.XMATCH(INDIRECT("A"&amp;ROW()-1),'Heat Sheet'!$A:$A)+1, COLUMN()), IF(ISNA(_xlpm.VAL), "", IF(_xlpm.VAL=0, "", _xlpm.VAL)))</f>
        <v/>
      </c>
      <c r="D261" s="154" t="str" cm="1">
        <f t="array" aca="1" ref="D261" ca="1">_xlfn.LET(_xlpm.VAL, INDEX('Heat Sheet'!$A:$I, _xlfn.XMATCH(INDIRECT("A"&amp;ROW()-1),'Heat Sheet'!$A:$A)+1, COLUMN()), IF(ISNA(_xlpm.VAL), "", IF(_xlpm.VAL=0, "", _xlpm.VAL)))</f>
        <v/>
      </c>
      <c r="E261" s="154" t="str" cm="1">
        <f t="array" aca="1" ref="E261" ca="1">_xlfn.LET(_xlpm.VAL, INDEX('Heat Sheet'!$A:$I, _xlfn.XMATCH(INDIRECT("A"&amp;ROW()-1),'Heat Sheet'!$A:$A)+1, COLUMN()), IF(ISNA(_xlpm.VAL), "", IF(_xlpm.VAL=0, "", _xlpm.VAL)))</f>
        <v/>
      </c>
      <c r="F261" s="154" t="str" cm="1">
        <f t="array" aca="1" ref="F261" ca="1">_xlfn.LET(_xlpm.VAL, INDEX('Heat Sheet'!$A:$I, _xlfn.XMATCH(INDIRECT("A"&amp;ROW()-1),'Heat Sheet'!$A:$A)+1, COLUMN()), IF(ISNA(_xlpm.VAL), "", IF(_xlpm.VAL=0, "", _xlpm.VAL)))</f>
        <v/>
      </c>
      <c r="G261" s="154" t="str" cm="1">
        <f t="array" aca="1" ref="G261" ca="1">_xlfn.LET(_xlpm.VAL, INDEX('Heat Sheet'!$A:$I, _xlfn.XMATCH(INDIRECT("A"&amp;ROW()-1),'Heat Sheet'!$A:$A)+1, COLUMN()), IF(ISNA(_xlpm.VAL), "", IF(_xlpm.VAL=0, "", _xlpm.VAL)))</f>
        <v/>
      </c>
      <c r="H261" s="154" t="str" cm="1">
        <f t="array" aca="1" ref="H261" ca="1">_xlfn.LET(_xlpm.VAL, INDEX('Heat Sheet'!$A:$I, _xlfn.XMATCH(INDIRECT("A"&amp;ROW()-1),'Heat Sheet'!$A:$A)+1, COLUMN()), IF(ISNA(_xlpm.VAL), "", IF(_xlpm.VAL=0, "", _xlpm.VAL)))</f>
        <v/>
      </c>
      <c r="I261" s="155" t="str" cm="1">
        <f t="array" aca="1" ref="I261" ca="1">_xlfn.LET(_xlpm.VAL, INDEX('Heat Sheet'!$A:$I, _xlfn.XMATCH(INDIRECT("A"&amp;ROW()-1),'Heat Sheet'!$A:$A)+1, COLUMN()), IF(ISNA(_xlpm.VAL), "", IF(_xlpm.VAL=0, "", _xlpm.VAL)))</f>
        <v/>
      </c>
    </row>
    <row r="262" spans="1:9" ht="16" x14ac:dyDescent="0.2">
      <c r="A262" s="201"/>
      <c r="B262" s="202"/>
      <c r="C262" s="122" t="s">
        <v>22</v>
      </c>
      <c r="D262" s="124"/>
      <c r="E262" s="124"/>
      <c r="F262" s="124"/>
      <c r="G262" s="124"/>
      <c r="H262" s="124"/>
      <c r="I262" s="126"/>
    </row>
    <row r="263" spans="1:9" ht="16" x14ac:dyDescent="0.2">
      <c r="A263" s="201"/>
      <c r="B263" s="202"/>
      <c r="C263" s="122" t="s">
        <v>23</v>
      </c>
      <c r="D263" s="158"/>
      <c r="E263" s="158"/>
      <c r="F263" s="158"/>
      <c r="G263" s="158"/>
      <c r="H263" s="158"/>
      <c r="I263" s="159"/>
    </row>
    <row r="264" spans="1:9" ht="18.5" customHeight="1" x14ac:dyDescent="0.2">
      <c r="A264" s="201"/>
      <c r="B264" s="202"/>
      <c r="C264" s="26" t="s">
        <v>14</v>
      </c>
      <c r="D264" s="160"/>
      <c r="E264" s="160"/>
      <c r="F264" s="160"/>
      <c r="G264" s="160"/>
      <c r="H264" s="160"/>
      <c r="I264" s="161"/>
    </row>
    <row r="265" spans="1:9" ht="17" x14ac:dyDescent="0.2">
      <c r="A265" s="201">
        <v>53</v>
      </c>
      <c r="B265" s="202" t="str">
        <f>IFERROR(VLOOKUP(A265,'Heat Sheet'!$A:$I, 2, FALSE), "")</f>
        <v/>
      </c>
      <c r="C265" s="129" t="str" cm="1">
        <f t="array" aca="1" ref="C265" ca="1">_xlfn.LET(_xlpm.VAL, INDEX('Heat Sheet'!$A:$I, _xlfn.XMATCH(INDIRECT("A"&amp;ROW()),'Heat Sheet'!$A:$A), COLUMN()), IF(ISNA(_xlpm.VAL), "", IF(_xlpm.VAL=0, "", _xlpm.VAL)))</f>
        <v/>
      </c>
      <c r="D265" s="154" t="str" cm="1">
        <f t="array" aca="1" ref="D265" ca="1">_xlfn.LET(_xlpm.VAL, INDEX('Heat Sheet'!$A:$I, _xlfn.XMATCH(INDIRECT("A"&amp;ROW()),'Heat Sheet'!$A:$A), COLUMN()), IF(ISNA(_xlpm.VAL), "", IF(_xlpm.VAL=0, "", _xlpm.VAL)))</f>
        <v/>
      </c>
      <c r="E265" s="154" t="str" cm="1">
        <f t="array" aca="1" ref="E265" ca="1">_xlfn.LET(_xlpm.VAL, INDEX('Heat Sheet'!$A:$I, _xlfn.XMATCH(INDIRECT("A"&amp;ROW()),'Heat Sheet'!$A:$A), COLUMN()), IF(ISNA(_xlpm.VAL), "", IF(_xlpm.VAL=0, "", _xlpm.VAL)))</f>
        <v/>
      </c>
      <c r="F265" s="154" t="str" cm="1">
        <f t="array" aca="1" ref="F265" ca="1">_xlfn.LET(_xlpm.VAL, INDEX('Heat Sheet'!$A:$I, _xlfn.XMATCH(INDIRECT("A"&amp;ROW()),'Heat Sheet'!$A:$A), COLUMN()), IF(ISNA(_xlpm.VAL), "", IF(_xlpm.VAL=0, "", _xlpm.VAL)))</f>
        <v/>
      </c>
      <c r="G265" s="154" t="str" cm="1">
        <f t="array" aca="1" ref="G265" ca="1">_xlfn.LET(_xlpm.VAL, INDEX('Heat Sheet'!$A:$I, _xlfn.XMATCH(INDIRECT("A"&amp;ROW()),'Heat Sheet'!$A:$A), COLUMN()), IF(ISNA(_xlpm.VAL), "", IF(_xlpm.VAL=0, "", _xlpm.VAL)))</f>
        <v/>
      </c>
      <c r="H265" s="154" t="str" cm="1">
        <f t="array" aca="1" ref="H265" ca="1">_xlfn.LET(_xlpm.VAL, INDEX('Heat Sheet'!$A:$I, _xlfn.XMATCH(INDIRECT("A"&amp;ROW()),'Heat Sheet'!$A:$A), COLUMN()), IF(ISNA(_xlpm.VAL), "", IF(_xlpm.VAL=0, "", _xlpm.VAL)))</f>
        <v/>
      </c>
      <c r="I265" s="155" t="str" cm="1">
        <f t="array" aca="1" ref="I265" ca="1">_xlfn.LET(_xlpm.VAL, INDEX('Heat Sheet'!$A:$I, _xlfn.XMATCH(INDIRECT("A"&amp;ROW()),'Heat Sheet'!$A:$A), COLUMN()), IF(ISNA(_xlpm.VAL), "", IF(_xlpm.VAL=0, "", _xlpm.VAL)))</f>
        <v/>
      </c>
    </row>
    <row r="266" spans="1:9" ht="17" x14ac:dyDescent="0.2">
      <c r="A266" s="201"/>
      <c r="B266" s="202"/>
      <c r="C266" s="129" t="str" cm="1">
        <f t="array" aca="1" ref="C266" ca="1">_xlfn.LET(_xlpm.VAL, INDEX('Heat Sheet'!$A:$I, _xlfn.XMATCH(INDIRECT("A"&amp;ROW()-1),'Heat Sheet'!$A:$A)+1, COLUMN()), IF(ISNA(_xlpm.VAL), "", IF(_xlpm.VAL=0, "", _xlpm.VAL)))</f>
        <v/>
      </c>
      <c r="D266" s="154" t="str" cm="1">
        <f t="array" aca="1" ref="D266" ca="1">_xlfn.LET(_xlpm.VAL, INDEX('Heat Sheet'!$A:$I, _xlfn.XMATCH(INDIRECT("A"&amp;ROW()-1),'Heat Sheet'!$A:$A)+1, COLUMN()), IF(ISNA(_xlpm.VAL), "", IF(_xlpm.VAL=0, "", _xlpm.VAL)))</f>
        <v/>
      </c>
      <c r="E266" s="154" t="str" cm="1">
        <f t="array" aca="1" ref="E266" ca="1">_xlfn.LET(_xlpm.VAL, INDEX('Heat Sheet'!$A:$I, _xlfn.XMATCH(INDIRECT("A"&amp;ROW()-1),'Heat Sheet'!$A:$A)+1, COLUMN()), IF(ISNA(_xlpm.VAL), "", IF(_xlpm.VAL=0, "", _xlpm.VAL)))</f>
        <v/>
      </c>
      <c r="F266" s="154" t="str" cm="1">
        <f t="array" aca="1" ref="F266" ca="1">_xlfn.LET(_xlpm.VAL, INDEX('Heat Sheet'!$A:$I, _xlfn.XMATCH(INDIRECT("A"&amp;ROW()-1),'Heat Sheet'!$A:$A)+1, COLUMN()), IF(ISNA(_xlpm.VAL), "", IF(_xlpm.VAL=0, "", _xlpm.VAL)))</f>
        <v/>
      </c>
      <c r="G266" s="154" t="str" cm="1">
        <f t="array" aca="1" ref="G266" ca="1">_xlfn.LET(_xlpm.VAL, INDEX('Heat Sheet'!$A:$I, _xlfn.XMATCH(INDIRECT("A"&amp;ROW()-1),'Heat Sheet'!$A:$A)+1, COLUMN()), IF(ISNA(_xlpm.VAL), "", IF(_xlpm.VAL=0, "", _xlpm.VAL)))</f>
        <v/>
      </c>
      <c r="H266" s="154" t="str" cm="1">
        <f t="array" aca="1" ref="H266" ca="1">_xlfn.LET(_xlpm.VAL, INDEX('Heat Sheet'!$A:$I, _xlfn.XMATCH(INDIRECT("A"&amp;ROW()-1),'Heat Sheet'!$A:$A)+1, COLUMN()), IF(ISNA(_xlpm.VAL), "", IF(_xlpm.VAL=0, "", _xlpm.VAL)))</f>
        <v/>
      </c>
      <c r="I266" s="155" t="str" cm="1">
        <f t="array" aca="1" ref="I266" ca="1">_xlfn.LET(_xlpm.VAL, INDEX('Heat Sheet'!$A:$I, _xlfn.XMATCH(INDIRECT("A"&amp;ROW()-1),'Heat Sheet'!$A:$A)+1, COLUMN()), IF(ISNA(_xlpm.VAL), "", IF(_xlpm.VAL=0, "", _xlpm.VAL)))</f>
        <v/>
      </c>
    </row>
    <row r="267" spans="1:9" ht="16" x14ac:dyDescent="0.2">
      <c r="A267" s="201"/>
      <c r="B267" s="202"/>
      <c r="C267" s="122" t="s">
        <v>22</v>
      </c>
      <c r="D267" s="124"/>
      <c r="E267" s="124"/>
      <c r="F267" s="124"/>
      <c r="G267" s="124"/>
      <c r="H267" s="124"/>
      <c r="I267" s="126"/>
    </row>
    <row r="268" spans="1:9" ht="16" x14ac:dyDescent="0.2">
      <c r="A268" s="201"/>
      <c r="B268" s="202"/>
      <c r="C268" s="122" t="s">
        <v>23</v>
      </c>
      <c r="D268" s="158"/>
      <c r="E268" s="158"/>
      <c r="F268" s="158"/>
      <c r="G268" s="158"/>
      <c r="H268" s="158"/>
      <c r="I268" s="159"/>
    </row>
    <row r="269" spans="1:9" ht="17" x14ac:dyDescent="0.2">
      <c r="A269" s="201"/>
      <c r="B269" s="202"/>
      <c r="C269" s="26" t="s">
        <v>14</v>
      </c>
      <c r="D269" s="160"/>
      <c r="E269" s="160"/>
      <c r="F269" s="160"/>
      <c r="G269" s="160"/>
      <c r="H269" s="160"/>
      <c r="I269" s="161"/>
    </row>
    <row r="270" spans="1:9" ht="18.5" customHeight="1" x14ac:dyDescent="0.2">
      <c r="A270" s="201">
        <v>54</v>
      </c>
      <c r="B270" s="202" t="str">
        <f>IFERROR(VLOOKUP(A270,'Heat Sheet'!$A:$I, 2, FALSE), "")</f>
        <v/>
      </c>
      <c r="C270" s="129" t="str" cm="1">
        <f t="array" aca="1" ref="C270" ca="1">_xlfn.LET(_xlpm.VAL, INDEX('Heat Sheet'!$A:$I, _xlfn.XMATCH(INDIRECT("A"&amp;ROW()),'Heat Sheet'!$A:$A), COLUMN()), IF(ISNA(_xlpm.VAL), "", IF(_xlpm.VAL=0, "", _xlpm.VAL)))</f>
        <v/>
      </c>
      <c r="D270" s="154" t="str" cm="1">
        <f t="array" aca="1" ref="D270" ca="1">_xlfn.LET(_xlpm.VAL, INDEX('Heat Sheet'!$A:$I, _xlfn.XMATCH(INDIRECT("A"&amp;ROW()),'Heat Sheet'!$A:$A), COLUMN()), IF(ISNA(_xlpm.VAL), "", IF(_xlpm.VAL=0, "", _xlpm.VAL)))</f>
        <v/>
      </c>
      <c r="E270" s="154" t="str" cm="1">
        <f t="array" aca="1" ref="E270" ca="1">_xlfn.LET(_xlpm.VAL, INDEX('Heat Sheet'!$A:$I, _xlfn.XMATCH(INDIRECT("A"&amp;ROW()),'Heat Sheet'!$A:$A), COLUMN()), IF(ISNA(_xlpm.VAL), "", IF(_xlpm.VAL=0, "", _xlpm.VAL)))</f>
        <v/>
      </c>
      <c r="F270" s="154" t="str" cm="1">
        <f t="array" aca="1" ref="F270" ca="1">_xlfn.LET(_xlpm.VAL, INDEX('Heat Sheet'!$A:$I, _xlfn.XMATCH(INDIRECT("A"&amp;ROW()),'Heat Sheet'!$A:$A), COLUMN()), IF(ISNA(_xlpm.VAL), "", IF(_xlpm.VAL=0, "", _xlpm.VAL)))</f>
        <v/>
      </c>
      <c r="G270" s="154" t="str" cm="1">
        <f t="array" aca="1" ref="G270" ca="1">_xlfn.LET(_xlpm.VAL, INDEX('Heat Sheet'!$A:$I, _xlfn.XMATCH(INDIRECT("A"&amp;ROW()),'Heat Sheet'!$A:$A), COLUMN()), IF(ISNA(_xlpm.VAL), "", IF(_xlpm.VAL=0, "", _xlpm.VAL)))</f>
        <v/>
      </c>
      <c r="H270" s="154" t="str" cm="1">
        <f t="array" aca="1" ref="H270" ca="1">_xlfn.LET(_xlpm.VAL, INDEX('Heat Sheet'!$A:$I, _xlfn.XMATCH(INDIRECT("A"&amp;ROW()),'Heat Sheet'!$A:$A), COLUMN()), IF(ISNA(_xlpm.VAL), "", IF(_xlpm.VAL=0, "", _xlpm.VAL)))</f>
        <v/>
      </c>
      <c r="I270" s="155" t="str" cm="1">
        <f t="array" aca="1" ref="I270" ca="1">_xlfn.LET(_xlpm.VAL, INDEX('Heat Sheet'!$A:$I, _xlfn.XMATCH(INDIRECT("A"&amp;ROW()),'Heat Sheet'!$A:$A), COLUMN()), IF(ISNA(_xlpm.VAL), "", IF(_xlpm.VAL=0, "", _xlpm.VAL)))</f>
        <v/>
      </c>
    </row>
    <row r="271" spans="1:9" ht="18.5" customHeight="1" x14ac:dyDescent="0.2">
      <c r="A271" s="201"/>
      <c r="B271" s="202"/>
      <c r="C271" s="129" t="str" cm="1">
        <f t="array" aca="1" ref="C271" ca="1">_xlfn.LET(_xlpm.VAL, INDEX('Heat Sheet'!$A:$I, _xlfn.XMATCH(INDIRECT("A"&amp;ROW()-1),'Heat Sheet'!$A:$A)+1, COLUMN()), IF(ISNA(_xlpm.VAL), "", IF(_xlpm.VAL=0, "", _xlpm.VAL)))</f>
        <v/>
      </c>
      <c r="D271" s="154" t="str" cm="1">
        <f t="array" aca="1" ref="D271" ca="1">_xlfn.LET(_xlpm.VAL, INDEX('Heat Sheet'!$A:$I, _xlfn.XMATCH(INDIRECT("A"&amp;ROW()-1),'Heat Sheet'!$A:$A)+1, COLUMN()), IF(ISNA(_xlpm.VAL), "", IF(_xlpm.VAL=0, "", _xlpm.VAL)))</f>
        <v/>
      </c>
      <c r="E271" s="154" t="str" cm="1">
        <f t="array" aca="1" ref="E271" ca="1">_xlfn.LET(_xlpm.VAL, INDEX('Heat Sheet'!$A:$I, _xlfn.XMATCH(INDIRECT("A"&amp;ROW()-1),'Heat Sheet'!$A:$A)+1, COLUMN()), IF(ISNA(_xlpm.VAL), "", IF(_xlpm.VAL=0, "", _xlpm.VAL)))</f>
        <v/>
      </c>
      <c r="F271" s="154" t="str" cm="1">
        <f t="array" aca="1" ref="F271" ca="1">_xlfn.LET(_xlpm.VAL, INDEX('Heat Sheet'!$A:$I, _xlfn.XMATCH(INDIRECT("A"&amp;ROW()-1),'Heat Sheet'!$A:$A)+1, COLUMN()), IF(ISNA(_xlpm.VAL), "", IF(_xlpm.VAL=0, "", _xlpm.VAL)))</f>
        <v/>
      </c>
      <c r="G271" s="154" t="str" cm="1">
        <f t="array" aca="1" ref="G271" ca="1">_xlfn.LET(_xlpm.VAL, INDEX('Heat Sheet'!$A:$I, _xlfn.XMATCH(INDIRECT("A"&amp;ROW()-1),'Heat Sheet'!$A:$A)+1, COLUMN()), IF(ISNA(_xlpm.VAL), "", IF(_xlpm.VAL=0, "", _xlpm.VAL)))</f>
        <v/>
      </c>
      <c r="H271" s="154" t="str" cm="1">
        <f t="array" aca="1" ref="H271" ca="1">_xlfn.LET(_xlpm.VAL, INDEX('Heat Sheet'!$A:$I, _xlfn.XMATCH(INDIRECT("A"&amp;ROW()-1),'Heat Sheet'!$A:$A)+1, COLUMN()), IF(ISNA(_xlpm.VAL), "", IF(_xlpm.VAL=0, "", _xlpm.VAL)))</f>
        <v/>
      </c>
      <c r="I271" s="155" t="str" cm="1">
        <f t="array" aca="1" ref="I271" ca="1">_xlfn.LET(_xlpm.VAL, INDEX('Heat Sheet'!$A:$I, _xlfn.XMATCH(INDIRECT("A"&amp;ROW()-1),'Heat Sheet'!$A:$A)+1, COLUMN()), IF(ISNA(_xlpm.VAL), "", IF(_xlpm.VAL=0, "", _xlpm.VAL)))</f>
        <v/>
      </c>
    </row>
    <row r="272" spans="1:9" ht="18.5" customHeight="1" x14ac:dyDescent="0.2">
      <c r="A272" s="201"/>
      <c r="B272" s="202"/>
      <c r="C272" s="122" t="s">
        <v>22</v>
      </c>
      <c r="D272" s="124"/>
      <c r="E272" s="124"/>
      <c r="F272" s="124"/>
      <c r="G272" s="124"/>
      <c r="H272" s="124"/>
      <c r="I272" s="126"/>
    </row>
    <row r="273" spans="1:9" ht="16" x14ac:dyDescent="0.2">
      <c r="A273" s="201"/>
      <c r="B273" s="202"/>
      <c r="C273" s="122" t="s">
        <v>23</v>
      </c>
      <c r="D273" s="158"/>
      <c r="E273" s="158"/>
      <c r="F273" s="158"/>
      <c r="G273" s="158"/>
      <c r="H273" s="158"/>
      <c r="I273" s="159"/>
    </row>
    <row r="274" spans="1:9" ht="17" x14ac:dyDescent="0.2">
      <c r="A274" s="201"/>
      <c r="B274" s="202"/>
      <c r="C274" s="26" t="s">
        <v>14</v>
      </c>
      <c r="D274" s="160"/>
      <c r="E274" s="160"/>
      <c r="F274" s="160"/>
      <c r="G274" s="160"/>
      <c r="H274" s="160"/>
      <c r="I274" s="161"/>
    </row>
    <row r="275" spans="1:9" ht="17" x14ac:dyDescent="0.2">
      <c r="A275" s="201">
        <v>55</v>
      </c>
      <c r="B275" s="202" t="str">
        <f>IFERROR(VLOOKUP(A275,'Heat Sheet'!$A:$I, 2, FALSE), "")</f>
        <v/>
      </c>
      <c r="C275" s="129" t="str" cm="1">
        <f t="array" aca="1" ref="C275" ca="1">_xlfn.LET(_xlpm.VAL, INDEX('Heat Sheet'!$A:$I, _xlfn.XMATCH(INDIRECT("A"&amp;ROW()),'Heat Sheet'!$A:$A), COLUMN()), IF(ISNA(_xlpm.VAL), "", IF(_xlpm.VAL=0, "", _xlpm.VAL)))</f>
        <v/>
      </c>
      <c r="D275" s="154" t="str" cm="1">
        <f t="array" aca="1" ref="D275" ca="1">_xlfn.LET(_xlpm.VAL, INDEX('Heat Sheet'!$A:$I, _xlfn.XMATCH(INDIRECT("A"&amp;ROW()),'Heat Sheet'!$A:$A), COLUMN()), IF(ISNA(_xlpm.VAL), "", IF(_xlpm.VAL=0, "", _xlpm.VAL)))</f>
        <v/>
      </c>
      <c r="E275" s="154" t="str" cm="1">
        <f t="array" aca="1" ref="E275" ca="1">_xlfn.LET(_xlpm.VAL, INDEX('Heat Sheet'!$A:$I, _xlfn.XMATCH(INDIRECT("A"&amp;ROW()),'Heat Sheet'!$A:$A), COLUMN()), IF(ISNA(_xlpm.VAL), "", IF(_xlpm.VAL=0, "", _xlpm.VAL)))</f>
        <v/>
      </c>
      <c r="F275" s="154" t="str" cm="1">
        <f t="array" aca="1" ref="F275" ca="1">_xlfn.LET(_xlpm.VAL, INDEX('Heat Sheet'!$A:$I, _xlfn.XMATCH(INDIRECT("A"&amp;ROW()),'Heat Sheet'!$A:$A), COLUMN()), IF(ISNA(_xlpm.VAL), "", IF(_xlpm.VAL=0, "", _xlpm.VAL)))</f>
        <v/>
      </c>
      <c r="G275" s="154" t="str" cm="1">
        <f t="array" aca="1" ref="G275" ca="1">_xlfn.LET(_xlpm.VAL, INDEX('Heat Sheet'!$A:$I, _xlfn.XMATCH(INDIRECT("A"&amp;ROW()),'Heat Sheet'!$A:$A), COLUMN()), IF(ISNA(_xlpm.VAL), "", IF(_xlpm.VAL=0, "", _xlpm.VAL)))</f>
        <v/>
      </c>
      <c r="H275" s="154" t="str" cm="1">
        <f t="array" aca="1" ref="H275" ca="1">_xlfn.LET(_xlpm.VAL, INDEX('Heat Sheet'!$A:$I, _xlfn.XMATCH(INDIRECT("A"&amp;ROW()),'Heat Sheet'!$A:$A), COLUMN()), IF(ISNA(_xlpm.VAL), "", IF(_xlpm.VAL=0, "", _xlpm.VAL)))</f>
        <v/>
      </c>
      <c r="I275" s="155" t="str" cm="1">
        <f t="array" aca="1" ref="I275" ca="1">_xlfn.LET(_xlpm.VAL, INDEX('Heat Sheet'!$A:$I, _xlfn.XMATCH(INDIRECT("A"&amp;ROW()),'Heat Sheet'!$A:$A), COLUMN()), IF(ISNA(_xlpm.VAL), "", IF(_xlpm.VAL=0, "", _xlpm.VAL)))</f>
        <v/>
      </c>
    </row>
    <row r="276" spans="1:9" ht="17" x14ac:dyDescent="0.2">
      <c r="A276" s="201"/>
      <c r="B276" s="202"/>
      <c r="C276" s="129" t="str" cm="1">
        <f t="array" aca="1" ref="C276" ca="1">_xlfn.LET(_xlpm.VAL, INDEX('Heat Sheet'!$A:$I, _xlfn.XMATCH(INDIRECT("A"&amp;ROW()-1),'Heat Sheet'!$A:$A)+1, COLUMN()), IF(ISNA(_xlpm.VAL), "", IF(_xlpm.VAL=0, "", _xlpm.VAL)))</f>
        <v/>
      </c>
      <c r="D276" s="154" t="str" cm="1">
        <f t="array" aca="1" ref="D276" ca="1">_xlfn.LET(_xlpm.VAL, INDEX('Heat Sheet'!$A:$I, _xlfn.XMATCH(INDIRECT("A"&amp;ROW()-1),'Heat Sheet'!$A:$A)+1, COLUMN()), IF(ISNA(_xlpm.VAL), "", IF(_xlpm.VAL=0, "", _xlpm.VAL)))</f>
        <v/>
      </c>
      <c r="E276" s="154" t="str" cm="1">
        <f t="array" aca="1" ref="E276" ca="1">_xlfn.LET(_xlpm.VAL, INDEX('Heat Sheet'!$A:$I, _xlfn.XMATCH(INDIRECT("A"&amp;ROW()-1),'Heat Sheet'!$A:$A)+1, COLUMN()), IF(ISNA(_xlpm.VAL), "", IF(_xlpm.VAL=0, "", _xlpm.VAL)))</f>
        <v/>
      </c>
      <c r="F276" s="154" t="str" cm="1">
        <f t="array" aca="1" ref="F276" ca="1">_xlfn.LET(_xlpm.VAL, INDEX('Heat Sheet'!$A:$I, _xlfn.XMATCH(INDIRECT("A"&amp;ROW()-1),'Heat Sheet'!$A:$A)+1, COLUMN()), IF(ISNA(_xlpm.VAL), "", IF(_xlpm.VAL=0, "", _xlpm.VAL)))</f>
        <v/>
      </c>
      <c r="G276" s="154" t="str" cm="1">
        <f t="array" aca="1" ref="G276" ca="1">_xlfn.LET(_xlpm.VAL, INDEX('Heat Sheet'!$A:$I, _xlfn.XMATCH(INDIRECT("A"&amp;ROW()-1),'Heat Sheet'!$A:$A)+1, COLUMN()), IF(ISNA(_xlpm.VAL), "", IF(_xlpm.VAL=0, "", _xlpm.VAL)))</f>
        <v/>
      </c>
      <c r="H276" s="154" t="str" cm="1">
        <f t="array" aca="1" ref="H276" ca="1">_xlfn.LET(_xlpm.VAL, INDEX('Heat Sheet'!$A:$I, _xlfn.XMATCH(INDIRECT("A"&amp;ROW()-1),'Heat Sheet'!$A:$A)+1, COLUMN()), IF(ISNA(_xlpm.VAL), "", IF(_xlpm.VAL=0, "", _xlpm.VAL)))</f>
        <v/>
      </c>
      <c r="I276" s="155" t="str" cm="1">
        <f t="array" aca="1" ref="I276" ca="1">_xlfn.LET(_xlpm.VAL, INDEX('Heat Sheet'!$A:$I, _xlfn.XMATCH(INDIRECT("A"&amp;ROW()-1),'Heat Sheet'!$A:$A)+1, COLUMN()), IF(ISNA(_xlpm.VAL), "", IF(_xlpm.VAL=0, "", _xlpm.VAL)))</f>
        <v/>
      </c>
    </row>
    <row r="277" spans="1:9" ht="16" x14ac:dyDescent="0.2">
      <c r="A277" s="201"/>
      <c r="B277" s="202"/>
      <c r="C277" s="122" t="s">
        <v>22</v>
      </c>
      <c r="D277" s="124"/>
      <c r="E277" s="124"/>
      <c r="F277" s="124"/>
      <c r="G277" s="124"/>
      <c r="H277" s="124"/>
      <c r="I277" s="126"/>
    </row>
    <row r="278" spans="1:9" ht="18.5" customHeight="1" x14ac:dyDescent="0.2">
      <c r="A278" s="201"/>
      <c r="B278" s="202"/>
      <c r="C278" s="122" t="s">
        <v>23</v>
      </c>
      <c r="D278" s="158"/>
      <c r="E278" s="158"/>
      <c r="F278" s="158"/>
      <c r="G278" s="158"/>
      <c r="H278" s="158"/>
      <c r="I278" s="159"/>
    </row>
    <row r="279" spans="1:9" ht="17" x14ac:dyDescent="0.2">
      <c r="A279" s="201"/>
      <c r="B279" s="202"/>
      <c r="C279" s="26" t="s">
        <v>14</v>
      </c>
      <c r="D279" s="160"/>
      <c r="E279" s="160"/>
      <c r="F279" s="160"/>
      <c r="G279" s="160"/>
      <c r="H279" s="160"/>
      <c r="I279" s="161"/>
    </row>
    <row r="280" spans="1:9" ht="17" x14ac:dyDescent="0.2">
      <c r="A280" s="201">
        <v>56</v>
      </c>
      <c r="B280" s="202" t="str">
        <f>IFERROR(VLOOKUP(A280,'Heat Sheet'!$A:$I, 2, FALSE), "")</f>
        <v/>
      </c>
      <c r="C280" s="129" t="str" cm="1">
        <f t="array" aca="1" ref="C280" ca="1">_xlfn.LET(_xlpm.VAL, INDEX('Heat Sheet'!$A:$I, _xlfn.XMATCH(INDIRECT("A"&amp;ROW()),'Heat Sheet'!$A:$A), COLUMN()), IF(ISNA(_xlpm.VAL), "", IF(_xlpm.VAL=0, "", _xlpm.VAL)))</f>
        <v/>
      </c>
      <c r="D280" s="154" t="str" cm="1">
        <f t="array" aca="1" ref="D280" ca="1">_xlfn.LET(_xlpm.VAL, INDEX('Heat Sheet'!$A:$I, _xlfn.XMATCH(INDIRECT("A"&amp;ROW()),'Heat Sheet'!$A:$A), COLUMN()), IF(ISNA(_xlpm.VAL), "", IF(_xlpm.VAL=0, "", _xlpm.VAL)))</f>
        <v/>
      </c>
      <c r="E280" s="154" t="str" cm="1">
        <f t="array" aca="1" ref="E280" ca="1">_xlfn.LET(_xlpm.VAL, INDEX('Heat Sheet'!$A:$I, _xlfn.XMATCH(INDIRECT("A"&amp;ROW()),'Heat Sheet'!$A:$A), COLUMN()), IF(ISNA(_xlpm.VAL), "", IF(_xlpm.VAL=0, "", _xlpm.VAL)))</f>
        <v/>
      </c>
      <c r="F280" s="154" t="str" cm="1">
        <f t="array" aca="1" ref="F280" ca="1">_xlfn.LET(_xlpm.VAL, INDEX('Heat Sheet'!$A:$I, _xlfn.XMATCH(INDIRECT("A"&amp;ROW()),'Heat Sheet'!$A:$A), COLUMN()), IF(ISNA(_xlpm.VAL), "", IF(_xlpm.VAL=0, "", _xlpm.VAL)))</f>
        <v/>
      </c>
      <c r="G280" s="154" t="str" cm="1">
        <f t="array" aca="1" ref="G280" ca="1">_xlfn.LET(_xlpm.VAL, INDEX('Heat Sheet'!$A:$I, _xlfn.XMATCH(INDIRECT("A"&amp;ROW()),'Heat Sheet'!$A:$A), COLUMN()), IF(ISNA(_xlpm.VAL), "", IF(_xlpm.VAL=0, "", _xlpm.VAL)))</f>
        <v/>
      </c>
      <c r="H280" s="154" t="str" cm="1">
        <f t="array" aca="1" ref="H280" ca="1">_xlfn.LET(_xlpm.VAL, INDEX('Heat Sheet'!$A:$I, _xlfn.XMATCH(INDIRECT("A"&amp;ROW()),'Heat Sheet'!$A:$A), COLUMN()), IF(ISNA(_xlpm.VAL), "", IF(_xlpm.VAL=0, "", _xlpm.VAL)))</f>
        <v/>
      </c>
      <c r="I280" s="155" t="str" cm="1">
        <f t="array" aca="1" ref="I280" ca="1">_xlfn.LET(_xlpm.VAL, INDEX('Heat Sheet'!$A:$I, _xlfn.XMATCH(INDIRECT("A"&amp;ROW()),'Heat Sheet'!$A:$A), COLUMN()), IF(ISNA(_xlpm.VAL), "", IF(_xlpm.VAL=0, "", _xlpm.VAL)))</f>
        <v/>
      </c>
    </row>
    <row r="281" spans="1:9" ht="17" x14ac:dyDescent="0.2">
      <c r="A281" s="201"/>
      <c r="B281" s="202"/>
      <c r="C281" s="129" t="str" cm="1">
        <f t="array" aca="1" ref="C281" ca="1">_xlfn.LET(_xlpm.VAL, INDEX('Heat Sheet'!$A:$I, _xlfn.XMATCH(INDIRECT("A"&amp;ROW()-1),'Heat Sheet'!$A:$A)+1, COLUMN()), IF(ISNA(_xlpm.VAL), "", IF(_xlpm.VAL=0, "", _xlpm.VAL)))</f>
        <v/>
      </c>
      <c r="D281" s="154" t="str" cm="1">
        <f t="array" aca="1" ref="D281" ca="1">_xlfn.LET(_xlpm.VAL, INDEX('Heat Sheet'!$A:$I, _xlfn.XMATCH(INDIRECT("A"&amp;ROW()-1),'Heat Sheet'!$A:$A)+1, COLUMN()), IF(ISNA(_xlpm.VAL), "", IF(_xlpm.VAL=0, "", _xlpm.VAL)))</f>
        <v/>
      </c>
      <c r="E281" s="154" t="str" cm="1">
        <f t="array" aca="1" ref="E281" ca="1">_xlfn.LET(_xlpm.VAL, INDEX('Heat Sheet'!$A:$I, _xlfn.XMATCH(INDIRECT("A"&amp;ROW()-1),'Heat Sheet'!$A:$A)+1, COLUMN()), IF(ISNA(_xlpm.VAL), "", IF(_xlpm.VAL=0, "", _xlpm.VAL)))</f>
        <v/>
      </c>
      <c r="F281" s="154" t="str" cm="1">
        <f t="array" aca="1" ref="F281" ca="1">_xlfn.LET(_xlpm.VAL, INDEX('Heat Sheet'!$A:$I, _xlfn.XMATCH(INDIRECT("A"&amp;ROW()-1),'Heat Sheet'!$A:$A)+1, COLUMN()), IF(ISNA(_xlpm.VAL), "", IF(_xlpm.VAL=0, "", _xlpm.VAL)))</f>
        <v/>
      </c>
      <c r="G281" s="154" t="str" cm="1">
        <f t="array" aca="1" ref="G281" ca="1">_xlfn.LET(_xlpm.VAL, INDEX('Heat Sheet'!$A:$I, _xlfn.XMATCH(INDIRECT("A"&amp;ROW()-1),'Heat Sheet'!$A:$A)+1, COLUMN()), IF(ISNA(_xlpm.VAL), "", IF(_xlpm.VAL=0, "", _xlpm.VAL)))</f>
        <v/>
      </c>
      <c r="H281" s="154" t="str" cm="1">
        <f t="array" aca="1" ref="H281" ca="1">_xlfn.LET(_xlpm.VAL, INDEX('Heat Sheet'!$A:$I, _xlfn.XMATCH(INDIRECT("A"&amp;ROW()-1),'Heat Sheet'!$A:$A)+1, COLUMN()), IF(ISNA(_xlpm.VAL), "", IF(_xlpm.VAL=0, "", _xlpm.VAL)))</f>
        <v/>
      </c>
      <c r="I281" s="155" t="str" cm="1">
        <f t="array" aca="1" ref="I281" ca="1">_xlfn.LET(_xlpm.VAL, INDEX('Heat Sheet'!$A:$I, _xlfn.XMATCH(INDIRECT("A"&amp;ROW()-1),'Heat Sheet'!$A:$A)+1, COLUMN()), IF(ISNA(_xlpm.VAL), "", IF(_xlpm.VAL=0, "", _xlpm.VAL)))</f>
        <v/>
      </c>
    </row>
    <row r="282" spans="1:9" ht="16" x14ac:dyDescent="0.2">
      <c r="A282" s="201"/>
      <c r="B282" s="202"/>
      <c r="C282" s="122" t="s">
        <v>22</v>
      </c>
      <c r="D282" s="124"/>
      <c r="E282" s="124"/>
      <c r="F282" s="124"/>
      <c r="G282" s="124"/>
      <c r="H282" s="124"/>
      <c r="I282" s="126"/>
    </row>
    <row r="283" spans="1:9" ht="16" x14ac:dyDescent="0.2">
      <c r="A283" s="201"/>
      <c r="B283" s="202"/>
      <c r="C283" s="122" t="s">
        <v>23</v>
      </c>
      <c r="D283" s="158"/>
      <c r="E283" s="158"/>
      <c r="F283" s="158"/>
      <c r="G283" s="158"/>
      <c r="H283" s="158"/>
      <c r="I283" s="159"/>
    </row>
    <row r="284" spans="1:9" ht="18.5" customHeight="1" x14ac:dyDescent="0.2">
      <c r="A284" s="201"/>
      <c r="B284" s="202"/>
      <c r="C284" s="26" t="s">
        <v>14</v>
      </c>
      <c r="D284" s="160"/>
      <c r="E284" s="160"/>
      <c r="F284" s="160"/>
      <c r="G284" s="160"/>
      <c r="H284" s="160"/>
      <c r="I284" s="161"/>
    </row>
    <row r="285" spans="1:9" ht="16" customHeight="1" x14ac:dyDescent="0.2">
      <c r="A285" s="201">
        <v>57</v>
      </c>
      <c r="B285" s="202" t="str">
        <f>IFERROR(VLOOKUP(A285,'Heat Sheet'!$A:$I, 2, FALSE), "")</f>
        <v/>
      </c>
      <c r="C285" s="129" t="str" cm="1">
        <f t="array" aca="1" ref="C285" ca="1">_xlfn.LET(_xlpm.VAL, INDEX('Heat Sheet'!$A:$I, _xlfn.XMATCH(INDIRECT("A"&amp;ROW()),'Heat Sheet'!$A:$A), COLUMN()), IF(ISNA(_xlpm.VAL), "", IF(_xlpm.VAL=0, "", _xlpm.VAL)))</f>
        <v/>
      </c>
      <c r="D285" s="154" t="str" cm="1">
        <f t="array" aca="1" ref="D285" ca="1">_xlfn.LET(_xlpm.VAL, INDEX('Heat Sheet'!$A:$I, _xlfn.XMATCH(INDIRECT("A"&amp;ROW()),'Heat Sheet'!$A:$A), COLUMN()), IF(ISNA(_xlpm.VAL), "", IF(_xlpm.VAL=0, "", _xlpm.VAL)))</f>
        <v/>
      </c>
      <c r="E285" s="154" t="str" cm="1">
        <f t="array" aca="1" ref="E285" ca="1">_xlfn.LET(_xlpm.VAL, INDEX('Heat Sheet'!$A:$I, _xlfn.XMATCH(INDIRECT("A"&amp;ROW()),'Heat Sheet'!$A:$A), COLUMN()), IF(ISNA(_xlpm.VAL), "", IF(_xlpm.VAL=0, "", _xlpm.VAL)))</f>
        <v/>
      </c>
      <c r="F285" s="154" t="str" cm="1">
        <f t="array" aca="1" ref="F285" ca="1">_xlfn.LET(_xlpm.VAL, INDEX('Heat Sheet'!$A:$I, _xlfn.XMATCH(INDIRECT("A"&amp;ROW()),'Heat Sheet'!$A:$A), COLUMN()), IF(ISNA(_xlpm.VAL), "", IF(_xlpm.VAL=0, "", _xlpm.VAL)))</f>
        <v/>
      </c>
      <c r="G285" s="154" t="str" cm="1">
        <f t="array" aca="1" ref="G285" ca="1">_xlfn.LET(_xlpm.VAL, INDEX('Heat Sheet'!$A:$I, _xlfn.XMATCH(INDIRECT("A"&amp;ROW()),'Heat Sheet'!$A:$A), COLUMN()), IF(ISNA(_xlpm.VAL), "", IF(_xlpm.VAL=0, "", _xlpm.VAL)))</f>
        <v/>
      </c>
      <c r="H285" s="154" t="str" cm="1">
        <f t="array" aca="1" ref="H285" ca="1">_xlfn.LET(_xlpm.VAL, INDEX('Heat Sheet'!$A:$I, _xlfn.XMATCH(INDIRECT("A"&amp;ROW()),'Heat Sheet'!$A:$A), COLUMN()), IF(ISNA(_xlpm.VAL), "", IF(_xlpm.VAL=0, "", _xlpm.VAL)))</f>
        <v/>
      </c>
      <c r="I285" s="155" t="str" cm="1">
        <f t="array" aca="1" ref="I285" ca="1">_xlfn.LET(_xlpm.VAL, INDEX('Heat Sheet'!$A:$I, _xlfn.XMATCH(INDIRECT("A"&amp;ROW()),'Heat Sheet'!$A:$A), COLUMN()), IF(ISNA(_xlpm.VAL), "", IF(_xlpm.VAL=0, "", _xlpm.VAL)))</f>
        <v/>
      </c>
    </row>
    <row r="286" spans="1:9" ht="16" customHeight="1" x14ac:dyDescent="0.2">
      <c r="A286" s="201"/>
      <c r="B286" s="202"/>
      <c r="C286" s="129" t="str" cm="1">
        <f t="array" aca="1" ref="C286" ca="1">_xlfn.LET(_xlpm.VAL, INDEX('Heat Sheet'!$A:$I, _xlfn.XMATCH(INDIRECT("A"&amp;ROW()-1),'Heat Sheet'!$A:$A)+1, COLUMN()), IF(ISNA(_xlpm.VAL), "", IF(_xlpm.VAL=0, "", _xlpm.VAL)))</f>
        <v/>
      </c>
      <c r="D286" s="154" t="str" cm="1">
        <f t="array" aca="1" ref="D286" ca="1">_xlfn.LET(_xlpm.VAL, INDEX('Heat Sheet'!$A:$I, _xlfn.XMATCH(INDIRECT("A"&amp;ROW()-1),'Heat Sheet'!$A:$A)+1, COLUMN()), IF(ISNA(_xlpm.VAL), "", IF(_xlpm.VAL=0, "", _xlpm.VAL)))</f>
        <v/>
      </c>
      <c r="E286" s="154" t="str" cm="1">
        <f t="array" aca="1" ref="E286" ca="1">_xlfn.LET(_xlpm.VAL, INDEX('Heat Sheet'!$A:$I, _xlfn.XMATCH(INDIRECT("A"&amp;ROW()-1),'Heat Sheet'!$A:$A)+1, COLUMN()), IF(ISNA(_xlpm.VAL), "", IF(_xlpm.VAL=0, "", _xlpm.VAL)))</f>
        <v/>
      </c>
      <c r="F286" s="154" t="str" cm="1">
        <f t="array" aca="1" ref="F286" ca="1">_xlfn.LET(_xlpm.VAL, INDEX('Heat Sheet'!$A:$I, _xlfn.XMATCH(INDIRECT("A"&amp;ROW()-1),'Heat Sheet'!$A:$A)+1, COLUMN()), IF(ISNA(_xlpm.VAL), "", IF(_xlpm.VAL=0, "", _xlpm.VAL)))</f>
        <v/>
      </c>
      <c r="G286" s="154" t="str" cm="1">
        <f t="array" aca="1" ref="G286" ca="1">_xlfn.LET(_xlpm.VAL, INDEX('Heat Sheet'!$A:$I, _xlfn.XMATCH(INDIRECT("A"&amp;ROW()-1),'Heat Sheet'!$A:$A)+1, COLUMN()), IF(ISNA(_xlpm.VAL), "", IF(_xlpm.VAL=0, "", _xlpm.VAL)))</f>
        <v/>
      </c>
      <c r="H286" s="154" t="str" cm="1">
        <f t="array" aca="1" ref="H286" ca="1">_xlfn.LET(_xlpm.VAL, INDEX('Heat Sheet'!$A:$I, _xlfn.XMATCH(INDIRECT("A"&amp;ROW()-1),'Heat Sheet'!$A:$A)+1, COLUMN()), IF(ISNA(_xlpm.VAL), "", IF(_xlpm.VAL=0, "", _xlpm.VAL)))</f>
        <v/>
      </c>
      <c r="I286" s="155" t="str" cm="1">
        <f t="array" aca="1" ref="I286" ca="1">_xlfn.LET(_xlpm.VAL, INDEX('Heat Sheet'!$A:$I, _xlfn.XMATCH(INDIRECT("A"&amp;ROW()-1),'Heat Sheet'!$A:$A)+1, COLUMN()), IF(ISNA(_xlpm.VAL), "", IF(_xlpm.VAL=0, "", _xlpm.VAL)))</f>
        <v/>
      </c>
    </row>
    <row r="287" spans="1:9" ht="16" customHeight="1" x14ac:dyDescent="0.2">
      <c r="A287" s="201"/>
      <c r="B287" s="202"/>
      <c r="C287" s="122" t="s">
        <v>22</v>
      </c>
      <c r="D287" s="124"/>
      <c r="E287" s="124"/>
      <c r="F287" s="124"/>
      <c r="G287" s="124"/>
      <c r="H287" s="124"/>
      <c r="I287" s="126"/>
    </row>
    <row r="288" spans="1:9" ht="16" customHeight="1" x14ac:dyDescent="0.2">
      <c r="A288" s="201"/>
      <c r="B288" s="202"/>
      <c r="C288" s="122" t="s">
        <v>23</v>
      </c>
      <c r="D288" s="158"/>
      <c r="E288" s="158"/>
      <c r="F288" s="158"/>
      <c r="G288" s="158"/>
      <c r="H288" s="158"/>
      <c r="I288" s="159"/>
    </row>
    <row r="289" spans="1:9" ht="18.5" customHeight="1" x14ac:dyDescent="0.2">
      <c r="A289" s="201"/>
      <c r="B289" s="202"/>
      <c r="C289" s="26" t="s">
        <v>14</v>
      </c>
      <c r="D289" s="160"/>
      <c r="E289" s="160"/>
      <c r="F289" s="160"/>
      <c r="G289" s="160"/>
      <c r="H289" s="160"/>
      <c r="I289" s="161"/>
    </row>
    <row r="290" spans="1:9" ht="16" customHeight="1" x14ac:dyDescent="0.2">
      <c r="A290" s="201">
        <v>58</v>
      </c>
      <c r="B290" s="202" t="str">
        <f>IFERROR(VLOOKUP(A290,'Heat Sheet'!$A:$I, 2, FALSE), "")</f>
        <v/>
      </c>
      <c r="C290" s="129" t="str" cm="1">
        <f t="array" aca="1" ref="C290" ca="1">_xlfn.LET(_xlpm.VAL, INDEX('Heat Sheet'!$A:$I, _xlfn.XMATCH(INDIRECT("A"&amp;ROW()),'Heat Sheet'!$A:$A), COLUMN()), IF(ISNA(_xlpm.VAL), "", IF(_xlpm.VAL=0, "", _xlpm.VAL)))</f>
        <v/>
      </c>
      <c r="D290" s="154" t="str" cm="1">
        <f t="array" aca="1" ref="D290" ca="1">_xlfn.LET(_xlpm.VAL, INDEX('Heat Sheet'!$A:$I, _xlfn.XMATCH(INDIRECT("A"&amp;ROW()),'Heat Sheet'!$A:$A), COLUMN()), IF(ISNA(_xlpm.VAL), "", IF(_xlpm.VAL=0, "", _xlpm.VAL)))</f>
        <v/>
      </c>
      <c r="E290" s="154" t="str" cm="1">
        <f t="array" aca="1" ref="E290" ca="1">_xlfn.LET(_xlpm.VAL, INDEX('Heat Sheet'!$A:$I, _xlfn.XMATCH(INDIRECT("A"&amp;ROW()),'Heat Sheet'!$A:$A), COLUMN()), IF(ISNA(_xlpm.VAL), "", IF(_xlpm.VAL=0, "", _xlpm.VAL)))</f>
        <v/>
      </c>
      <c r="F290" s="154" t="str" cm="1">
        <f t="array" aca="1" ref="F290" ca="1">_xlfn.LET(_xlpm.VAL, INDEX('Heat Sheet'!$A:$I, _xlfn.XMATCH(INDIRECT("A"&amp;ROW()),'Heat Sheet'!$A:$A), COLUMN()), IF(ISNA(_xlpm.VAL), "", IF(_xlpm.VAL=0, "", _xlpm.VAL)))</f>
        <v/>
      </c>
      <c r="G290" s="154" t="str" cm="1">
        <f t="array" aca="1" ref="G290" ca="1">_xlfn.LET(_xlpm.VAL, INDEX('Heat Sheet'!$A:$I, _xlfn.XMATCH(INDIRECT("A"&amp;ROW()),'Heat Sheet'!$A:$A), COLUMN()), IF(ISNA(_xlpm.VAL), "", IF(_xlpm.VAL=0, "", _xlpm.VAL)))</f>
        <v/>
      </c>
      <c r="H290" s="154" t="str" cm="1">
        <f t="array" aca="1" ref="H290" ca="1">_xlfn.LET(_xlpm.VAL, INDEX('Heat Sheet'!$A:$I, _xlfn.XMATCH(INDIRECT("A"&amp;ROW()),'Heat Sheet'!$A:$A), COLUMN()), IF(ISNA(_xlpm.VAL), "", IF(_xlpm.VAL=0, "", _xlpm.VAL)))</f>
        <v/>
      </c>
      <c r="I290" s="155" t="str" cm="1">
        <f t="array" aca="1" ref="I290" ca="1">_xlfn.LET(_xlpm.VAL, INDEX('Heat Sheet'!$A:$I, _xlfn.XMATCH(INDIRECT("A"&amp;ROW()),'Heat Sheet'!$A:$A), COLUMN()), IF(ISNA(_xlpm.VAL), "", IF(_xlpm.VAL=0, "", _xlpm.VAL)))</f>
        <v/>
      </c>
    </row>
    <row r="291" spans="1:9" ht="16" customHeight="1" x14ac:dyDescent="0.2">
      <c r="A291" s="201"/>
      <c r="B291" s="202"/>
      <c r="C291" s="129" t="str" cm="1">
        <f t="array" aca="1" ref="C291" ca="1">_xlfn.LET(_xlpm.VAL, INDEX('Heat Sheet'!$A:$I, _xlfn.XMATCH(INDIRECT("A"&amp;ROW()-1),'Heat Sheet'!$A:$A)+1, COLUMN()), IF(ISNA(_xlpm.VAL), "", IF(_xlpm.VAL=0, "", _xlpm.VAL)))</f>
        <v/>
      </c>
      <c r="D291" s="154" t="str" cm="1">
        <f t="array" aca="1" ref="D291" ca="1">_xlfn.LET(_xlpm.VAL, INDEX('Heat Sheet'!$A:$I, _xlfn.XMATCH(INDIRECT("A"&amp;ROW()-1),'Heat Sheet'!$A:$A)+1, COLUMN()), IF(ISNA(_xlpm.VAL), "", IF(_xlpm.VAL=0, "", _xlpm.VAL)))</f>
        <v/>
      </c>
      <c r="E291" s="154" t="str" cm="1">
        <f t="array" aca="1" ref="E291" ca="1">_xlfn.LET(_xlpm.VAL, INDEX('Heat Sheet'!$A:$I, _xlfn.XMATCH(INDIRECT("A"&amp;ROW()-1),'Heat Sheet'!$A:$A)+1, COLUMN()), IF(ISNA(_xlpm.VAL), "", IF(_xlpm.VAL=0, "", _xlpm.VAL)))</f>
        <v/>
      </c>
      <c r="F291" s="154" t="str" cm="1">
        <f t="array" aca="1" ref="F291" ca="1">_xlfn.LET(_xlpm.VAL, INDEX('Heat Sheet'!$A:$I, _xlfn.XMATCH(INDIRECT("A"&amp;ROW()-1),'Heat Sheet'!$A:$A)+1, COLUMN()), IF(ISNA(_xlpm.VAL), "", IF(_xlpm.VAL=0, "", _xlpm.VAL)))</f>
        <v/>
      </c>
      <c r="G291" s="154" t="str" cm="1">
        <f t="array" aca="1" ref="G291" ca="1">_xlfn.LET(_xlpm.VAL, INDEX('Heat Sheet'!$A:$I, _xlfn.XMATCH(INDIRECT("A"&amp;ROW()-1),'Heat Sheet'!$A:$A)+1, COLUMN()), IF(ISNA(_xlpm.VAL), "", IF(_xlpm.VAL=0, "", _xlpm.VAL)))</f>
        <v/>
      </c>
      <c r="H291" s="154" t="str" cm="1">
        <f t="array" aca="1" ref="H291" ca="1">_xlfn.LET(_xlpm.VAL, INDEX('Heat Sheet'!$A:$I, _xlfn.XMATCH(INDIRECT("A"&amp;ROW()-1),'Heat Sheet'!$A:$A)+1, COLUMN()), IF(ISNA(_xlpm.VAL), "", IF(_xlpm.VAL=0, "", _xlpm.VAL)))</f>
        <v/>
      </c>
      <c r="I291" s="155" t="str" cm="1">
        <f t="array" aca="1" ref="I291" ca="1">_xlfn.LET(_xlpm.VAL, INDEX('Heat Sheet'!$A:$I, _xlfn.XMATCH(INDIRECT("A"&amp;ROW()-1),'Heat Sheet'!$A:$A)+1, COLUMN()), IF(ISNA(_xlpm.VAL), "", IF(_xlpm.VAL=0, "", _xlpm.VAL)))</f>
        <v/>
      </c>
    </row>
    <row r="292" spans="1:9" ht="16" customHeight="1" x14ac:dyDescent="0.2">
      <c r="A292" s="201"/>
      <c r="B292" s="202"/>
      <c r="C292" s="122" t="s">
        <v>22</v>
      </c>
      <c r="D292" s="124"/>
      <c r="E292" s="124"/>
      <c r="F292" s="124"/>
      <c r="G292" s="124"/>
      <c r="H292" s="124"/>
      <c r="I292" s="126"/>
    </row>
    <row r="293" spans="1:9" ht="16" customHeight="1" x14ac:dyDescent="0.2">
      <c r="A293" s="201"/>
      <c r="B293" s="202"/>
      <c r="C293" s="122" t="s">
        <v>23</v>
      </c>
      <c r="D293" s="158"/>
      <c r="E293" s="158"/>
      <c r="F293" s="158"/>
      <c r="G293" s="158"/>
      <c r="H293" s="158"/>
      <c r="I293" s="159"/>
    </row>
    <row r="294" spans="1:9" ht="18.5" customHeight="1" x14ac:dyDescent="0.2">
      <c r="A294" s="201"/>
      <c r="B294" s="202"/>
      <c r="C294" s="26" t="s">
        <v>14</v>
      </c>
      <c r="D294" s="160"/>
      <c r="E294" s="160"/>
      <c r="F294" s="160"/>
      <c r="G294" s="160"/>
      <c r="H294" s="160"/>
      <c r="I294" s="161"/>
    </row>
    <row r="295" spans="1:9" ht="17" x14ac:dyDescent="0.2">
      <c r="A295" s="201">
        <v>59</v>
      </c>
      <c r="B295" s="202" t="str">
        <f>IFERROR(VLOOKUP(A295,'Heat Sheet'!$A:$I, 2, FALSE), "")</f>
        <v/>
      </c>
      <c r="C295" s="129" t="str" cm="1">
        <f t="array" aca="1" ref="C295" ca="1">_xlfn.LET(_xlpm.VAL, INDEX('Heat Sheet'!$A:$I, _xlfn.XMATCH(INDIRECT("A"&amp;ROW()),'Heat Sheet'!$A:$A), COLUMN()), IF(ISNA(_xlpm.VAL), "", IF(_xlpm.VAL=0, "", _xlpm.VAL)))</f>
        <v/>
      </c>
      <c r="D295" s="154" t="str" cm="1">
        <f t="array" aca="1" ref="D295" ca="1">_xlfn.LET(_xlpm.VAL, INDEX('Heat Sheet'!$A:$I, _xlfn.XMATCH(INDIRECT("A"&amp;ROW()),'Heat Sheet'!$A:$A), COLUMN()), IF(ISNA(_xlpm.VAL), "", IF(_xlpm.VAL=0, "", _xlpm.VAL)))</f>
        <v/>
      </c>
      <c r="E295" s="154" t="str" cm="1">
        <f t="array" aca="1" ref="E295" ca="1">_xlfn.LET(_xlpm.VAL, INDEX('Heat Sheet'!$A:$I, _xlfn.XMATCH(INDIRECT("A"&amp;ROW()),'Heat Sheet'!$A:$A), COLUMN()), IF(ISNA(_xlpm.VAL), "", IF(_xlpm.VAL=0, "", _xlpm.VAL)))</f>
        <v/>
      </c>
      <c r="F295" s="154" t="str" cm="1">
        <f t="array" aca="1" ref="F295" ca="1">_xlfn.LET(_xlpm.VAL, INDEX('Heat Sheet'!$A:$I, _xlfn.XMATCH(INDIRECT("A"&amp;ROW()),'Heat Sheet'!$A:$A), COLUMN()), IF(ISNA(_xlpm.VAL), "", IF(_xlpm.VAL=0, "", _xlpm.VAL)))</f>
        <v/>
      </c>
      <c r="G295" s="154" t="str" cm="1">
        <f t="array" aca="1" ref="G295" ca="1">_xlfn.LET(_xlpm.VAL, INDEX('Heat Sheet'!$A:$I, _xlfn.XMATCH(INDIRECT("A"&amp;ROW()),'Heat Sheet'!$A:$A), COLUMN()), IF(ISNA(_xlpm.VAL), "", IF(_xlpm.VAL=0, "", _xlpm.VAL)))</f>
        <v/>
      </c>
      <c r="H295" s="154" t="str" cm="1">
        <f t="array" aca="1" ref="H295" ca="1">_xlfn.LET(_xlpm.VAL, INDEX('Heat Sheet'!$A:$I, _xlfn.XMATCH(INDIRECT("A"&amp;ROW()),'Heat Sheet'!$A:$A), COLUMN()), IF(ISNA(_xlpm.VAL), "", IF(_xlpm.VAL=0, "", _xlpm.VAL)))</f>
        <v/>
      </c>
      <c r="I295" s="155" t="str" cm="1">
        <f t="array" aca="1" ref="I295" ca="1">_xlfn.LET(_xlpm.VAL, INDEX('Heat Sheet'!$A:$I, _xlfn.XMATCH(INDIRECT("A"&amp;ROW()),'Heat Sheet'!$A:$A), COLUMN()), IF(ISNA(_xlpm.VAL), "", IF(_xlpm.VAL=0, "", _xlpm.VAL)))</f>
        <v/>
      </c>
    </row>
    <row r="296" spans="1:9" ht="17" x14ac:dyDescent="0.2">
      <c r="A296" s="201"/>
      <c r="B296" s="202"/>
      <c r="C296" s="129" t="str" cm="1">
        <f t="array" aca="1" ref="C296" ca="1">_xlfn.LET(_xlpm.VAL, INDEX('Heat Sheet'!$A:$I, _xlfn.XMATCH(INDIRECT("A"&amp;ROW()-1),'Heat Sheet'!$A:$A)+1, COLUMN()), IF(ISNA(_xlpm.VAL), "", IF(_xlpm.VAL=0, "", _xlpm.VAL)))</f>
        <v/>
      </c>
      <c r="D296" s="154" t="str" cm="1">
        <f t="array" aca="1" ref="D296" ca="1">_xlfn.LET(_xlpm.VAL, INDEX('Heat Sheet'!$A:$I, _xlfn.XMATCH(INDIRECT("A"&amp;ROW()-1),'Heat Sheet'!$A:$A)+1, COLUMN()), IF(ISNA(_xlpm.VAL), "", IF(_xlpm.VAL=0, "", _xlpm.VAL)))</f>
        <v/>
      </c>
      <c r="E296" s="154" t="str" cm="1">
        <f t="array" aca="1" ref="E296" ca="1">_xlfn.LET(_xlpm.VAL, INDEX('Heat Sheet'!$A:$I, _xlfn.XMATCH(INDIRECT("A"&amp;ROW()-1),'Heat Sheet'!$A:$A)+1, COLUMN()), IF(ISNA(_xlpm.VAL), "", IF(_xlpm.VAL=0, "", _xlpm.VAL)))</f>
        <v/>
      </c>
      <c r="F296" s="154" t="str" cm="1">
        <f t="array" aca="1" ref="F296" ca="1">_xlfn.LET(_xlpm.VAL, INDEX('Heat Sheet'!$A:$I, _xlfn.XMATCH(INDIRECT("A"&amp;ROW()-1),'Heat Sheet'!$A:$A)+1, COLUMN()), IF(ISNA(_xlpm.VAL), "", IF(_xlpm.VAL=0, "", _xlpm.VAL)))</f>
        <v/>
      </c>
      <c r="G296" s="154" t="str" cm="1">
        <f t="array" aca="1" ref="G296" ca="1">_xlfn.LET(_xlpm.VAL, INDEX('Heat Sheet'!$A:$I, _xlfn.XMATCH(INDIRECT("A"&amp;ROW()-1),'Heat Sheet'!$A:$A)+1, COLUMN()), IF(ISNA(_xlpm.VAL), "", IF(_xlpm.VAL=0, "", _xlpm.VAL)))</f>
        <v/>
      </c>
      <c r="H296" s="154" t="str" cm="1">
        <f t="array" aca="1" ref="H296" ca="1">_xlfn.LET(_xlpm.VAL, INDEX('Heat Sheet'!$A:$I, _xlfn.XMATCH(INDIRECT("A"&amp;ROW()-1),'Heat Sheet'!$A:$A)+1, COLUMN()), IF(ISNA(_xlpm.VAL), "", IF(_xlpm.VAL=0, "", _xlpm.VAL)))</f>
        <v/>
      </c>
      <c r="I296" s="155" t="str" cm="1">
        <f t="array" aca="1" ref="I296" ca="1">_xlfn.LET(_xlpm.VAL, INDEX('Heat Sheet'!$A:$I, _xlfn.XMATCH(INDIRECT("A"&amp;ROW()-1),'Heat Sheet'!$A:$A)+1, COLUMN()), IF(ISNA(_xlpm.VAL), "", IF(_xlpm.VAL=0, "", _xlpm.VAL)))</f>
        <v/>
      </c>
    </row>
    <row r="297" spans="1:9" ht="16" x14ac:dyDescent="0.2">
      <c r="A297" s="201"/>
      <c r="B297" s="202"/>
      <c r="C297" s="122" t="s">
        <v>22</v>
      </c>
      <c r="D297" s="124"/>
      <c r="E297" s="124"/>
      <c r="F297" s="124"/>
      <c r="G297" s="124"/>
      <c r="H297" s="124"/>
      <c r="I297" s="126"/>
    </row>
    <row r="298" spans="1:9" ht="16" x14ac:dyDescent="0.2">
      <c r="A298" s="201"/>
      <c r="B298" s="202"/>
      <c r="C298" s="122" t="s">
        <v>23</v>
      </c>
      <c r="D298" s="158"/>
      <c r="E298" s="158"/>
      <c r="F298" s="158"/>
      <c r="G298" s="158"/>
      <c r="H298" s="158"/>
      <c r="I298" s="159"/>
    </row>
    <row r="299" spans="1:9" ht="17" x14ac:dyDescent="0.2">
      <c r="A299" s="201"/>
      <c r="B299" s="202"/>
      <c r="C299" s="26" t="s">
        <v>14</v>
      </c>
      <c r="D299" s="160"/>
      <c r="E299" s="160"/>
      <c r="F299" s="160"/>
      <c r="G299" s="160"/>
      <c r="H299" s="160"/>
      <c r="I299" s="161"/>
    </row>
    <row r="300" spans="1:9" ht="17" x14ac:dyDescent="0.2">
      <c r="A300" s="201">
        <v>60</v>
      </c>
      <c r="B300" s="202" t="str">
        <f>IFERROR(VLOOKUP(A300,'Heat Sheet'!$A:$I, 2, FALSE), "")</f>
        <v/>
      </c>
      <c r="C300" s="129" t="str" cm="1">
        <f t="array" aca="1" ref="C300" ca="1">_xlfn.LET(_xlpm.VAL, INDEX('Heat Sheet'!$A:$I, _xlfn.XMATCH(INDIRECT("A"&amp;ROW()),'Heat Sheet'!$A:$A), COLUMN()), IF(ISNA(_xlpm.VAL), "", IF(_xlpm.VAL=0, "", _xlpm.VAL)))</f>
        <v/>
      </c>
      <c r="D300" s="154" t="str" cm="1">
        <f t="array" aca="1" ref="D300" ca="1">_xlfn.LET(_xlpm.VAL, INDEX('Heat Sheet'!$A:$I, _xlfn.XMATCH(INDIRECT("A"&amp;ROW()),'Heat Sheet'!$A:$A), COLUMN()), IF(ISNA(_xlpm.VAL), "", IF(_xlpm.VAL=0, "", _xlpm.VAL)))</f>
        <v/>
      </c>
      <c r="E300" s="154" t="str" cm="1">
        <f t="array" aca="1" ref="E300" ca="1">_xlfn.LET(_xlpm.VAL, INDEX('Heat Sheet'!$A:$I, _xlfn.XMATCH(INDIRECT("A"&amp;ROW()),'Heat Sheet'!$A:$A), COLUMN()), IF(ISNA(_xlpm.VAL), "", IF(_xlpm.VAL=0, "", _xlpm.VAL)))</f>
        <v/>
      </c>
      <c r="F300" s="154" t="str" cm="1">
        <f t="array" aca="1" ref="F300" ca="1">_xlfn.LET(_xlpm.VAL, INDEX('Heat Sheet'!$A:$I, _xlfn.XMATCH(INDIRECT("A"&amp;ROW()),'Heat Sheet'!$A:$A), COLUMN()), IF(ISNA(_xlpm.VAL), "", IF(_xlpm.VAL=0, "", _xlpm.VAL)))</f>
        <v/>
      </c>
      <c r="G300" s="154" t="str" cm="1">
        <f t="array" aca="1" ref="G300" ca="1">_xlfn.LET(_xlpm.VAL, INDEX('Heat Sheet'!$A:$I, _xlfn.XMATCH(INDIRECT("A"&amp;ROW()),'Heat Sheet'!$A:$A), COLUMN()), IF(ISNA(_xlpm.VAL), "", IF(_xlpm.VAL=0, "", _xlpm.VAL)))</f>
        <v/>
      </c>
      <c r="H300" s="154" t="str" cm="1">
        <f t="array" aca="1" ref="H300" ca="1">_xlfn.LET(_xlpm.VAL, INDEX('Heat Sheet'!$A:$I, _xlfn.XMATCH(INDIRECT("A"&amp;ROW()),'Heat Sheet'!$A:$A), COLUMN()), IF(ISNA(_xlpm.VAL), "", IF(_xlpm.VAL=0, "", _xlpm.VAL)))</f>
        <v/>
      </c>
      <c r="I300" s="155" t="str" cm="1">
        <f t="array" aca="1" ref="I300" ca="1">_xlfn.LET(_xlpm.VAL, INDEX('Heat Sheet'!$A:$I, _xlfn.XMATCH(INDIRECT("A"&amp;ROW()),'Heat Sheet'!$A:$A), COLUMN()), IF(ISNA(_xlpm.VAL), "", IF(_xlpm.VAL=0, "", _xlpm.VAL)))</f>
        <v/>
      </c>
    </row>
    <row r="301" spans="1:9" ht="17" x14ac:dyDescent="0.2">
      <c r="A301" s="201"/>
      <c r="B301" s="202"/>
      <c r="C301" s="129" t="str" cm="1">
        <f t="array" aca="1" ref="C301" ca="1">_xlfn.LET(_xlpm.VAL, INDEX('Heat Sheet'!$A:$I, _xlfn.XMATCH(INDIRECT("A"&amp;ROW()-1),'Heat Sheet'!$A:$A)+1, COLUMN()), IF(ISNA(_xlpm.VAL), "", IF(_xlpm.VAL=0, "", _xlpm.VAL)))</f>
        <v/>
      </c>
      <c r="D301" s="154" t="str" cm="1">
        <f t="array" aca="1" ref="D301" ca="1">_xlfn.LET(_xlpm.VAL, INDEX('Heat Sheet'!$A:$I, _xlfn.XMATCH(INDIRECT("A"&amp;ROW()-1),'Heat Sheet'!$A:$A)+1, COLUMN()), IF(ISNA(_xlpm.VAL), "", IF(_xlpm.VAL=0, "", _xlpm.VAL)))</f>
        <v/>
      </c>
      <c r="E301" s="154" t="str" cm="1">
        <f t="array" aca="1" ref="E301" ca="1">_xlfn.LET(_xlpm.VAL, INDEX('Heat Sheet'!$A:$I, _xlfn.XMATCH(INDIRECT("A"&amp;ROW()-1),'Heat Sheet'!$A:$A)+1, COLUMN()), IF(ISNA(_xlpm.VAL), "", IF(_xlpm.VAL=0, "", _xlpm.VAL)))</f>
        <v/>
      </c>
      <c r="F301" s="154" t="str" cm="1">
        <f t="array" aca="1" ref="F301" ca="1">_xlfn.LET(_xlpm.VAL, INDEX('Heat Sheet'!$A:$I, _xlfn.XMATCH(INDIRECT("A"&amp;ROW()-1),'Heat Sheet'!$A:$A)+1, COLUMN()), IF(ISNA(_xlpm.VAL), "", IF(_xlpm.VAL=0, "", _xlpm.VAL)))</f>
        <v/>
      </c>
      <c r="G301" s="154" t="str" cm="1">
        <f t="array" aca="1" ref="G301" ca="1">_xlfn.LET(_xlpm.VAL, INDEX('Heat Sheet'!$A:$I, _xlfn.XMATCH(INDIRECT("A"&amp;ROW()-1),'Heat Sheet'!$A:$A)+1, COLUMN()), IF(ISNA(_xlpm.VAL), "", IF(_xlpm.VAL=0, "", _xlpm.VAL)))</f>
        <v/>
      </c>
      <c r="H301" s="154" t="str" cm="1">
        <f t="array" aca="1" ref="H301" ca="1">_xlfn.LET(_xlpm.VAL, INDEX('Heat Sheet'!$A:$I, _xlfn.XMATCH(INDIRECT("A"&amp;ROW()-1),'Heat Sheet'!$A:$A)+1, COLUMN()), IF(ISNA(_xlpm.VAL), "", IF(_xlpm.VAL=0, "", _xlpm.VAL)))</f>
        <v/>
      </c>
      <c r="I301" s="155" t="str" cm="1">
        <f t="array" aca="1" ref="I301" ca="1">_xlfn.LET(_xlpm.VAL, INDEX('Heat Sheet'!$A:$I, _xlfn.XMATCH(INDIRECT("A"&amp;ROW()-1),'Heat Sheet'!$A:$A)+1, COLUMN()), IF(ISNA(_xlpm.VAL), "", IF(_xlpm.VAL=0, "", _xlpm.VAL)))</f>
        <v/>
      </c>
    </row>
    <row r="302" spans="1:9" ht="16" x14ac:dyDescent="0.2">
      <c r="A302" s="201"/>
      <c r="B302" s="202"/>
      <c r="C302" s="122" t="s">
        <v>22</v>
      </c>
      <c r="D302" s="124"/>
      <c r="E302" s="124"/>
      <c r="F302" s="124"/>
      <c r="G302" s="124"/>
      <c r="H302" s="124"/>
      <c r="I302" s="126"/>
    </row>
    <row r="303" spans="1:9" ht="16" x14ac:dyDescent="0.2">
      <c r="A303" s="201"/>
      <c r="B303" s="202"/>
      <c r="C303" s="122" t="s">
        <v>23</v>
      </c>
      <c r="D303" s="158"/>
      <c r="E303" s="158"/>
      <c r="F303" s="158"/>
      <c r="G303" s="158"/>
      <c r="H303" s="158"/>
      <c r="I303" s="159"/>
    </row>
    <row r="304" spans="1:9" ht="17" x14ac:dyDescent="0.2">
      <c r="A304" s="201"/>
      <c r="B304" s="202"/>
      <c r="C304" s="26" t="s">
        <v>14</v>
      </c>
      <c r="D304" s="160"/>
      <c r="E304" s="160"/>
      <c r="F304" s="160"/>
      <c r="G304" s="160"/>
      <c r="H304" s="160"/>
      <c r="I304" s="161"/>
    </row>
    <row r="305" spans="1:9" ht="17" x14ac:dyDescent="0.2">
      <c r="A305" s="201">
        <v>61</v>
      </c>
      <c r="B305" s="202" t="str">
        <f>IFERROR(VLOOKUP(A305,'Heat Sheet'!$A:$I, 2, FALSE), "")</f>
        <v/>
      </c>
      <c r="C305" s="129" t="str" cm="1">
        <f t="array" aca="1" ref="C305" ca="1">_xlfn.LET(_xlpm.VAL, INDEX('Heat Sheet'!$A:$I, _xlfn.XMATCH(INDIRECT("A"&amp;ROW()),'Heat Sheet'!$A:$A), COLUMN()), IF(ISNA(_xlpm.VAL), "", IF(_xlpm.VAL=0, "", _xlpm.VAL)))</f>
        <v/>
      </c>
      <c r="D305" s="154" t="str" cm="1">
        <f t="array" aca="1" ref="D305" ca="1">_xlfn.LET(_xlpm.VAL, INDEX('Heat Sheet'!$A:$I, _xlfn.XMATCH(INDIRECT("A"&amp;ROW()),'Heat Sheet'!$A:$A), COLUMN()), IF(ISNA(_xlpm.VAL), "", IF(_xlpm.VAL=0, "", _xlpm.VAL)))</f>
        <v/>
      </c>
      <c r="E305" s="154" t="str" cm="1">
        <f t="array" aca="1" ref="E305" ca="1">_xlfn.LET(_xlpm.VAL, INDEX('Heat Sheet'!$A:$I, _xlfn.XMATCH(INDIRECT("A"&amp;ROW()),'Heat Sheet'!$A:$A), COLUMN()), IF(ISNA(_xlpm.VAL), "", IF(_xlpm.VAL=0, "", _xlpm.VAL)))</f>
        <v/>
      </c>
      <c r="F305" s="154" t="str" cm="1">
        <f t="array" aca="1" ref="F305" ca="1">_xlfn.LET(_xlpm.VAL, INDEX('Heat Sheet'!$A:$I, _xlfn.XMATCH(INDIRECT("A"&amp;ROW()),'Heat Sheet'!$A:$A), COLUMN()), IF(ISNA(_xlpm.VAL), "", IF(_xlpm.VAL=0, "", _xlpm.VAL)))</f>
        <v/>
      </c>
      <c r="G305" s="154" t="str" cm="1">
        <f t="array" aca="1" ref="G305" ca="1">_xlfn.LET(_xlpm.VAL, INDEX('Heat Sheet'!$A:$I, _xlfn.XMATCH(INDIRECT("A"&amp;ROW()),'Heat Sheet'!$A:$A), COLUMN()), IF(ISNA(_xlpm.VAL), "", IF(_xlpm.VAL=0, "", _xlpm.VAL)))</f>
        <v/>
      </c>
      <c r="H305" s="154" t="str" cm="1">
        <f t="array" aca="1" ref="H305" ca="1">_xlfn.LET(_xlpm.VAL, INDEX('Heat Sheet'!$A:$I, _xlfn.XMATCH(INDIRECT("A"&amp;ROW()),'Heat Sheet'!$A:$A), COLUMN()), IF(ISNA(_xlpm.VAL), "", IF(_xlpm.VAL=0, "", _xlpm.VAL)))</f>
        <v/>
      </c>
      <c r="I305" s="155" t="str" cm="1">
        <f t="array" aca="1" ref="I305" ca="1">_xlfn.LET(_xlpm.VAL, INDEX('Heat Sheet'!$A:$I, _xlfn.XMATCH(INDIRECT("A"&amp;ROW()),'Heat Sheet'!$A:$A), COLUMN()), IF(ISNA(_xlpm.VAL), "", IF(_xlpm.VAL=0, "", _xlpm.VAL)))</f>
        <v/>
      </c>
    </row>
    <row r="306" spans="1:9" ht="17" x14ac:dyDescent="0.2">
      <c r="A306" s="201"/>
      <c r="B306" s="202"/>
      <c r="C306" s="129" t="str" cm="1">
        <f t="array" aca="1" ref="C306" ca="1">_xlfn.LET(_xlpm.VAL, INDEX('Heat Sheet'!$A:$I, _xlfn.XMATCH(INDIRECT("A"&amp;ROW()-1),'Heat Sheet'!$A:$A)+1, COLUMN()), IF(ISNA(_xlpm.VAL), "", IF(_xlpm.VAL=0, "", _xlpm.VAL)))</f>
        <v/>
      </c>
      <c r="D306" s="154" t="str" cm="1">
        <f t="array" aca="1" ref="D306" ca="1">_xlfn.LET(_xlpm.VAL, INDEX('Heat Sheet'!$A:$I, _xlfn.XMATCH(INDIRECT("A"&amp;ROW()-1),'Heat Sheet'!$A:$A)+1, COLUMN()), IF(ISNA(_xlpm.VAL), "", IF(_xlpm.VAL=0, "", _xlpm.VAL)))</f>
        <v/>
      </c>
      <c r="E306" s="154" t="str" cm="1">
        <f t="array" aca="1" ref="E306" ca="1">_xlfn.LET(_xlpm.VAL, INDEX('Heat Sheet'!$A:$I, _xlfn.XMATCH(INDIRECT("A"&amp;ROW()-1),'Heat Sheet'!$A:$A)+1, COLUMN()), IF(ISNA(_xlpm.VAL), "", IF(_xlpm.VAL=0, "", _xlpm.VAL)))</f>
        <v/>
      </c>
      <c r="F306" s="154" t="str" cm="1">
        <f t="array" aca="1" ref="F306" ca="1">_xlfn.LET(_xlpm.VAL, INDEX('Heat Sheet'!$A:$I, _xlfn.XMATCH(INDIRECT("A"&amp;ROW()-1),'Heat Sheet'!$A:$A)+1, COLUMN()), IF(ISNA(_xlpm.VAL), "", IF(_xlpm.VAL=0, "", _xlpm.VAL)))</f>
        <v/>
      </c>
      <c r="G306" s="154" t="str" cm="1">
        <f t="array" aca="1" ref="G306" ca="1">_xlfn.LET(_xlpm.VAL, INDEX('Heat Sheet'!$A:$I, _xlfn.XMATCH(INDIRECT("A"&amp;ROW()-1),'Heat Sheet'!$A:$A)+1, COLUMN()), IF(ISNA(_xlpm.VAL), "", IF(_xlpm.VAL=0, "", _xlpm.VAL)))</f>
        <v/>
      </c>
      <c r="H306" s="154" t="str" cm="1">
        <f t="array" aca="1" ref="H306" ca="1">_xlfn.LET(_xlpm.VAL, INDEX('Heat Sheet'!$A:$I, _xlfn.XMATCH(INDIRECT("A"&amp;ROW()-1),'Heat Sheet'!$A:$A)+1, COLUMN()), IF(ISNA(_xlpm.VAL), "", IF(_xlpm.VAL=0, "", _xlpm.VAL)))</f>
        <v/>
      </c>
      <c r="I306" s="155" t="str" cm="1">
        <f t="array" aca="1" ref="I306" ca="1">_xlfn.LET(_xlpm.VAL, INDEX('Heat Sheet'!$A:$I, _xlfn.XMATCH(INDIRECT("A"&amp;ROW()-1),'Heat Sheet'!$A:$A)+1, COLUMN()), IF(ISNA(_xlpm.VAL), "", IF(_xlpm.VAL=0, "", _xlpm.VAL)))</f>
        <v/>
      </c>
    </row>
    <row r="307" spans="1:9" ht="16" x14ac:dyDescent="0.2">
      <c r="A307" s="201"/>
      <c r="B307" s="202"/>
      <c r="C307" s="122" t="s">
        <v>22</v>
      </c>
      <c r="D307" s="124"/>
      <c r="E307" s="124"/>
      <c r="F307" s="124"/>
      <c r="G307" s="124"/>
      <c r="H307" s="124"/>
      <c r="I307" s="126"/>
    </row>
    <row r="308" spans="1:9" ht="16" x14ac:dyDescent="0.2">
      <c r="A308" s="201"/>
      <c r="B308" s="202"/>
      <c r="C308" s="122" t="s">
        <v>23</v>
      </c>
      <c r="D308" s="158"/>
      <c r="E308" s="158"/>
      <c r="F308" s="158"/>
      <c r="G308" s="158"/>
      <c r="H308" s="158"/>
      <c r="I308" s="159"/>
    </row>
    <row r="309" spans="1:9" ht="17" x14ac:dyDescent="0.2">
      <c r="A309" s="201"/>
      <c r="B309" s="202"/>
      <c r="C309" s="26" t="s">
        <v>14</v>
      </c>
      <c r="D309" s="160"/>
      <c r="E309" s="160"/>
      <c r="F309" s="160"/>
      <c r="G309" s="160"/>
      <c r="H309" s="160"/>
      <c r="I309" s="161"/>
    </row>
    <row r="310" spans="1:9" ht="17" x14ac:dyDescent="0.2">
      <c r="A310" s="201">
        <v>62</v>
      </c>
      <c r="B310" s="202" t="str">
        <f>IFERROR(VLOOKUP(A310,'Heat Sheet'!$A:$I, 2, FALSE), "")</f>
        <v/>
      </c>
      <c r="C310" s="129" t="str" cm="1">
        <f t="array" aca="1" ref="C310" ca="1">_xlfn.LET(_xlpm.VAL, INDEX('Heat Sheet'!$A:$I, _xlfn.XMATCH(INDIRECT("A"&amp;ROW()),'Heat Sheet'!$A:$A), COLUMN()), IF(ISNA(_xlpm.VAL), "", IF(_xlpm.VAL=0, "", _xlpm.VAL)))</f>
        <v/>
      </c>
      <c r="D310" s="154" t="str" cm="1">
        <f t="array" aca="1" ref="D310" ca="1">_xlfn.LET(_xlpm.VAL, INDEX('Heat Sheet'!$A:$I, _xlfn.XMATCH(INDIRECT("A"&amp;ROW()),'Heat Sheet'!$A:$A), COLUMN()), IF(ISNA(_xlpm.VAL), "", IF(_xlpm.VAL=0, "", _xlpm.VAL)))</f>
        <v/>
      </c>
      <c r="E310" s="154" t="str" cm="1">
        <f t="array" aca="1" ref="E310" ca="1">_xlfn.LET(_xlpm.VAL, INDEX('Heat Sheet'!$A:$I, _xlfn.XMATCH(INDIRECT("A"&amp;ROW()),'Heat Sheet'!$A:$A), COLUMN()), IF(ISNA(_xlpm.VAL), "", IF(_xlpm.VAL=0, "", _xlpm.VAL)))</f>
        <v/>
      </c>
      <c r="F310" s="154" t="str" cm="1">
        <f t="array" aca="1" ref="F310" ca="1">_xlfn.LET(_xlpm.VAL, INDEX('Heat Sheet'!$A:$I, _xlfn.XMATCH(INDIRECT("A"&amp;ROW()),'Heat Sheet'!$A:$A), COLUMN()), IF(ISNA(_xlpm.VAL), "", IF(_xlpm.VAL=0, "", _xlpm.VAL)))</f>
        <v/>
      </c>
      <c r="G310" s="154" t="str" cm="1">
        <f t="array" aca="1" ref="G310" ca="1">_xlfn.LET(_xlpm.VAL, INDEX('Heat Sheet'!$A:$I, _xlfn.XMATCH(INDIRECT("A"&amp;ROW()),'Heat Sheet'!$A:$A), COLUMN()), IF(ISNA(_xlpm.VAL), "", IF(_xlpm.VAL=0, "", _xlpm.VAL)))</f>
        <v/>
      </c>
      <c r="H310" s="154" t="str" cm="1">
        <f t="array" aca="1" ref="H310" ca="1">_xlfn.LET(_xlpm.VAL, INDEX('Heat Sheet'!$A:$I, _xlfn.XMATCH(INDIRECT("A"&amp;ROW()),'Heat Sheet'!$A:$A), COLUMN()), IF(ISNA(_xlpm.VAL), "", IF(_xlpm.VAL=0, "", _xlpm.VAL)))</f>
        <v/>
      </c>
      <c r="I310" s="155" t="str" cm="1">
        <f t="array" aca="1" ref="I310" ca="1">_xlfn.LET(_xlpm.VAL, INDEX('Heat Sheet'!$A:$I, _xlfn.XMATCH(INDIRECT("A"&amp;ROW()),'Heat Sheet'!$A:$A), COLUMN()), IF(ISNA(_xlpm.VAL), "", IF(_xlpm.VAL=0, "", _xlpm.VAL)))</f>
        <v/>
      </c>
    </row>
    <row r="311" spans="1:9" ht="17" x14ac:dyDescent="0.2">
      <c r="A311" s="201"/>
      <c r="B311" s="202"/>
      <c r="C311" s="129" t="str" cm="1">
        <f t="array" aca="1" ref="C311" ca="1">_xlfn.LET(_xlpm.VAL, INDEX('Heat Sheet'!$A:$I, _xlfn.XMATCH(INDIRECT("A"&amp;ROW()-1),'Heat Sheet'!$A:$A)+1, COLUMN()), IF(ISNA(_xlpm.VAL), "", IF(_xlpm.VAL=0, "", _xlpm.VAL)))</f>
        <v/>
      </c>
      <c r="D311" s="154" t="str" cm="1">
        <f t="array" aca="1" ref="D311" ca="1">_xlfn.LET(_xlpm.VAL, INDEX('Heat Sheet'!$A:$I, _xlfn.XMATCH(INDIRECT("A"&amp;ROW()-1),'Heat Sheet'!$A:$A)+1, COLUMN()), IF(ISNA(_xlpm.VAL), "", IF(_xlpm.VAL=0, "", _xlpm.VAL)))</f>
        <v/>
      </c>
      <c r="E311" s="154" t="str" cm="1">
        <f t="array" aca="1" ref="E311" ca="1">_xlfn.LET(_xlpm.VAL, INDEX('Heat Sheet'!$A:$I, _xlfn.XMATCH(INDIRECT("A"&amp;ROW()-1),'Heat Sheet'!$A:$A)+1, COLUMN()), IF(ISNA(_xlpm.VAL), "", IF(_xlpm.VAL=0, "", _xlpm.VAL)))</f>
        <v/>
      </c>
      <c r="F311" s="154" t="str" cm="1">
        <f t="array" aca="1" ref="F311" ca="1">_xlfn.LET(_xlpm.VAL, INDEX('Heat Sheet'!$A:$I, _xlfn.XMATCH(INDIRECT("A"&amp;ROW()-1),'Heat Sheet'!$A:$A)+1, COLUMN()), IF(ISNA(_xlpm.VAL), "", IF(_xlpm.VAL=0, "", _xlpm.VAL)))</f>
        <v/>
      </c>
      <c r="G311" s="154" t="str" cm="1">
        <f t="array" aca="1" ref="G311" ca="1">_xlfn.LET(_xlpm.VAL, INDEX('Heat Sheet'!$A:$I, _xlfn.XMATCH(INDIRECT("A"&amp;ROW()-1),'Heat Sheet'!$A:$A)+1, COLUMN()), IF(ISNA(_xlpm.VAL), "", IF(_xlpm.VAL=0, "", _xlpm.VAL)))</f>
        <v/>
      </c>
      <c r="H311" s="154" t="str" cm="1">
        <f t="array" aca="1" ref="H311" ca="1">_xlfn.LET(_xlpm.VAL, INDEX('Heat Sheet'!$A:$I, _xlfn.XMATCH(INDIRECT("A"&amp;ROW()-1),'Heat Sheet'!$A:$A)+1, COLUMN()), IF(ISNA(_xlpm.VAL), "", IF(_xlpm.VAL=0, "", _xlpm.VAL)))</f>
        <v/>
      </c>
      <c r="I311" s="155" t="str" cm="1">
        <f t="array" aca="1" ref="I311" ca="1">_xlfn.LET(_xlpm.VAL, INDEX('Heat Sheet'!$A:$I, _xlfn.XMATCH(INDIRECT("A"&amp;ROW()-1),'Heat Sheet'!$A:$A)+1, COLUMN()), IF(ISNA(_xlpm.VAL), "", IF(_xlpm.VAL=0, "", _xlpm.VAL)))</f>
        <v/>
      </c>
    </row>
    <row r="312" spans="1:9" ht="16" x14ac:dyDescent="0.2">
      <c r="A312" s="201"/>
      <c r="B312" s="202"/>
      <c r="C312" s="122" t="s">
        <v>22</v>
      </c>
      <c r="D312" s="124"/>
      <c r="E312" s="124"/>
      <c r="F312" s="124"/>
      <c r="G312" s="124"/>
      <c r="H312" s="124"/>
      <c r="I312" s="126"/>
    </row>
    <row r="313" spans="1:9" ht="16" x14ac:dyDescent="0.2">
      <c r="A313" s="201"/>
      <c r="B313" s="202"/>
      <c r="C313" s="122" t="s">
        <v>23</v>
      </c>
      <c r="D313" s="158"/>
      <c r="E313" s="158"/>
      <c r="F313" s="158"/>
      <c r="G313" s="158"/>
      <c r="H313" s="158"/>
      <c r="I313" s="159"/>
    </row>
    <row r="314" spans="1:9" ht="17" x14ac:dyDescent="0.2">
      <c r="A314" s="201"/>
      <c r="B314" s="202"/>
      <c r="C314" s="26" t="s">
        <v>14</v>
      </c>
      <c r="D314" s="160"/>
      <c r="E314" s="160"/>
      <c r="F314" s="160"/>
      <c r="G314" s="160"/>
      <c r="H314" s="160"/>
      <c r="I314" s="161"/>
    </row>
    <row r="315" spans="1:9" ht="17" x14ac:dyDescent="0.2">
      <c r="A315" s="201">
        <v>63</v>
      </c>
      <c r="B315" s="202" t="str">
        <f>IFERROR(VLOOKUP(A315,'Heat Sheet'!$A:$I, 2, FALSE), "")</f>
        <v/>
      </c>
      <c r="C315" s="129" t="str" cm="1">
        <f t="array" aca="1" ref="C315" ca="1">_xlfn.LET(_xlpm.VAL, INDEX('Heat Sheet'!$A:$I, _xlfn.XMATCH(INDIRECT("A"&amp;ROW()),'Heat Sheet'!$A:$A), COLUMN()), IF(ISNA(_xlpm.VAL), "", IF(_xlpm.VAL=0, "", _xlpm.VAL)))</f>
        <v/>
      </c>
      <c r="D315" s="154" t="str" cm="1">
        <f t="array" aca="1" ref="D315" ca="1">_xlfn.LET(_xlpm.VAL, INDEX('Heat Sheet'!$A:$I, _xlfn.XMATCH(INDIRECT("A"&amp;ROW()),'Heat Sheet'!$A:$A), COLUMN()), IF(ISNA(_xlpm.VAL), "", IF(_xlpm.VAL=0, "", _xlpm.VAL)))</f>
        <v/>
      </c>
      <c r="E315" s="154" t="str" cm="1">
        <f t="array" aca="1" ref="E315" ca="1">_xlfn.LET(_xlpm.VAL, INDEX('Heat Sheet'!$A:$I, _xlfn.XMATCH(INDIRECT("A"&amp;ROW()),'Heat Sheet'!$A:$A), COLUMN()), IF(ISNA(_xlpm.VAL), "", IF(_xlpm.VAL=0, "", _xlpm.VAL)))</f>
        <v/>
      </c>
      <c r="F315" s="154" t="str" cm="1">
        <f t="array" aca="1" ref="F315" ca="1">_xlfn.LET(_xlpm.VAL, INDEX('Heat Sheet'!$A:$I, _xlfn.XMATCH(INDIRECT("A"&amp;ROW()),'Heat Sheet'!$A:$A), COLUMN()), IF(ISNA(_xlpm.VAL), "", IF(_xlpm.VAL=0, "", _xlpm.VAL)))</f>
        <v/>
      </c>
      <c r="G315" s="154" t="str" cm="1">
        <f t="array" aca="1" ref="G315" ca="1">_xlfn.LET(_xlpm.VAL, INDEX('Heat Sheet'!$A:$I, _xlfn.XMATCH(INDIRECT("A"&amp;ROW()),'Heat Sheet'!$A:$A), COLUMN()), IF(ISNA(_xlpm.VAL), "", IF(_xlpm.VAL=0, "", _xlpm.VAL)))</f>
        <v/>
      </c>
      <c r="H315" s="154" t="str" cm="1">
        <f t="array" aca="1" ref="H315" ca="1">_xlfn.LET(_xlpm.VAL, INDEX('Heat Sheet'!$A:$I, _xlfn.XMATCH(INDIRECT("A"&amp;ROW()),'Heat Sheet'!$A:$A), COLUMN()), IF(ISNA(_xlpm.VAL), "", IF(_xlpm.VAL=0, "", _xlpm.VAL)))</f>
        <v/>
      </c>
      <c r="I315" s="155" t="str" cm="1">
        <f t="array" aca="1" ref="I315" ca="1">_xlfn.LET(_xlpm.VAL, INDEX('Heat Sheet'!$A:$I, _xlfn.XMATCH(INDIRECT("A"&amp;ROW()),'Heat Sheet'!$A:$A), COLUMN()), IF(ISNA(_xlpm.VAL), "", IF(_xlpm.VAL=0, "", _xlpm.VAL)))</f>
        <v/>
      </c>
    </row>
    <row r="316" spans="1:9" ht="17" x14ac:dyDescent="0.2">
      <c r="A316" s="201"/>
      <c r="B316" s="202"/>
      <c r="C316" s="129" t="str" cm="1">
        <f t="array" aca="1" ref="C316" ca="1">_xlfn.LET(_xlpm.VAL, INDEX('Heat Sheet'!$A:$I, _xlfn.XMATCH(INDIRECT("A"&amp;ROW()-1),'Heat Sheet'!$A:$A)+1, COLUMN()), IF(ISNA(_xlpm.VAL), "", IF(_xlpm.VAL=0, "", _xlpm.VAL)))</f>
        <v/>
      </c>
      <c r="D316" s="154" t="str" cm="1">
        <f t="array" aca="1" ref="D316" ca="1">_xlfn.LET(_xlpm.VAL, INDEX('Heat Sheet'!$A:$I, _xlfn.XMATCH(INDIRECT("A"&amp;ROW()-1),'Heat Sheet'!$A:$A)+1, COLUMN()), IF(ISNA(_xlpm.VAL), "", IF(_xlpm.VAL=0, "", _xlpm.VAL)))</f>
        <v/>
      </c>
      <c r="E316" s="154" t="str" cm="1">
        <f t="array" aca="1" ref="E316" ca="1">_xlfn.LET(_xlpm.VAL, INDEX('Heat Sheet'!$A:$I, _xlfn.XMATCH(INDIRECT("A"&amp;ROW()-1),'Heat Sheet'!$A:$A)+1, COLUMN()), IF(ISNA(_xlpm.VAL), "", IF(_xlpm.VAL=0, "", _xlpm.VAL)))</f>
        <v/>
      </c>
      <c r="F316" s="154" t="str" cm="1">
        <f t="array" aca="1" ref="F316" ca="1">_xlfn.LET(_xlpm.VAL, INDEX('Heat Sheet'!$A:$I, _xlfn.XMATCH(INDIRECT("A"&amp;ROW()-1),'Heat Sheet'!$A:$A)+1, COLUMN()), IF(ISNA(_xlpm.VAL), "", IF(_xlpm.VAL=0, "", _xlpm.VAL)))</f>
        <v/>
      </c>
      <c r="G316" s="154" t="str" cm="1">
        <f t="array" aca="1" ref="G316" ca="1">_xlfn.LET(_xlpm.VAL, INDEX('Heat Sheet'!$A:$I, _xlfn.XMATCH(INDIRECT("A"&amp;ROW()-1),'Heat Sheet'!$A:$A)+1, COLUMN()), IF(ISNA(_xlpm.VAL), "", IF(_xlpm.VAL=0, "", _xlpm.VAL)))</f>
        <v/>
      </c>
      <c r="H316" s="154" t="str" cm="1">
        <f t="array" aca="1" ref="H316" ca="1">_xlfn.LET(_xlpm.VAL, INDEX('Heat Sheet'!$A:$I, _xlfn.XMATCH(INDIRECT("A"&amp;ROW()-1),'Heat Sheet'!$A:$A)+1, COLUMN()), IF(ISNA(_xlpm.VAL), "", IF(_xlpm.VAL=0, "", _xlpm.VAL)))</f>
        <v/>
      </c>
      <c r="I316" s="155" t="str" cm="1">
        <f t="array" aca="1" ref="I316" ca="1">_xlfn.LET(_xlpm.VAL, INDEX('Heat Sheet'!$A:$I, _xlfn.XMATCH(INDIRECT("A"&amp;ROW()-1),'Heat Sheet'!$A:$A)+1, COLUMN()), IF(ISNA(_xlpm.VAL), "", IF(_xlpm.VAL=0, "", _xlpm.VAL)))</f>
        <v/>
      </c>
    </row>
    <row r="317" spans="1:9" ht="16" x14ac:dyDescent="0.2">
      <c r="A317" s="201"/>
      <c r="B317" s="202"/>
      <c r="C317" s="122" t="s">
        <v>22</v>
      </c>
      <c r="D317" s="124"/>
      <c r="E317" s="124"/>
      <c r="F317" s="124"/>
      <c r="G317" s="124"/>
      <c r="H317" s="124"/>
      <c r="I317" s="126"/>
    </row>
    <row r="318" spans="1:9" ht="16" x14ac:dyDescent="0.2">
      <c r="A318" s="201"/>
      <c r="B318" s="202"/>
      <c r="C318" s="122" t="s">
        <v>23</v>
      </c>
      <c r="D318" s="158"/>
      <c r="E318" s="158"/>
      <c r="F318" s="158"/>
      <c r="G318" s="158"/>
      <c r="H318" s="158"/>
      <c r="I318" s="159"/>
    </row>
    <row r="319" spans="1:9" ht="17" x14ac:dyDescent="0.2">
      <c r="A319" s="201"/>
      <c r="B319" s="202"/>
      <c r="C319" s="26" t="s">
        <v>14</v>
      </c>
      <c r="D319" s="160"/>
      <c r="E319" s="160"/>
      <c r="F319" s="160"/>
      <c r="G319" s="160"/>
      <c r="H319" s="160"/>
      <c r="I319" s="161"/>
    </row>
    <row r="320" spans="1:9" ht="17" x14ac:dyDescent="0.2">
      <c r="A320" s="201">
        <v>64</v>
      </c>
      <c r="B320" s="202" t="str">
        <f>IFERROR(VLOOKUP(A320,'Heat Sheet'!$A:$I, 2, FALSE), "")</f>
        <v/>
      </c>
      <c r="C320" s="129" t="str" cm="1">
        <f t="array" aca="1" ref="C320" ca="1">_xlfn.LET(_xlpm.VAL, INDEX('Heat Sheet'!$A:$I, _xlfn.XMATCH(INDIRECT("A"&amp;ROW()),'Heat Sheet'!$A:$A), COLUMN()), IF(ISNA(_xlpm.VAL), "", IF(_xlpm.VAL=0, "", _xlpm.VAL)))</f>
        <v/>
      </c>
      <c r="D320" s="154" t="str" cm="1">
        <f t="array" aca="1" ref="D320" ca="1">_xlfn.LET(_xlpm.VAL, INDEX('Heat Sheet'!$A:$I, _xlfn.XMATCH(INDIRECT("A"&amp;ROW()),'Heat Sheet'!$A:$A), COLUMN()), IF(ISNA(_xlpm.VAL), "", IF(_xlpm.VAL=0, "", _xlpm.VAL)))</f>
        <v/>
      </c>
      <c r="E320" s="154" t="str" cm="1">
        <f t="array" aca="1" ref="E320" ca="1">_xlfn.LET(_xlpm.VAL, INDEX('Heat Sheet'!$A:$I, _xlfn.XMATCH(INDIRECT("A"&amp;ROW()),'Heat Sheet'!$A:$A), COLUMN()), IF(ISNA(_xlpm.VAL), "", IF(_xlpm.VAL=0, "", _xlpm.VAL)))</f>
        <v/>
      </c>
      <c r="F320" s="154" t="str" cm="1">
        <f t="array" aca="1" ref="F320" ca="1">_xlfn.LET(_xlpm.VAL, INDEX('Heat Sheet'!$A:$I, _xlfn.XMATCH(INDIRECT("A"&amp;ROW()),'Heat Sheet'!$A:$A), COLUMN()), IF(ISNA(_xlpm.VAL), "", IF(_xlpm.VAL=0, "", _xlpm.VAL)))</f>
        <v/>
      </c>
      <c r="G320" s="154" t="str" cm="1">
        <f t="array" aca="1" ref="G320" ca="1">_xlfn.LET(_xlpm.VAL, INDEX('Heat Sheet'!$A:$I, _xlfn.XMATCH(INDIRECT("A"&amp;ROW()),'Heat Sheet'!$A:$A), COLUMN()), IF(ISNA(_xlpm.VAL), "", IF(_xlpm.VAL=0, "", _xlpm.VAL)))</f>
        <v/>
      </c>
      <c r="H320" s="154" t="str" cm="1">
        <f t="array" aca="1" ref="H320" ca="1">_xlfn.LET(_xlpm.VAL, INDEX('Heat Sheet'!$A:$I, _xlfn.XMATCH(INDIRECT("A"&amp;ROW()),'Heat Sheet'!$A:$A), COLUMN()), IF(ISNA(_xlpm.VAL), "", IF(_xlpm.VAL=0, "", _xlpm.VAL)))</f>
        <v/>
      </c>
      <c r="I320" s="155" t="str" cm="1">
        <f t="array" aca="1" ref="I320" ca="1">_xlfn.LET(_xlpm.VAL, INDEX('Heat Sheet'!$A:$I, _xlfn.XMATCH(INDIRECT("A"&amp;ROW()),'Heat Sheet'!$A:$A), COLUMN()), IF(ISNA(_xlpm.VAL), "", IF(_xlpm.VAL=0, "", _xlpm.VAL)))</f>
        <v/>
      </c>
    </row>
    <row r="321" spans="1:9" ht="17" x14ac:dyDescent="0.2">
      <c r="A321" s="201"/>
      <c r="B321" s="202"/>
      <c r="C321" s="129" t="str" cm="1">
        <f t="array" aca="1" ref="C321" ca="1">_xlfn.LET(_xlpm.VAL, INDEX('Heat Sheet'!$A:$I, _xlfn.XMATCH(INDIRECT("A"&amp;ROW()-1),'Heat Sheet'!$A:$A)+1, COLUMN()), IF(ISNA(_xlpm.VAL), "", IF(_xlpm.VAL=0, "", _xlpm.VAL)))</f>
        <v/>
      </c>
      <c r="D321" s="154" t="str" cm="1">
        <f t="array" aca="1" ref="D321" ca="1">_xlfn.LET(_xlpm.VAL, INDEX('Heat Sheet'!$A:$I, _xlfn.XMATCH(INDIRECT("A"&amp;ROW()-1),'Heat Sheet'!$A:$A)+1, COLUMN()), IF(ISNA(_xlpm.VAL), "", IF(_xlpm.VAL=0, "", _xlpm.VAL)))</f>
        <v/>
      </c>
      <c r="E321" s="154" t="str" cm="1">
        <f t="array" aca="1" ref="E321" ca="1">_xlfn.LET(_xlpm.VAL, INDEX('Heat Sheet'!$A:$I, _xlfn.XMATCH(INDIRECT("A"&amp;ROW()-1),'Heat Sheet'!$A:$A)+1, COLUMN()), IF(ISNA(_xlpm.VAL), "", IF(_xlpm.VAL=0, "", _xlpm.VAL)))</f>
        <v/>
      </c>
      <c r="F321" s="154" t="str" cm="1">
        <f t="array" aca="1" ref="F321" ca="1">_xlfn.LET(_xlpm.VAL, INDEX('Heat Sheet'!$A:$I, _xlfn.XMATCH(INDIRECT("A"&amp;ROW()-1),'Heat Sheet'!$A:$A)+1, COLUMN()), IF(ISNA(_xlpm.VAL), "", IF(_xlpm.VAL=0, "", _xlpm.VAL)))</f>
        <v/>
      </c>
      <c r="G321" s="154" t="str" cm="1">
        <f t="array" aca="1" ref="G321" ca="1">_xlfn.LET(_xlpm.VAL, INDEX('Heat Sheet'!$A:$I, _xlfn.XMATCH(INDIRECT("A"&amp;ROW()-1),'Heat Sheet'!$A:$A)+1, COLUMN()), IF(ISNA(_xlpm.VAL), "", IF(_xlpm.VAL=0, "", _xlpm.VAL)))</f>
        <v/>
      </c>
      <c r="H321" s="154" t="str" cm="1">
        <f t="array" aca="1" ref="H321" ca="1">_xlfn.LET(_xlpm.VAL, INDEX('Heat Sheet'!$A:$I, _xlfn.XMATCH(INDIRECT("A"&amp;ROW()-1),'Heat Sheet'!$A:$A)+1, COLUMN()), IF(ISNA(_xlpm.VAL), "", IF(_xlpm.VAL=0, "", _xlpm.VAL)))</f>
        <v/>
      </c>
      <c r="I321" s="155" t="str" cm="1">
        <f t="array" aca="1" ref="I321" ca="1">_xlfn.LET(_xlpm.VAL, INDEX('Heat Sheet'!$A:$I, _xlfn.XMATCH(INDIRECT("A"&amp;ROW()-1),'Heat Sheet'!$A:$A)+1, COLUMN()), IF(ISNA(_xlpm.VAL), "", IF(_xlpm.VAL=0, "", _xlpm.VAL)))</f>
        <v/>
      </c>
    </row>
    <row r="322" spans="1:9" ht="16" x14ac:dyDescent="0.2">
      <c r="A322" s="201"/>
      <c r="B322" s="202"/>
      <c r="C322" s="122" t="s">
        <v>22</v>
      </c>
      <c r="D322" s="124"/>
      <c r="E322" s="124"/>
      <c r="F322" s="124"/>
      <c r="G322" s="124"/>
      <c r="H322" s="124"/>
      <c r="I322" s="126"/>
    </row>
    <row r="323" spans="1:9" ht="16" x14ac:dyDescent="0.2">
      <c r="A323" s="201"/>
      <c r="B323" s="202"/>
      <c r="C323" s="122" t="s">
        <v>23</v>
      </c>
      <c r="D323" s="158"/>
      <c r="E323" s="158"/>
      <c r="F323" s="158"/>
      <c r="G323" s="158"/>
      <c r="H323" s="158"/>
      <c r="I323" s="159"/>
    </row>
    <row r="324" spans="1:9" ht="17" x14ac:dyDescent="0.2">
      <c r="A324" s="201"/>
      <c r="B324" s="202"/>
      <c r="C324" s="26" t="s">
        <v>14</v>
      </c>
      <c r="D324" s="160"/>
      <c r="E324" s="160"/>
      <c r="F324" s="160"/>
      <c r="G324" s="160"/>
      <c r="H324" s="160"/>
      <c r="I324" s="161"/>
    </row>
    <row r="325" spans="1:9" ht="17" x14ac:dyDescent="0.2">
      <c r="A325" s="201">
        <v>65</v>
      </c>
      <c r="B325" s="202" t="str">
        <f>IFERROR(VLOOKUP(A325,'Heat Sheet'!$A:$I, 2, FALSE), "")</f>
        <v/>
      </c>
      <c r="C325" s="129" t="str" cm="1">
        <f t="array" aca="1" ref="C325" ca="1">_xlfn.LET(_xlpm.VAL, INDEX('Heat Sheet'!$A:$I, _xlfn.XMATCH(INDIRECT("A"&amp;ROW()),'Heat Sheet'!$A:$A), COLUMN()), IF(ISNA(_xlpm.VAL), "", IF(_xlpm.VAL=0, "", _xlpm.VAL)))</f>
        <v/>
      </c>
      <c r="D325" s="154" t="str" cm="1">
        <f t="array" aca="1" ref="D325" ca="1">_xlfn.LET(_xlpm.VAL, INDEX('Heat Sheet'!$A:$I, _xlfn.XMATCH(INDIRECT("A"&amp;ROW()),'Heat Sheet'!$A:$A), COLUMN()), IF(ISNA(_xlpm.VAL), "", IF(_xlpm.VAL=0, "", _xlpm.VAL)))</f>
        <v/>
      </c>
      <c r="E325" s="154" t="str" cm="1">
        <f t="array" aca="1" ref="E325" ca="1">_xlfn.LET(_xlpm.VAL, INDEX('Heat Sheet'!$A:$I, _xlfn.XMATCH(INDIRECT("A"&amp;ROW()),'Heat Sheet'!$A:$A), COLUMN()), IF(ISNA(_xlpm.VAL), "", IF(_xlpm.VAL=0, "", _xlpm.VAL)))</f>
        <v/>
      </c>
      <c r="F325" s="154" t="str" cm="1">
        <f t="array" aca="1" ref="F325" ca="1">_xlfn.LET(_xlpm.VAL, INDEX('Heat Sheet'!$A:$I, _xlfn.XMATCH(INDIRECT("A"&amp;ROW()),'Heat Sheet'!$A:$A), COLUMN()), IF(ISNA(_xlpm.VAL), "", IF(_xlpm.VAL=0, "", _xlpm.VAL)))</f>
        <v/>
      </c>
      <c r="G325" s="154" t="str" cm="1">
        <f t="array" aca="1" ref="G325" ca="1">_xlfn.LET(_xlpm.VAL, INDEX('Heat Sheet'!$A:$I, _xlfn.XMATCH(INDIRECT("A"&amp;ROW()),'Heat Sheet'!$A:$A), COLUMN()), IF(ISNA(_xlpm.VAL), "", IF(_xlpm.VAL=0, "", _xlpm.VAL)))</f>
        <v/>
      </c>
      <c r="H325" s="154" t="str" cm="1">
        <f t="array" aca="1" ref="H325" ca="1">_xlfn.LET(_xlpm.VAL, INDEX('Heat Sheet'!$A:$I, _xlfn.XMATCH(INDIRECT("A"&amp;ROW()),'Heat Sheet'!$A:$A), COLUMN()), IF(ISNA(_xlpm.VAL), "", IF(_xlpm.VAL=0, "", _xlpm.VAL)))</f>
        <v/>
      </c>
      <c r="I325" s="155" t="str" cm="1">
        <f t="array" aca="1" ref="I325" ca="1">_xlfn.LET(_xlpm.VAL, INDEX('Heat Sheet'!$A:$I, _xlfn.XMATCH(INDIRECT("A"&amp;ROW()),'Heat Sheet'!$A:$A), COLUMN()), IF(ISNA(_xlpm.VAL), "", IF(_xlpm.VAL=0, "", _xlpm.VAL)))</f>
        <v/>
      </c>
    </row>
    <row r="326" spans="1:9" ht="17" x14ac:dyDescent="0.2">
      <c r="A326" s="201"/>
      <c r="B326" s="202"/>
      <c r="C326" s="129" t="str" cm="1">
        <f t="array" aca="1" ref="C326" ca="1">_xlfn.LET(_xlpm.VAL, INDEX('Heat Sheet'!$A:$I, _xlfn.XMATCH(INDIRECT("A"&amp;ROW()-1),'Heat Sheet'!$A:$A)+1, COLUMN()), IF(ISNA(_xlpm.VAL), "", IF(_xlpm.VAL=0, "", _xlpm.VAL)))</f>
        <v/>
      </c>
      <c r="D326" s="154" t="str" cm="1">
        <f t="array" aca="1" ref="D326" ca="1">_xlfn.LET(_xlpm.VAL, INDEX('Heat Sheet'!$A:$I, _xlfn.XMATCH(INDIRECT("A"&amp;ROW()-1),'Heat Sheet'!$A:$A)+1, COLUMN()), IF(ISNA(_xlpm.VAL), "", IF(_xlpm.VAL=0, "", _xlpm.VAL)))</f>
        <v/>
      </c>
      <c r="E326" s="154" t="str" cm="1">
        <f t="array" aca="1" ref="E326" ca="1">_xlfn.LET(_xlpm.VAL, INDEX('Heat Sheet'!$A:$I, _xlfn.XMATCH(INDIRECT("A"&amp;ROW()-1),'Heat Sheet'!$A:$A)+1, COLUMN()), IF(ISNA(_xlpm.VAL), "", IF(_xlpm.VAL=0, "", _xlpm.VAL)))</f>
        <v/>
      </c>
      <c r="F326" s="154" t="str" cm="1">
        <f t="array" aca="1" ref="F326" ca="1">_xlfn.LET(_xlpm.VAL, INDEX('Heat Sheet'!$A:$I, _xlfn.XMATCH(INDIRECT("A"&amp;ROW()-1),'Heat Sheet'!$A:$A)+1, COLUMN()), IF(ISNA(_xlpm.VAL), "", IF(_xlpm.VAL=0, "", _xlpm.VAL)))</f>
        <v/>
      </c>
      <c r="G326" s="154" t="str" cm="1">
        <f t="array" aca="1" ref="G326" ca="1">_xlfn.LET(_xlpm.VAL, INDEX('Heat Sheet'!$A:$I, _xlfn.XMATCH(INDIRECT("A"&amp;ROW()-1),'Heat Sheet'!$A:$A)+1, COLUMN()), IF(ISNA(_xlpm.VAL), "", IF(_xlpm.VAL=0, "", _xlpm.VAL)))</f>
        <v/>
      </c>
      <c r="H326" s="154" t="str" cm="1">
        <f t="array" aca="1" ref="H326" ca="1">_xlfn.LET(_xlpm.VAL, INDEX('Heat Sheet'!$A:$I, _xlfn.XMATCH(INDIRECT("A"&amp;ROW()-1),'Heat Sheet'!$A:$A)+1, COLUMN()), IF(ISNA(_xlpm.VAL), "", IF(_xlpm.VAL=0, "", _xlpm.VAL)))</f>
        <v/>
      </c>
      <c r="I326" s="155" t="str" cm="1">
        <f t="array" aca="1" ref="I326" ca="1">_xlfn.LET(_xlpm.VAL, INDEX('Heat Sheet'!$A:$I, _xlfn.XMATCH(INDIRECT("A"&amp;ROW()-1),'Heat Sheet'!$A:$A)+1, COLUMN()), IF(ISNA(_xlpm.VAL), "", IF(_xlpm.VAL=0, "", _xlpm.VAL)))</f>
        <v/>
      </c>
    </row>
    <row r="327" spans="1:9" ht="16" x14ac:dyDescent="0.2">
      <c r="A327" s="201"/>
      <c r="B327" s="202"/>
      <c r="C327" s="122" t="s">
        <v>22</v>
      </c>
      <c r="D327" s="124"/>
      <c r="E327" s="124"/>
      <c r="F327" s="124"/>
      <c r="G327" s="124"/>
      <c r="H327" s="124"/>
      <c r="I327" s="126"/>
    </row>
    <row r="328" spans="1:9" ht="16" x14ac:dyDescent="0.2">
      <c r="A328" s="201"/>
      <c r="B328" s="202"/>
      <c r="C328" s="122" t="s">
        <v>23</v>
      </c>
      <c r="D328" s="158"/>
      <c r="E328" s="158"/>
      <c r="F328" s="158"/>
      <c r="G328" s="158"/>
      <c r="H328" s="158"/>
      <c r="I328" s="159"/>
    </row>
    <row r="329" spans="1:9" ht="17" x14ac:dyDescent="0.2">
      <c r="A329" s="201"/>
      <c r="B329" s="202"/>
      <c r="C329" s="26" t="s">
        <v>14</v>
      </c>
      <c r="D329" s="160"/>
      <c r="E329" s="160"/>
      <c r="F329" s="160"/>
      <c r="G329" s="160"/>
      <c r="H329" s="160"/>
      <c r="I329" s="161"/>
    </row>
    <row r="330" spans="1:9" ht="17" x14ac:dyDescent="0.2">
      <c r="A330" s="201">
        <v>66</v>
      </c>
      <c r="B330" s="202" t="str">
        <f>IFERROR(VLOOKUP(A330,'Heat Sheet'!$A:$I, 2, FALSE), "")</f>
        <v/>
      </c>
      <c r="C330" s="129" t="str" cm="1">
        <f t="array" aca="1" ref="C330" ca="1">_xlfn.LET(_xlpm.VAL, INDEX('Heat Sheet'!$A:$I, _xlfn.XMATCH(INDIRECT("A"&amp;ROW()),'Heat Sheet'!$A:$A), COLUMN()), IF(ISNA(_xlpm.VAL), "", IF(_xlpm.VAL=0, "", _xlpm.VAL)))</f>
        <v/>
      </c>
      <c r="D330" s="154" t="str" cm="1">
        <f t="array" aca="1" ref="D330" ca="1">_xlfn.LET(_xlpm.VAL, INDEX('Heat Sheet'!$A:$I, _xlfn.XMATCH(INDIRECT("A"&amp;ROW()),'Heat Sheet'!$A:$A), COLUMN()), IF(ISNA(_xlpm.VAL), "", IF(_xlpm.VAL=0, "", _xlpm.VAL)))</f>
        <v/>
      </c>
      <c r="E330" s="154" t="str" cm="1">
        <f t="array" aca="1" ref="E330" ca="1">_xlfn.LET(_xlpm.VAL, INDEX('Heat Sheet'!$A:$I, _xlfn.XMATCH(INDIRECT("A"&amp;ROW()),'Heat Sheet'!$A:$A), COLUMN()), IF(ISNA(_xlpm.VAL), "", IF(_xlpm.VAL=0, "", _xlpm.VAL)))</f>
        <v/>
      </c>
      <c r="F330" s="154" t="str" cm="1">
        <f t="array" aca="1" ref="F330" ca="1">_xlfn.LET(_xlpm.VAL, INDEX('Heat Sheet'!$A:$I, _xlfn.XMATCH(INDIRECT("A"&amp;ROW()),'Heat Sheet'!$A:$A), COLUMN()), IF(ISNA(_xlpm.VAL), "", IF(_xlpm.VAL=0, "", _xlpm.VAL)))</f>
        <v/>
      </c>
      <c r="G330" s="154" t="str" cm="1">
        <f t="array" aca="1" ref="G330" ca="1">_xlfn.LET(_xlpm.VAL, INDEX('Heat Sheet'!$A:$I, _xlfn.XMATCH(INDIRECT("A"&amp;ROW()),'Heat Sheet'!$A:$A), COLUMN()), IF(ISNA(_xlpm.VAL), "", IF(_xlpm.VAL=0, "", _xlpm.VAL)))</f>
        <v/>
      </c>
      <c r="H330" s="154" t="str" cm="1">
        <f t="array" aca="1" ref="H330" ca="1">_xlfn.LET(_xlpm.VAL, INDEX('Heat Sheet'!$A:$I, _xlfn.XMATCH(INDIRECT("A"&amp;ROW()),'Heat Sheet'!$A:$A), COLUMN()), IF(ISNA(_xlpm.VAL), "", IF(_xlpm.VAL=0, "", _xlpm.VAL)))</f>
        <v/>
      </c>
      <c r="I330" s="155" t="str" cm="1">
        <f t="array" aca="1" ref="I330" ca="1">_xlfn.LET(_xlpm.VAL, INDEX('Heat Sheet'!$A:$I, _xlfn.XMATCH(INDIRECT("A"&amp;ROW()),'Heat Sheet'!$A:$A), COLUMN()), IF(ISNA(_xlpm.VAL), "", IF(_xlpm.VAL=0, "", _xlpm.VAL)))</f>
        <v/>
      </c>
    </row>
    <row r="331" spans="1:9" ht="17" x14ac:dyDescent="0.2">
      <c r="A331" s="201"/>
      <c r="B331" s="202"/>
      <c r="C331" s="129" t="str" cm="1">
        <f t="array" aca="1" ref="C331" ca="1">_xlfn.LET(_xlpm.VAL, INDEX('Heat Sheet'!$A:$I, _xlfn.XMATCH(INDIRECT("A"&amp;ROW()-1),'Heat Sheet'!$A:$A)+1, COLUMN()), IF(ISNA(_xlpm.VAL), "", IF(_xlpm.VAL=0, "", _xlpm.VAL)))</f>
        <v/>
      </c>
      <c r="D331" s="154" t="str" cm="1">
        <f t="array" aca="1" ref="D331" ca="1">_xlfn.LET(_xlpm.VAL, INDEX('Heat Sheet'!$A:$I, _xlfn.XMATCH(INDIRECT("A"&amp;ROW()-1),'Heat Sheet'!$A:$A)+1, COLUMN()), IF(ISNA(_xlpm.VAL), "", IF(_xlpm.VAL=0, "", _xlpm.VAL)))</f>
        <v/>
      </c>
      <c r="E331" s="154" t="str" cm="1">
        <f t="array" aca="1" ref="E331" ca="1">_xlfn.LET(_xlpm.VAL, INDEX('Heat Sheet'!$A:$I, _xlfn.XMATCH(INDIRECT("A"&amp;ROW()-1),'Heat Sheet'!$A:$A)+1, COLUMN()), IF(ISNA(_xlpm.VAL), "", IF(_xlpm.VAL=0, "", _xlpm.VAL)))</f>
        <v/>
      </c>
      <c r="F331" s="154" t="str" cm="1">
        <f t="array" aca="1" ref="F331" ca="1">_xlfn.LET(_xlpm.VAL, INDEX('Heat Sheet'!$A:$I, _xlfn.XMATCH(INDIRECT("A"&amp;ROW()-1),'Heat Sheet'!$A:$A)+1, COLUMN()), IF(ISNA(_xlpm.VAL), "", IF(_xlpm.VAL=0, "", _xlpm.VAL)))</f>
        <v/>
      </c>
      <c r="G331" s="154" t="str" cm="1">
        <f t="array" aca="1" ref="G331" ca="1">_xlfn.LET(_xlpm.VAL, INDEX('Heat Sheet'!$A:$I, _xlfn.XMATCH(INDIRECT("A"&amp;ROW()-1),'Heat Sheet'!$A:$A)+1, COLUMN()), IF(ISNA(_xlpm.VAL), "", IF(_xlpm.VAL=0, "", _xlpm.VAL)))</f>
        <v/>
      </c>
      <c r="H331" s="154" t="str" cm="1">
        <f t="array" aca="1" ref="H331" ca="1">_xlfn.LET(_xlpm.VAL, INDEX('Heat Sheet'!$A:$I, _xlfn.XMATCH(INDIRECT("A"&amp;ROW()-1),'Heat Sheet'!$A:$A)+1, COLUMN()), IF(ISNA(_xlpm.VAL), "", IF(_xlpm.VAL=0, "", _xlpm.VAL)))</f>
        <v/>
      </c>
      <c r="I331" s="155" t="str" cm="1">
        <f t="array" aca="1" ref="I331" ca="1">_xlfn.LET(_xlpm.VAL, INDEX('Heat Sheet'!$A:$I, _xlfn.XMATCH(INDIRECT("A"&amp;ROW()-1),'Heat Sheet'!$A:$A)+1, COLUMN()), IF(ISNA(_xlpm.VAL), "", IF(_xlpm.VAL=0, "", _xlpm.VAL)))</f>
        <v/>
      </c>
    </row>
    <row r="332" spans="1:9" ht="18.5" customHeight="1" x14ac:dyDescent="0.2">
      <c r="A332" s="201"/>
      <c r="B332" s="202"/>
      <c r="C332" s="122" t="s">
        <v>22</v>
      </c>
      <c r="D332" s="124"/>
      <c r="E332" s="124"/>
      <c r="F332" s="124"/>
      <c r="G332" s="124"/>
      <c r="H332" s="124"/>
      <c r="I332" s="126"/>
    </row>
    <row r="333" spans="1:9" ht="16" x14ac:dyDescent="0.2">
      <c r="A333" s="201"/>
      <c r="B333" s="202"/>
      <c r="C333" s="122" t="s">
        <v>23</v>
      </c>
      <c r="D333" s="158"/>
      <c r="E333" s="158"/>
      <c r="F333" s="158"/>
      <c r="G333" s="158"/>
      <c r="H333" s="158"/>
      <c r="I333" s="159"/>
    </row>
    <row r="334" spans="1:9" ht="17" x14ac:dyDescent="0.2">
      <c r="A334" s="201"/>
      <c r="B334" s="202"/>
      <c r="C334" s="26" t="s">
        <v>14</v>
      </c>
      <c r="D334" s="160"/>
      <c r="E334" s="160"/>
      <c r="F334" s="160"/>
      <c r="G334" s="160"/>
      <c r="H334" s="160"/>
      <c r="I334" s="161"/>
    </row>
    <row r="335" spans="1:9" ht="17" x14ac:dyDescent="0.2">
      <c r="A335" s="201">
        <v>67</v>
      </c>
      <c r="B335" s="202" t="str">
        <f>IFERROR(VLOOKUP(A335,'Heat Sheet'!$A:$I, 2, FALSE), "")</f>
        <v/>
      </c>
      <c r="C335" s="129" t="str" cm="1">
        <f t="array" aca="1" ref="C335" ca="1">_xlfn.LET(_xlpm.VAL, INDEX('Heat Sheet'!$A:$I, _xlfn.XMATCH(INDIRECT("A"&amp;ROW()),'Heat Sheet'!$A:$A), COLUMN()), IF(ISNA(_xlpm.VAL), "", IF(_xlpm.VAL=0, "", _xlpm.VAL)))</f>
        <v/>
      </c>
      <c r="D335" s="154" t="str" cm="1">
        <f t="array" aca="1" ref="D335" ca="1">_xlfn.LET(_xlpm.VAL, INDEX('Heat Sheet'!$A:$I, _xlfn.XMATCH(INDIRECT("A"&amp;ROW()),'Heat Sheet'!$A:$A), COLUMN()), IF(ISNA(_xlpm.VAL), "", IF(_xlpm.VAL=0, "", _xlpm.VAL)))</f>
        <v/>
      </c>
      <c r="E335" s="154" t="str" cm="1">
        <f t="array" aca="1" ref="E335" ca="1">_xlfn.LET(_xlpm.VAL, INDEX('Heat Sheet'!$A:$I, _xlfn.XMATCH(INDIRECT("A"&amp;ROW()),'Heat Sheet'!$A:$A), COLUMN()), IF(ISNA(_xlpm.VAL), "", IF(_xlpm.VAL=0, "", _xlpm.VAL)))</f>
        <v/>
      </c>
      <c r="F335" s="154" t="str" cm="1">
        <f t="array" aca="1" ref="F335" ca="1">_xlfn.LET(_xlpm.VAL, INDEX('Heat Sheet'!$A:$I, _xlfn.XMATCH(INDIRECT("A"&amp;ROW()),'Heat Sheet'!$A:$A), COLUMN()), IF(ISNA(_xlpm.VAL), "", IF(_xlpm.VAL=0, "", _xlpm.VAL)))</f>
        <v/>
      </c>
      <c r="G335" s="154" t="str" cm="1">
        <f t="array" aca="1" ref="G335" ca="1">_xlfn.LET(_xlpm.VAL, INDEX('Heat Sheet'!$A:$I, _xlfn.XMATCH(INDIRECT("A"&amp;ROW()),'Heat Sheet'!$A:$A), COLUMN()), IF(ISNA(_xlpm.VAL), "", IF(_xlpm.VAL=0, "", _xlpm.VAL)))</f>
        <v/>
      </c>
      <c r="H335" s="154" t="str" cm="1">
        <f t="array" aca="1" ref="H335" ca="1">_xlfn.LET(_xlpm.VAL, INDEX('Heat Sheet'!$A:$I, _xlfn.XMATCH(INDIRECT("A"&amp;ROW()),'Heat Sheet'!$A:$A), COLUMN()), IF(ISNA(_xlpm.VAL), "", IF(_xlpm.VAL=0, "", _xlpm.VAL)))</f>
        <v/>
      </c>
      <c r="I335" s="155" t="str" cm="1">
        <f t="array" aca="1" ref="I335" ca="1">_xlfn.LET(_xlpm.VAL, INDEX('Heat Sheet'!$A:$I, _xlfn.XMATCH(INDIRECT("A"&amp;ROW()),'Heat Sheet'!$A:$A), COLUMN()), IF(ISNA(_xlpm.VAL), "", IF(_xlpm.VAL=0, "", _xlpm.VAL)))</f>
        <v/>
      </c>
    </row>
    <row r="336" spans="1:9" ht="18.5" customHeight="1" x14ac:dyDescent="0.2">
      <c r="A336" s="201"/>
      <c r="B336" s="202"/>
      <c r="C336" s="129" t="str" cm="1">
        <f t="array" aca="1" ref="C336" ca="1">_xlfn.LET(_xlpm.VAL, INDEX('Heat Sheet'!$A:$I, _xlfn.XMATCH(INDIRECT("A"&amp;ROW()-1),'Heat Sheet'!$A:$A)+1, COLUMN()), IF(ISNA(_xlpm.VAL), "", IF(_xlpm.VAL=0, "", _xlpm.VAL)))</f>
        <v/>
      </c>
      <c r="D336" s="154" t="str" cm="1">
        <f t="array" aca="1" ref="D336" ca="1">_xlfn.LET(_xlpm.VAL, INDEX('Heat Sheet'!$A:$I, _xlfn.XMATCH(INDIRECT("A"&amp;ROW()-1),'Heat Sheet'!$A:$A)+1, COLUMN()), IF(ISNA(_xlpm.VAL), "", IF(_xlpm.VAL=0, "", _xlpm.VAL)))</f>
        <v/>
      </c>
      <c r="E336" s="154" t="str" cm="1">
        <f t="array" aca="1" ref="E336" ca="1">_xlfn.LET(_xlpm.VAL, INDEX('Heat Sheet'!$A:$I, _xlfn.XMATCH(INDIRECT("A"&amp;ROW()-1),'Heat Sheet'!$A:$A)+1, COLUMN()), IF(ISNA(_xlpm.VAL), "", IF(_xlpm.VAL=0, "", _xlpm.VAL)))</f>
        <v/>
      </c>
      <c r="F336" s="154" t="str" cm="1">
        <f t="array" aca="1" ref="F336" ca="1">_xlfn.LET(_xlpm.VAL, INDEX('Heat Sheet'!$A:$I, _xlfn.XMATCH(INDIRECT("A"&amp;ROW()-1),'Heat Sheet'!$A:$A)+1, COLUMN()), IF(ISNA(_xlpm.VAL), "", IF(_xlpm.VAL=0, "", _xlpm.VAL)))</f>
        <v/>
      </c>
      <c r="G336" s="154" t="str" cm="1">
        <f t="array" aca="1" ref="G336" ca="1">_xlfn.LET(_xlpm.VAL, INDEX('Heat Sheet'!$A:$I, _xlfn.XMATCH(INDIRECT("A"&amp;ROW()-1),'Heat Sheet'!$A:$A)+1, COLUMN()), IF(ISNA(_xlpm.VAL), "", IF(_xlpm.VAL=0, "", _xlpm.VAL)))</f>
        <v/>
      </c>
      <c r="H336" s="154" t="str" cm="1">
        <f t="array" aca="1" ref="H336" ca="1">_xlfn.LET(_xlpm.VAL, INDEX('Heat Sheet'!$A:$I, _xlfn.XMATCH(INDIRECT("A"&amp;ROW()-1),'Heat Sheet'!$A:$A)+1, COLUMN()), IF(ISNA(_xlpm.VAL), "", IF(_xlpm.VAL=0, "", _xlpm.VAL)))</f>
        <v/>
      </c>
      <c r="I336" s="155" t="str" cm="1">
        <f t="array" aca="1" ref="I336" ca="1">_xlfn.LET(_xlpm.VAL, INDEX('Heat Sheet'!$A:$I, _xlfn.XMATCH(INDIRECT("A"&amp;ROW()-1),'Heat Sheet'!$A:$A)+1, COLUMN()), IF(ISNA(_xlpm.VAL), "", IF(_xlpm.VAL=0, "", _xlpm.VAL)))</f>
        <v/>
      </c>
    </row>
    <row r="337" spans="1:9" ht="16" x14ac:dyDescent="0.2">
      <c r="A337" s="201"/>
      <c r="B337" s="202"/>
      <c r="C337" s="122" t="s">
        <v>22</v>
      </c>
      <c r="D337" s="124"/>
      <c r="E337" s="124"/>
      <c r="F337" s="124"/>
      <c r="G337" s="124"/>
      <c r="H337" s="124"/>
      <c r="I337" s="126"/>
    </row>
    <row r="338" spans="1:9" ht="16" x14ac:dyDescent="0.2">
      <c r="A338" s="201"/>
      <c r="B338" s="202"/>
      <c r="C338" s="122" t="s">
        <v>23</v>
      </c>
      <c r="D338" s="158"/>
      <c r="E338" s="158"/>
      <c r="F338" s="158"/>
      <c r="G338" s="158"/>
      <c r="H338" s="158"/>
      <c r="I338" s="159"/>
    </row>
    <row r="339" spans="1:9" ht="17" x14ac:dyDescent="0.2">
      <c r="A339" s="201"/>
      <c r="B339" s="202"/>
      <c r="C339" s="26" t="s">
        <v>14</v>
      </c>
      <c r="D339" s="160"/>
      <c r="E339" s="160"/>
      <c r="F339" s="160"/>
      <c r="G339" s="160"/>
      <c r="H339" s="160"/>
      <c r="I339" s="161"/>
    </row>
    <row r="340" spans="1:9" ht="18.5" customHeight="1" x14ac:dyDescent="0.2">
      <c r="A340" s="201">
        <v>68</v>
      </c>
      <c r="B340" s="202" t="str">
        <f>IFERROR(VLOOKUP(A340,'Heat Sheet'!$A:$I, 2, FALSE), "")</f>
        <v/>
      </c>
      <c r="C340" s="129" t="str" cm="1">
        <f t="array" aca="1" ref="C340" ca="1">_xlfn.LET(_xlpm.VAL, INDEX('Heat Sheet'!$A:$I, _xlfn.XMATCH(INDIRECT("A"&amp;ROW()),'Heat Sheet'!$A:$A), COLUMN()), IF(ISNA(_xlpm.VAL), "", IF(_xlpm.VAL=0, "", _xlpm.VAL)))</f>
        <v/>
      </c>
      <c r="D340" s="154" t="str" cm="1">
        <f t="array" aca="1" ref="D340" ca="1">_xlfn.LET(_xlpm.VAL, INDEX('Heat Sheet'!$A:$I, _xlfn.XMATCH(INDIRECT("A"&amp;ROW()),'Heat Sheet'!$A:$A), COLUMN()), IF(ISNA(_xlpm.VAL), "", IF(_xlpm.VAL=0, "", _xlpm.VAL)))</f>
        <v/>
      </c>
      <c r="E340" s="154" t="str" cm="1">
        <f t="array" aca="1" ref="E340" ca="1">_xlfn.LET(_xlpm.VAL, INDEX('Heat Sheet'!$A:$I, _xlfn.XMATCH(INDIRECT("A"&amp;ROW()),'Heat Sheet'!$A:$A), COLUMN()), IF(ISNA(_xlpm.VAL), "", IF(_xlpm.VAL=0, "", _xlpm.VAL)))</f>
        <v/>
      </c>
      <c r="F340" s="154" t="str" cm="1">
        <f t="array" aca="1" ref="F340" ca="1">_xlfn.LET(_xlpm.VAL, INDEX('Heat Sheet'!$A:$I, _xlfn.XMATCH(INDIRECT("A"&amp;ROW()),'Heat Sheet'!$A:$A), COLUMN()), IF(ISNA(_xlpm.VAL), "", IF(_xlpm.VAL=0, "", _xlpm.VAL)))</f>
        <v/>
      </c>
      <c r="G340" s="154" t="str" cm="1">
        <f t="array" aca="1" ref="G340" ca="1">_xlfn.LET(_xlpm.VAL, INDEX('Heat Sheet'!$A:$I, _xlfn.XMATCH(INDIRECT("A"&amp;ROW()),'Heat Sheet'!$A:$A), COLUMN()), IF(ISNA(_xlpm.VAL), "", IF(_xlpm.VAL=0, "", _xlpm.VAL)))</f>
        <v/>
      </c>
      <c r="H340" s="154" t="str" cm="1">
        <f t="array" aca="1" ref="H340" ca="1">_xlfn.LET(_xlpm.VAL, INDEX('Heat Sheet'!$A:$I, _xlfn.XMATCH(INDIRECT("A"&amp;ROW()),'Heat Sheet'!$A:$A), COLUMN()), IF(ISNA(_xlpm.VAL), "", IF(_xlpm.VAL=0, "", _xlpm.VAL)))</f>
        <v/>
      </c>
      <c r="I340" s="155" t="str" cm="1">
        <f t="array" aca="1" ref="I340" ca="1">_xlfn.LET(_xlpm.VAL, INDEX('Heat Sheet'!$A:$I, _xlfn.XMATCH(INDIRECT("A"&amp;ROW()),'Heat Sheet'!$A:$A), COLUMN()), IF(ISNA(_xlpm.VAL), "", IF(_xlpm.VAL=0, "", _xlpm.VAL)))</f>
        <v/>
      </c>
    </row>
    <row r="341" spans="1:9" ht="17" x14ac:dyDescent="0.2">
      <c r="A341" s="201"/>
      <c r="B341" s="202"/>
      <c r="C341" s="129" t="str" cm="1">
        <f t="array" aca="1" ref="C341" ca="1">_xlfn.LET(_xlpm.VAL, INDEX('Heat Sheet'!$A:$I, _xlfn.XMATCH(INDIRECT("A"&amp;ROW()-1),'Heat Sheet'!$A:$A)+1, COLUMN()), IF(ISNA(_xlpm.VAL), "", IF(_xlpm.VAL=0, "", _xlpm.VAL)))</f>
        <v/>
      </c>
      <c r="D341" s="154" t="str" cm="1">
        <f t="array" aca="1" ref="D341" ca="1">_xlfn.LET(_xlpm.VAL, INDEX('Heat Sheet'!$A:$I, _xlfn.XMATCH(INDIRECT("A"&amp;ROW()-1),'Heat Sheet'!$A:$A)+1, COLUMN()), IF(ISNA(_xlpm.VAL), "", IF(_xlpm.VAL=0, "", _xlpm.VAL)))</f>
        <v/>
      </c>
      <c r="E341" s="154" t="str" cm="1">
        <f t="array" aca="1" ref="E341" ca="1">_xlfn.LET(_xlpm.VAL, INDEX('Heat Sheet'!$A:$I, _xlfn.XMATCH(INDIRECT("A"&amp;ROW()-1),'Heat Sheet'!$A:$A)+1, COLUMN()), IF(ISNA(_xlpm.VAL), "", IF(_xlpm.VAL=0, "", _xlpm.VAL)))</f>
        <v/>
      </c>
      <c r="F341" s="154" t="str" cm="1">
        <f t="array" aca="1" ref="F341" ca="1">_xlfn.LET(_xlpm.VAL, INDEX('Heat Sheet'!$A:$I, _xlfn.XMATCH(INDIRECT("A"&amp;ROW()-1),'Heat Sheet'!$A:$A)+1, COLUMN()), IF(ISNA(_xlpm.VAL), "", IF(_xlpm.VAL=0, "", _xlpm.VAL)))</f>
        <v/>
      </c>
      <c r="G341" s="154" t="str" cm="1">
        <f t="array" aca="1" ref="G341" ca="1">_xlfn.LET(_xlpm.VAL, INDEX('Heat Sheet'!$A:$I, _xlfn.XMATCH(INDIRECT("A"&amp;ROW()-1),'Heat Sheet'!$A:$A)+1, COLUMN()), IF(ISNA(_xlpm.VAL), "", IF(_xlpm.VAL=0, "", _xlpm.VAL)))</f>
        <v/>
      </c>
      <c r="H341" s="154" t="str" cm="1">
        <f t="array" aca="1" ref="H341" ca="1">_xlfn.LET(_xlpm.VAL, INDEX('Heat Sheet'!$A:$I, _xlfn.XMATCH(INDIRECT("A"&amp;ROW()-1),'Heat Sheet'!$A:$A)+1, COLUMN()), IF(ISNA(_xlpm.VAL), "", IF(_xlpm.VAL=0, "", _xlpm.VAL)))</f>
        <v/>
      </c>
      <c r="I341" s="155" t="str" cm="1">
        <f t="array" aca="1" ref="I341" ca="1">_xlfn.LET(_xlpm.VAL, INDEX('Heat Sheet'!$A:$I, _xlfn.XMATCH(INDIRECT("A"&amp;ROW()-1),'Heat Sheet'!$A:$A)+1, COLUMN()), IF(ISNA(_xlpm.VAL), "", IF(_xlpm.VAL=0, "", _xlpm.VAL)))</f>
        <v/>
      </c>
    </row>
    <row r="342" spans="1:9" ht="16" x14ac:dyDescent="0.2">
      <c r="A342" s="201"/>
      <c r="B342" s="202"/>
      <c r="C342" s="122" t="s">
        <v>22</v>
      </c>
      <c r="D342" s="124"/>
      <c r="E342" s="124"/>
      <c r="F342" s="124"/>
      <c r="G342" s="124"/>
      <c r="H342" s="124"/>
      <c r="I342" s="126"/>
    </row>
    <row r="343" spans="1:9" ht="16" x14ac:dyDescent="0.2">
      <c r="A343" s="201"/>
      <c r="B343" s="202"/>
      <c r="C343" s="122" t="s">
        <v>23</v>
      </c>
      <c r="D343" s="158"/>
      <c r="E343" s="158"/>
      <c r="F343" s="158"/>
      <c r="G343" s="158"/>
      <c r="H343" s="158"/>
      <c r="I343" s="159"/>
    </row>
    <row r="344" spans="1:9" ht="18.5" customHeight="1" x14ac:dyDescent="0.2">
      <c r="A344" s="201"/>
      <c r="B344" s="202"/>
      <c r="C344" s="26" t="s">
        <v>14</v>
      </c>
      <c r="D344" s="160"/>
      <c r="E344" s="160"/>
      <c r="F344" s="160"/>
      <c r="G344" s="160"/>
      <c r="H344" s="160"/>
      <c r="I344" s="161"/>
    </row>
    <row r="345" spans="1:9" ht="16.5" customHeight="1" x14ac:dyDescent="0.2">
      <c r="A345" s="201">
        <v>69</v>
      </c>
      <c r="B345" s="202" t="str">
        <f>IFERROR(VLOOKUP(A345,'Heat Sheet'!$A:$I, 2, FALSE), "")</f>
        <v/>
      </c>
      <c r="C345" s="129" t="str" cm="1">
        <f t="array" aca="1" ref="C345" ca="1">_xlfn.LET(_xlpm.VAL, INDEX('Heat Sheet'!$A:$I, _xlfn.XMATCH(INDIRECT("A"&amp;ROW()),'Heat Sheet'!$A:$A), COLUMN()), IF(ISNA(_xlpm.VAL), "", IF(_xlpm.VAL=0, "", _xlpm.VAL)))</f>
        <v/>
      </c>
      <c r="D345" s="154" t="str" cm="1">
        <f t="array" aca="1" ref="D345" ca="1">_xlfn.LET(_xlpm.VAL, INDEX('Heat Sheet'!$A:$I, _xlfn.XMATCH(INDIRECT("A"&amp;ROW()),'Heat Sheet'!$A:$A), COLUMN()), IF(ISNA(_xlpm.VAL), "", IF(_xlpm.VAL=0, "", _xlpm.VAL)))</f>
        <v/>
      </c>
      <c r="E345" s="154" t="str" cm="1">
        <f t="array" aca="1" ref="E345" ca="1">_xlfn.LET(_xlpm.VAL, INDEX('Heat Sheet'!$A:$I, _xlfn.XMATCH(INDIRECT("A"&amp;ROW()),'Heat Sheet'!$A:$A), COLUMN()), IF(ISNA(_xlpm.VAL), "", IF(_xlpm.VAL=0, "", _xlpm.VAL)))</f>
        <v/>
      </c>
      <c r="F345" s="154" t="str" cm="1">
        <f t="array" aca="1" ref="F345" ca="1">_xlfn.LET(_xlpm.VAL, INDEX('Heat Sheet'!$A:$I, _xlfn.XMATCH(INDIRECT("A"&amp;ROW()),'Heat Sheet'!$A:$A), COLUMN()), IF(ISNA(_xlpm.VAL), "", IF(_xlpm.VAL=0, "", _xlpm.VAL)))</f>
        <v/>
      </c>
      <c r="G345" s="154" t="str" cm="1">
        <f t="array" aca="1" ref="G345" ca="1">_xlfn.LET(_xlpm.VAL, INDEX('Heat Sheet'!$A:$I, _xlfn.XMATCH(INDIRECT("A"&amp;ROW()),'Heat Sheet'!$A:$A), COLUMN()), IF(ISNA(_xlpm.VAL), "", IF(_xlpm.VAL=0, "", _xlpm.VAL)))</f>
        <v/>
      </c>
      <c r="H345" s="154" t="str" cm="1">
        <f t="array" aca="1" ref="H345" ca="1">_xlfn.LET(_xlpm.VAL, INDEX('Heat Sheet'!$A:$I, _xlfn.XMATCH(INDIRECT("A"&amp;ROW()),'Heat Sheet'!$A:$A), COLUMN()), IF(ISNA(_xlpm.VAL), "", IF(_xlpm.VAL=0, "", _xlpm.VAL)))</f>
        <v/>
      </c>
      <c r="I345" s="155" t="str" cm="1">
        <f t="array" aca="1" ref="I345" ca="1">_xlfn.LET(_xlpm.VAL, INDEX('Heat Sheet'!$A:$I, _xlfn.XMATCH(INDIRECT("A"&amp;ROW()),'Heat Sheet'!$A:$A), COLUMN()), IF(ISNA(_xlpm.VAL), "", IF(_xlpm.VAL=0, "", _xlpm.VAL)))</f>
        <v/>
      </c>
    </row>
    <row r="346" spans="1:9" ht="16" customHeight="1" x14ac:dyDescent="0.2">
      <c r="A346" s="201"/>
      <c r="B346" s="202"/>
      <c r="C346" s="129" t="str" cm="1">
        <f t="array" aca="1" ref="C346" ca="1">_xlfn.LET(_xlpm.VAL, INDEX('Heat Sheet'!$A:$I, _xlfn.XMATCH(INDIRECT("A"&amp;ROW()-1),'Heat Sheet'!$A:$A)+1, COLUMN()), IF(ISNA(_xlpm.VAL), "", IF(_xlpm.VAL=0, "", _xlpm.VAL)))</f>
        <v/>
      </c>
      <c r="D346" s="154" t="str" cm="1">
        <f t="array" aca="1" ref="D346" ca="1">_xlfn.LET(_xlpm.VAL, INDEX('Heat Sheet'!$A:$I, _xlfn.XMATCH(INDIRECT("A"&amp;ROW()-1),'Heat Sheet'!$A:$A)+1, COLUMN()), IF(ISNA(_xlpm.VAL), "", IF(_xlpm.VAL=0, "", _xlpm.VAL)))</f>
        <v/>
      </c>
      <c r="E346" s="154" t="str" cm="1">
        <f t="array" aca="1" ref="E346" ca="1">_xlfn.LET(_xlpm.VAL, INDEX('Heat Sheet'!$A:$I, _xlfn.XMATCH(INDIRECT("A"&amp;ROW()-1),'Heat Sheet'!$A:$A)+1, COLUMN()), IF(ISNA(_xlpm.VAL), "", IF(_xlpm.VAL=0, "", _xlpm.VAL)))</f>
        <v/>
      </c>
      <c r="F346" s="154" t="str" cm="1">
        <f t="array" aca="1" ref="F346" ca="1">_xlfn.LET(_xlpm.VAL, INDEX('Heat Sheet'!$A:$I, _xlfn.XMATCH(INDIRECT("A"&amp;ROW()-1),'Heat Sheet'!$A:$A)+1, COLUMN()), IF(ISNA(_xlpm.VAL), "", IF(_xlpm.VAL=0, "", _xlpm.VAL)))</f>
        <v/>
      </c>
      <c r="G346" s="154" t="str" cm="1">
        <f t="array" aca="1" ref="G346" ca="1">_xlfn.LET(_xlpm.VAL, INDEX('Heat Sheet'!$A:$I, _xlfn.XMATCH(INDIRECT("A"&amp;ROW()-1),'Heat Sheet'!$A:$A)+1, COLUMN()), IF(ISNA(_xlpm.VAL), "", IF(_xlpm.VAL=0, "", _xlpm.VAL)))</f>
        <v/>
      </c>
      <c r="H346" s="154" t="str" cm="1">
        <f t="array" aca="1" ref="H346" ca="1">_xlfn.LET(_xlpm.VAL, INDEX('Heat Sheet'!$A:$I, _xlfn.XMATCH(INDIRECT("A"&amp;ROW()-1),'Heat Sheet'!$A:$A)+1, COLUMN()), IF(ISNA(_xlpm.VAL), "", IF(_xlpm.VAL=0, "", _xlpm.VAL)))</f>
        <v/>
      </c>
      <c r="I346" s="155" t="str" cm="1">
        <f t="array" aca="1" ref="I346" ca="1">_xlfn.LET(_xlpm.VAL, INDEX('Heat Sheet'!$A:$I, _xlfn.XMATCH(INDIRECT("A"&amp;ROW()-1),'Heat Sheet'!$A:$A)+1, COLUMN()), IF(ISNA(_xlpm.VAL), "", IF(_xlpm.VAL=0, "", _xlpm.VAL)))</f>
        <v/>
      </c>
    </row>
    <row r="347" spans="1:9" ht="16" customHeight="1" x14ac:dyDescent="0.2">
      <c r="A347" s="201"/>
      <c r="B347" s="202"/>
      <c r="C347" s="122" t="s">
        <v>22</v>
      </c>
      <c r="D347" s="124"/>
      <c r="E347" s="124"/>
      <c r="F347" s="124"/>
      <c r="G347" s="124"/>
      <c r="H347" s="124"/>
      <c r="I347" s="126"/>
    </row>
    <row r="348" spans="1:9" ht="18.5" customHeight="1" x14ac:dyDescent="0.2">
      <c r="A348" s="201"/>
      <c r="B348" s="202"/>
      <c r="C348" s="122" t="s">
        <v>23</v>
      </c>
      <c r="D348" s="158"/>
      <c r="E348" s="158"/>
      <c r="F348" s="158"/>
      <c r="G348" s="158"/>
      <c r="H348" s="158"/>
      <c r="I348" s="159"/>
    </row>
    <row r="349" spans="1:9" ht="16.5" customHeight="1" x14ac:dyDescent="0.2">
      <c r="A349" s="201"/>
      <c r="B349" s="202"/>
      <c r="C349" s="26" t="s">
        <v>14</v>
      </c>
      <c r="D349" s="160"/>
      <c r="E349" s="160"/>
      <c r="F349" s="160"/>
      <c r="G349" s="160"/>
      <c r="H349" s="160"/>
      <c r="I349" s="161"/>
    </row>
    <row r="350" spans="1:9" ht="16" customHeight="1" x14ac:dyDescent="0.2">
      <c r="A350" s="201">
        <v>70</v>
      </c>
      <c r="B350" s="202" t="str">
        <f>IFERROR(VLOOKUP(A350,'Heat Sheet'!$A:$I, 2, FALSE), "")</f>
        <v/>
      </c>
      <c r="C350" s="129" t="str" cm="1">
        <f t="array" aca="1" ref="C350" ca="1">_xlfn.LET(_xlpm.VAL, INDEX('Heat Sheet'!$A:$I, _xlfn.XMATCH(INDIRECT("A"&amp;ROW()),'Heat Sheet'!$A:$A), COLUMN()), IF(ISNA(_xlpm.VAL), "", IF(_xlpm.VAL=0, "", _xlpm.VAL)))</f>
        <v/>
      </c>
      <c r="D350" s="154" t="str" cm="1">
        <f t="array" aca="1" ref="D350" ca="1">_xlfn.LET(_xlpm.VAL, INDEX('Heat Sheet'!$A:$I, _xlfn.XMATCH(INDIRECT("A"&amp;ROW()),'Heat Sheet'!$A:$A), COLUMN()), IF(ISNA(_xlpm.VAL), "", IF(_xlpm.VAL=0, "", _xlpm.VAL)))</f>
        <v/>
      </c>
      <c r="E350" s="154" t="str" cm="1">
        <f t="array" aca="1" ref="E350" ca="1">_xlfn.LET(_xlpm.VAL, INDEX('Heat Sheet'!$A:$I, _xlfn.XMATCH(INDIRECT("A"&amp;ROW()),'Heat Sheet'!$A:$A), COLUMN()), IF(ISNA(_xlpm.VAL), "", IF(_xlpm.VAL=0, "", _xlpm.VAL)))</f>
        <v/>
      </c>
      <c r="F350" s="154" t="str" cm="1">
        <f t="array" aca="1" ref="F350" ca="1">_xlfn.LET(_xlpm.VAL, INDEX('Heat Sheet'!$A:$I, _xlfn.XMATCH(INDIRECT("A"&amp;ROW()),'Heat Sheet'!$A:$A), COLUMN()), IF(ISNA(_xlpm.VAL), "", IF(_xlpm.VAL=0, "", _xlpm.VAL)))</f>
        <v/>
      </c>
      <c r="G350" s="154" t="str" cm="1">
        <f t="array" aca="1" ref="G350" ca="1">_xlfn.LET(_xlpm.VAL, INDEX('Heat Sheet'!$A:$I, _xlfn.XMATCH(INDIRECT("A"&amp;ROW()),'Heat Sheet'!$A:$A), COLUMN()), IF(ISNA(_xlpm.VAL), "", IF(_xlpm.VAL=0, "", _xlpm.VAL)))</f>
        <v/>
      </c>
      <c r="H350" s="154" t="str" cm="1">
        <f t="array" aca="1" ref="H350" ca="1">_xlfn.LET(_xlpm.VAL, INDEX('Heat Sheet'!$A:$I, _xlfn.XMATCH(INDIRECT("A"&amp;ROW()),'Heat Sheet'!$A:$A), COLUMN()), IF(ISNA(_xlpm.VAL), "", IF(_xlpm.VAL=0, "", _xlpm.VAL)))</f>
        <v/>
      </c>
      <c r="I350" s="155" t="str" cm="1">
        <f t="array" aca="1" ref="I350" ca="1">_xlfn.LET(_xlpm.VAL, INDEX('Heat Sheet'!$A:$I, _xlfn.XMATCH(INDIRECT("A"&amp;ROW()),'Heat Sheet'!$A:$A), COLUMN()), IF(ISNA(_xlpm.VAL), "", IF(_xlpm.VAL=0, "", _xlpm.VAL)))</f>
        <v/>
      </c>
    </row>
    <row r="351" spans="1:9" ht="16" customHeight="1" x14ac:dyDescent="0.2">
      <c r="A351" s="201"/>
      <c r="B351" s="202"/>
      <c r="C351" s="129" t="str" cm="1">
        <f t="array" aca="1" ref="C351" ca="1">_xlfn.LET(_xlpm.VAL, INDEX('Heat Sheet'!$A:$I, _xlfn.XMATCH(INDIRECT("A"&amp;ROW()-1),'Heat Sheet'!$A:$A)+1, COLUMN()), IF(ISNA(_xlpm.VAL), "", IF(_xlpm.VAL=0, "", _xlpm.VAL)))</f>
        <v/>
      </c>
      <c r="D351" s="154" t="str" cm="1">
        <f t="array" aca="1" ref="D351" ca="1">_xlfn.LET(_xlpm.VAL, INDEX('Heat Sheet'!$A:$I, _xlfn.XMATCH(INDIRECT("A"&amp;ROW()-1),'Heat Sheet'!$A:$A)+1, COLUMN()), IF(ISNA(_xlpm.VAL), "", IF(_xlpm.VAL=0, "", _xlpm.VAL)))</f>
        <v/>
      </c>
      <c r="E351" s="154" t="str" cm="1">
        <f t="array" aca="1" ref="E351" ca="1">_xlfn.LET(_xlpm.VAL, INDEX('Heat Sheet'!$A:$I, _xlfn.XMATCH(INDIRECT("A"&amp;ROW()-1),'Heat Sheet'!$A:$A)+1, COLUMN()), IF(ISNA(_xlpm.VAL), "", IF(_xlpm.VAL=0, "", _xlpm.VAL)))</f>
        <v/>
      </c>
      <c r="F351" s="154" t="str" cm="1">
        <f t="array" aca="1" ref="F351" ca="1">_xlfn.LET(_xlpm.VAL, INDEX('Heat Sheet'!$A:$I, _xlfn.XMATCH(INDIRECT("A"&amp;ROW()-1),'Heat Sheet'!$A:$A)+1, COLUMN()), IF(ISNA(_xlpm.VAL), "", IF(_xlpm.VAL=0, "", _xlpm.VAL)))</f>
        <v/>
      </c>
      <c r="G351" s="154" t="str" cm="1">
        <f t="array" aca="1" ref="G351" ca="1">_xlfn.LET(_xlpm.VAL, INDEX('Heat Sheet'!$A:$I, _xlfn.XMATCH(INDIRECT("A"&amp;ROW()-1),'Heat Sheet'!$A:$A)+1, COLUMN()), IF(ISNA(_xlpm.VAL), "", IF(_xlpm.VAL=0, "", _xlpm.VAL)))</f>
        <v/>
      </c>
      <c r="H351" s="154" t="str" cm="1">
        <f t="array" aca="1" ref="H351" ca="1">_xlfn.LET(_xlpm.VAL, INDEX('Heat Sheet'!$A:$I, _xlfn.XMATCH(INDIRECT("A"&amp;ROW()-1),'Heat Sheet'!$A:$A)+1, COLUMN()), IF(ISNA(_xlpm.VAL), "", IF(_xlpm.VAL=0, "", _xlpm.VAL)))</f>
        <v/>
      </c>
      <c r="I351" s="155" t="str" cm="1">
        <f t="array" aca="1" ref="I351" ca="1">_xlfn.LET(_xlpm.VAL, INDEX('Heat Sheet'!$A:$I, _xlfn.XMATCH(INDIRECT("A"&amp;ROW()-1),'Heat Sheet'!$A:$A)+1, COLUMN()), IF(ISNA(_xlpm.VAL), "", IF(_xlpm.VAL=0, "", _xlpm.VAL)))</f>
        <v/>
      </c>
    </row>
    <row r="352" spans="1:9" ht="18.5" customHeight="1" x14ac:dyDescent="0.2">
      <c r="A352" s="201"/>
      <c r="B352" s="202"/>
      <c r="C352" s="122" t="s">
        <v>22</v>
      </c>
      <c r="D352" s="124"/>
      <c r="E352" s="124"/>
      <c r="F352" s="124"/>
      <c r="G352" s="124"/>
      <c r="H352" s="124"/>
      <c r="I352" s="126"/>
    </row>
    <row r="353" spans="1:9" ht="16" x14ac:dyDescent="0.2">
      <c r="A353" s="201"/>
      <c r="B353" s="202"/>
      <c r="C353" s="122" t="s">
        <v>23</v>
      </c>
      <c r="D353" s="158"/>
      <c r="E353" s="158"/>
      <c r="F353" s="158"/>
      <c r="G353" s="158"/>
      <c r="H353" s="158"/>
      <c r="I353" s="159"/>
    </row>
    <row r="354" spans="1:9" ht="17" x14ac:dyDescent="0.2">
      <c r="A354" s="201"/>
      <c r="B354" s="202"/>
      <c r="C354" s="26" t="s">
        <v>14</v>
      </c>
      <c r="D354" s="160"/>
      <c r="E354" s="160"/>
      <c r="F354" s="160"/>
      <c r="G354" s="160"/>
      <c r="H354" s="160"/>
      <c r="I354" s="161"/>
    </row>
    <row r="355" spans="1:9" ht="15.75" customHeight="1" x14ac:dyDescent="0.2">
      <c r="A355" s="201">
        <v>71</v>
      </c>
      <c r="B355" s="202" t="str">
        <f>IFERROR(VLOOKUP(A355,'Heat Sheet'!$A:$I, 2, FALSE), "")</f>
        <v/>
      </c>
      <c r="C355" s="129" t="str" cm="1">
        <f t="array" aca="1" ref="C355" ca="1">_xlfn.LET(_xlpm.VAL, INDEX('Heat Sheet'!$A:$I, _xlfn.XMATCH(INDIRECT("A"&amp;ROW()),'Heat Sheet'!$A:$A), COLUMN()), IF(ISNA(_xlpm.VAL), "", IF(_xlpm.VAL=0, "", _xlpm.VAL)))</f>
        <v/>
      </c>
      <c r="D355" s="154" t="str" cm="1">
        <f t="array" aca="1" ref="D355" ca="1">_xlfn.LET(_xlpm.VAL, INDEX('Heat Sheet'!$A:$I, _xlfn.XMATCH(INDIRECT("A"&amp;ROW()),'Heat Sheet'!$A:$A), COLUMN()), IF(ISNA(_xlpm.VAL), "", IF(_xlpm.VAL=0, "", _xlpm.VAL)))</f>
        <v/>
      </c>
      <c r="E355" s="154" t="str" cm="1">
        <f t="array" aca="1" ref="E355" ca="1">_xlfn.LET(_xlpm.VAL, INDEX('Heat Sheet'!$A:$I, _xlfn.XMATCH(INDIRECT("A"&amp;ROW()),'Heat Sheet'!$A:$A), COLUMN()), IF(ISNA(_xlpm.VAL), "", IF(_xlpm.VAL=0, "", _xlpm.VAL)))</f>
        <v/>
      </c>
      <c r="F355" s="154" t="str" cm="1">
        <f t="array" aca="1" ref="F355" ca="1">_xlfn.LET(_xlpm.VAL, INDEX('Heat Sheet'!$A:$I, _xlfn.XMATCH(INDIRECT("A"&amp;ROW()),'Heat Sheet'!$A:$A), COLUMN()), IF(ISNA(_xlpm.VAL), "", IF(_xlpm.VAL=0, "", _xlpm.VAL)))</f>
        <v/>
      </c>
      <c r="G355" s="154" t="str" cm="1">
        <f t="array" aca="1" ref="G355" ca="1">_xlfn.LET(_xlpm.VAL, INDEX('Heat Sheet'!$A:$I, _xlfn.XMATCH(INDIRECT("A"&amp;ROW()),'Heat Sheet'!$A:$A), COLUMN()), IF(ISNA(_xlpm.VAL), "", IF(_xlpm.VAL=0, "", _xlpm.VAL)))</f>
        <v/>
      </c>
      <c r="H355" s="154" t="str" cm="1">
        <f t="array" aca="1" ref="H355" ca="1">_xlfn.LET(_xlpm.VAL, INDEX('Heat Sheet'!$A:$I, _xlfn.XMATCH(INDIRECT("A"&amp;ROW()),'Heat Sheet'!$A:$A), COLUMN()), IF(ISNA(_xlpm.VAL), "", IF(_xlpm.VAL=0, "", _xlpm.VAL)))</f>
        <v/>
      </c>
      <c r="I355" s="155" t="str" cm="1">
        <f t="array" aca="1" ref="I355" ca="1">_xlfn.LET(_xlpm.VAL, INDEX('Heat Sheet'!$A:$I, _xlfn.XMATCH(INDIRECT("A"&amp;ROW()),'Heat Sheet'!$A:$A), COLUMN()), IF(ISNA(_xlpm.VAL), "", IF(_xlpm.VAL=0, "", _xlpm.VAL)))</f>
        <v/>
      </c>
    </row>
    <row r="356" spans="1:9" ht="15.75" customHeight="1" x14ac:dyDescent="0.2">
      <c r="A356" s="201"/>
      <c r="B356" s="202"/>
      <c r="C356" s="129" t="str" cm="1">
        <f t="array" aca="1" ref="C356" ca="1">_xlfn.LET(_xlpm.VAL, INDEX('Heat Sheet'!$A:$I, _xlfn.XMATCH(INDIRECT("A"&amp;ROW()-1),'Heat Sheet'!$A:$A)+1, COLUMN()), IF(ISNA(_xlpm.VAL), "", IF(_xlpm.VAL=0, "", _xlpm.VAL)))</f>
        <v/>
      </c>
      <c r="D356" s="154" t="str" cm="1">
        <f t="array" aca="1" ref="D356" ca="1">_xlfn.LET(_xlpm.VAL, INDEX('Heat Sheet'!$A:$I, _xlfn.XMATCH(INDIRECT("A"&amp;ROW()-1),'Heat Sheet'!$A:$A)+1, COLUMN()), IF(ISNA(_xlpm.VAL), "", IF(_xlpm.VAL=0, "", _xlpm.VAL)))</f>
        <v/>
      </c>
      <c r="E356" s="154" t="str" cm="1">
        <f t="array" aca="1" ref="E356" ca="1">_xlfn.LET(_xlpm.VAL, INDEX('Heat Sheet'!$A:$I, _xlfn.XMATCH(INDIRECT("A"&amp;ROW()-1),'Heat Sheet'!$A:$A)+1, COLUMN()), IF(ISNA(_xlpm.VAL), "", IF(_xlpm.VAL=0, "", _xlpm.VAL)))</f>
        <v/>
      </c>
      <c r="F356" s="154" t="str" cm="1">
        <f t="array" aca="1" ref="F356" ca="1">_xlfn.LET(_xlpm.VAL, INDEX('Heat Sheet'!$A:$I, _xlfn.XMATCH(INDIRECT("A"&amp;ROW()-1),'Heat Sheet'!$A:$A)+1, COLUMN()), IF(ISNA(_xlpm.VAL), "", IF(_xlpm.VAL=0, "", _xlpm.VAL)))</f>
        <v/>
      </c>
      <c r="G356" s="154" t="str" cm="1">
        <f t="array" aca="1" ref="G356" ca="1">_xlfn.LET(_xlpm.VAL, INDEX('Heat Sheet'!$A:$I, _xlfn.XMATCH(INDIRECT("A"&amp;ROW()-1),'Heat Sheet'!$A:$A)+1, COLUMN()), IF(ISNA(_xlpm.VAL), "", IF(_xlpm.VAL=0, "", _xlpm.VAL)))</f>
        <v/>
      </c>
      <c r="H356" s="154" t="str" cm="1">
        <f t="array" aca="1" ref="H356" ca="1">_xlfn.LET(_xlpm.VAL, INDEX('Heat Sheet'!$A:$I, _xlfn.XMATCH(INDIRECT("A"&amp;ROW()-1),'Heat Sheet'!$A:$A)+1, COLUMN()), IF(ISNA(_xlpm.VAL), "", IF(_xlpm.VAL=0, "", _xlpm.VAL)))</f>
        <v/>
      </c>
      <c r="I356" s="155" t="str" cm="1">
        <f t="array" aca="1" ref="I356" ca="1">_xlfn.LET(_xlpm.VAL, INDEX('Heat Sheet'!$A:$I, _xlfn.XMATCH(INDIRECT("A"&amp;ROW()-1),'Heat Sheet'!$A:$A)+1, COLUMN()), IF(ISNA(_xlpm.VAL), "", IF(_xlpm.VAL=0, "", _xlpm.VAL)))</f>
        <v/>
      </c>
    </row>
    <row r="357" spans="1:9" ht="15.75" customHeight="1" x14ac:dyDescent="0.2">
      <c r="A357" s="201"/>
      <c r="B357" s="202"/>
      <c r="C357" s="122" t="s">
        <v>22</v>
      </c>
      <c r="D357" s="124"/>
      <c r="E357" s="124"/>
      <c r="F357" s="124"/>
      <c r="G357" s="124"/>
      <c r="H357" s="124"/>
      <c r="I357" s="126"/>
    </row>
    <row r="358" spans="1:9" ht="15.75" customHeight="1" x14ac:dyDescent="0.2">
      <c r="A358" s="201"/>
      <c r="B358" s="202"/>
      <c r="C358" s="122" t="s">
        <v>23</v>
      </c>
      <c r="D358" s="158"/>
      <c r="E358" s="158"/>
      <c r="F358" s="158"/>
      <c r="G358" s="158"/>
      <c r="H358" s="158"/>
      <c r="I358" s="159"/>
    </row>
    <row r="359" spans="1:9" ht="15.75" customHeight="1" x14ac:dyDescent="0.2">
      <c r="A359" s="201"/>
      <c r="B359" s="202"/>
      <c r="C359" s="26" t="s">
        <v>14</v>
      </c>
      <c r="D359" s="160"/>
      <c r="E359" s="160"/>
      <c r="F359" s="160"/>
      <c r="G359" s="160"/>
      <c r="H359" s="160"/>
      <c r="I359" s="161"/>
    </row>
    <row r="360" spans="1:9" ht="15.75" customHeight="1" x14ac:dyDescent="0.2">
      <c r="A360" s="201">
        <v>72</v>
      </c>
      <c r="B360" s="202" t="str">
        <f>IFERROR(VLOOKUP(A360,'Heat Sheet'!$A:$I, 2, FALSE), "")</f>
        <v/>
      </c>
      <c r="C360" s="129" t="str" cm="1">
        <f t="array" aca="1" ref="C360" ca="1">_xlfn.LET(_xlpm.VAL, INDEX('Heat Sheet'!$A:$I, _xlfn.XMATCH(INDIRECT("A"&amp;ROW()),'Heat Sheet'!$A:$A), COLUMN()), IF(ISNA(_xlpm.VAL), "", IF(_xlpm.VAL=0, "", _xlpm.VAL)))</f>
        <v/>
      </c>
      <c r="D360" s="154" t="str" cm="1">
        <f t="array" aca="1" ref="D360" ca="1">_xlfn.LET(_xlpm.VAL, INDEX('Heat Sheet'!$A:$I, _xlfn.XMATCH(INDIRECT("A"&amp;ROW()),'Heat Sheet'!$A:$A), COLUMN()), IF(ISNA(_xlpm.VAL), "", IF(_xlpm.VAL=0, "", _xlpm.VAL)))</f>
        <v/>
      </c>
      <c r="E360" s="154" t="str" cm="1">
        <f t="array" aca="1" ref="E360" ca="1">_xlfn.LET(_xlpm.VAL, INDEX('Heat Sheet'!$A:$I, _xlfn.XMATCH(INDIRECT("A"&amp;ROW()),'Heat Sheet'!$A:$A), COLUMN()), IF(ISNA(_xlpm.VAL), "", IF(_xlpm.VAL=0, "", _xlpm.VAL)))</f>
        <v/>
      </c>
      <c r="F360" s="154" t="str" cm="1">
        <f t="array" aca="1" ref="F360" ca="1">_xlfn.LET(_xlpm.VAL, INDEX('Heat Sheet'!$A:$I, _xlfn.XMATCH(INDIRECT("A"&amp;ROW()),'Heat Sheet'!$A:$A), COLUMN()), IF(ISNA(_xlpm.VAL), "", IF(_xlpm.VAL=0, "", _xlpm.VAL)))</f>
        <v/>
      </c>
      <c r="G360" s="154" t="str" cm="1">
        <f t="array" aca="1" ref="G360" ca="1">_xlfn.LET(_xlpm.VAL, INDEX('Heat Sheet'!$A:$I, _xlfn.XMATCH(INDIRECT("A"&amp;ROW()),'Heat Sheet'!$A:$A), COLUMN()), IF(ISNA(_xlpm.VAL), "", IF(_xlpm.VAL=0, "", _xlpm.VAL)))</f>
        <v/>
      </c>
      <c r="H360" s="154" t="str" cm="1">
        <f t="array" aca="1" ref="H360" ca="1">_xlfn.LET(_xlpm.VAL, INDEX('Heat Sheet'!$A:$I, _xlfn.XMATCH(INDIRECT("A"&amp;ROW()),'Heat Sheet'!$A:$A), COLUMN()), IF(ISNA(_xlpm.VAL), "", IF(_xlpm.VAL=0, "", _xlpm.VAL)))</f>
        <v/>
      </c>
      <c r="I360" s="155" t="str" cm="1">
        <f t="array" aca="1" ref="I360" ca="1">_xlfn.LET(_xlpm.VAL, INDEX('Heat Sheet'!$A:$I, _xlfn.XMATCH(INDIRECT("A"&amp;ROW()),'Heat Sheet'!$A:$A), COLUMN()), IF(ISNA(_xlpm.VAL), "", IF(_xlpm.VAL=0, "", _xlpm.VAL)))</f>
        <v/>
      </c>
    </row>
    <row r="361" spans="1:9" ht="15.75" customHeight="1" x14ac:dyDescent="0.2">
      <c r="A361" s="201"/>
      <c r="B361" s="202"/>
      <c r="C361" s="129" t="str" cm="1">
        <f t="array" aca="1" ref="C361" ca="1">_xlfn.LET(_xlpm.VAL, INDEX('Heat Sheet'!$A:$I, _xlfn.XMATCH(INDIRECT("A"&amp;ROW()-1),'Heat Sheet'!$A:$A)+1, COLUMN()), IF(ISNA(_xlpm.VAL), "", IF(_xlpm.VAL=0, "", _xlpm.VAL)))</f>
        <v/>
      </c>
      <c r="D361" s="154" t="str" cm="1">
        <f t="array" aca="1" ref="D361" ca="1">_xlfn.LET(_xlpm.VAL, INDEX('Heat Sheet'!$A:$I, _xlfn.XMATCH(INDIRECT("A"&amp;ROW()-1),'Heat Sheet'!$A:$A)+1, COLUMN()), IF(ISNA(_xlpm.VAL), "", IF(_xlpm.VAL=0, "", _xlpm.VAL)))</f>
        <v/>
      </c>
      <c r="E361" s="154" t="str" cm="1">
        <f t="array" aca="1" ref="E361" ca="1">_xlfn.LET(_xlpm.VAL, INDEX('Heat Sheet'!$A:$I, _xlfn.XMATCH(INDIRECT("A"&amp;ROW()-1),'Heat Sheet'!$A:$A)+1, COLUMN()), IF(ISNA(_xlpm.VAL), "", IF(_xlpm.VAL=0, "", _xlpm.VAL)))</f>
        <v/>
      </c>
      <c r="F361" s="154" t="str" cm="1">
        <f t="array" aca="1" ref="F361" ca="1">_xlfn.LET(_xlpm.VAL, INDEX('Heat Sheet'!$A:$I, _xlfn.XMATCH(INDIRECT("A"&amp;ROW()-1),'Heat Sheet'!$A:$A)+1, COLUMN()), IF(ISNA(_xlpm.VAL), "", IF(_xlpm.VAL=0, "", _xlpm.VAL)))</f>
        <v/>
      </c>
      <c r="G361" s="154" t="str" cm="1">
        <f t="array" aca="1" ref="G361" ca="1">_xlfn.LET(_xlpm.VAL, INDEX('Heat Sheet'!$A:$I, _xlfn.XMATCH(INDIRECT("A"&amp;ROW()-1),'Heat Sheet'!$A:$A)+1, COLUMN()), IF(ISNA(_xlpm.VAL), "", IF(_xlpm.VAL=0, "", _xlpm.VAL)))</f>
        <v/>
      </c>
      <c r="H361" s="154" t="str" cm="1">
        <f t="array" aca="1" ref="H361" ca="1">_xlfn.LET(_xlpm.VAL, INDEX('Heat Sheet'!$A:$I, _xlfn.XMATCH(INDIRECT("A"&amp;ROW()-1),'Heat Sheet'!$A:$A)+1, COLUMN()), IF(ISNA(_xlpm.VAL), "", IF(_xlpm.VAL=0, "", _xlpm.VAL)))</f>
        <v/>
      </c>
      <c r="I361" s="155" t="str" cm="1">
        <f t="array" aca="1" ref="I361" ca="1">_xlfn.LET(_xlpm.VAL, INDEX('Heat Sheet'!$A:$I, _xlfn.XMATCH(INDIRECT("A"&amp;ROW()-1),'Heat Sheet'!$A:$A)+1, COLUMN()), IF(ISNA(_xlpm.VAL), "", IF(_xlpm.VAL=0, "", _xlpm.VAL)))</f>
        <v/>
      </c>
    </row>
    <row r="362" spans="1:9" ht="15.75" customHeight="1" x14ac:dyDescent="0.2">
      <c r="A362" s="201"/>
      <c r="B362" s="202"/>
      <c r="C362" s="122" t="s">
        <v>22</v>
      </c>
      <c r="D362" s="124"/>
      <c r="E362" s="124"/>
      <c r="F362" s="124"/>
      <c r="G362" s="124"/>
      <c r="H362" s="124"/>
      <c r="I362" s="126"/>
    </row>
    <row r="363" spans="1:9" ht="15.75" customHeight="1" x14ac:dyDescent="0.2">
      <c r="A363" s="201"/>
      <c r="B363" s="202"/>
      <c r="C363" s="122" t="s">
        <v>23</v>
      </c>
      <c r="D363" s="158"/>
      <c r="E363" s="158"/>
      <c r="F363" s="158"/>
      <c r="G363" s="158"/>
      <c r="H363" s="158"/>
      <c r="I363" s="159"/>
    </row>
    <row r="364" spans="1:9" ht="15.75" customHeight="1" x14ac:dyDescent="0.2">
      <c r="A364" s="201"/>
      <c r="B364" s="202"/>
      <c r="C364" s="26" t="s">
        <v>14</v>
      </c>
      <c r="D364" s="160"/>
      <c r="E364" s="160"/>
      <c r="F364" s="160"/>
      <c r="G364" s="160"/>
      <c r="H364" s="160"/>
      <c r="I364" s="161"/>
    </row>
    <row r="365" spans="1:9" ht="15.75" customHeight="1" x14ac:dyDescent="0.2">
      <c r="A365" s="201">
        <v>73</v>
      </c>
      <c r="B365" s="202" t="str">
        <f>IFERROR(VLOOKUP(A365,'Heat Sheet'!$A:$I, 2, FALSE), "")</f>
        <v/>
      </c>
      <c r="C365" s="129" t="str" cm="1">
        <f t="array" aca="1" ref="C365" ca="1">_xlfn.LET(_xlpm.VAL, INDEX('Heat Sheet'!$A:$I, _xlfn.XMATCH(INDIRECT("A"&amp;ROW()),'Heat Sheet'!$A:$A), COLUMN()), IF(ISNA(_xlpm.VAL), "", IF(_xlpm.VAL=0, "", _xlpm.VAL)))</f>
        <v/>
      </c>
      <c r="D365" s="154" t="str" cm="1">
        <f t="array" aca="1" ref="D365" ca="1">_xlfn.LET(_xlpm.VAL, INDEX('Heat Sheet'!$A:$I, _xlfn.XMATCH(INDIRECT("A"&amp;ROW()),'Heat Sheet'!$A:$A), COLUMN()), IF(ISNA(_xlpm.VAL), "", IF(_xlpm.VAL=0, "", _xlpm.VAL)))</f>
        <v/>
      </c>
      <c r="E365" s="154" t="str" cm="1">
        <f t="array" aca="1" ref="E365" ca="1">_xlfn.LET(_xlpm.VAL, INDEX('Heat Sheet'!$A:$I, _xlfn.XMATCH(INDIRECT("A"&amp;ROW()),'Heat Sheet'!$A:$A), COLUMN()), IF(ISNA(_xlpm.VAL), "", IF(_xlpm.VAL=0, "", _xlpm.VAL)))</f>
        <v/>
      </c>
      <c r="F365" s="154" t="str" cm="1">
        <f t="array" aca="1" ref="F365" ca="1">_xlfn.LET(_xlpm.VAL, INDEX('Heat Sheet'!$A:$I, _xlfn.XMATCH(INDIRECT("A"&amp;ROW()),'Heat Sheet'!$A:$A), COLUMN()), IF(ISNA(_xlpm.VAL), "", IF(_xlpm.VAL=0, "", _xlpm.VAL)))</f>
        <v/>
      </c>
      <c r="G365" s="154" t="str" cm="1">
        <f t="array" aca="1" ref="G365" ca="1">_xlfn.LET(_xlpm.VAL, INDEX('Heat Sheet'!$A:$I, _xlfn.XMATCH(INDIRECT("A"&amp;ROW()),'Heat Sheet'!$A:$A), COLUMN()), IF(ISNA(_xlpm.VAL), "", IF(_xlpm.VAL=0, "", _xlpm.VAL)))</f>
        <v/>
      </c>
      <c r="H365" s="154" t="str" cm="1">
        <f t="array" aca="1" ref="H365" ca="1">_xlfn.LET(_xlpm.VAL, INDEX('Heat Sheet'!$A:$I, _xlfn.XMATCH(INDIRECT("A"&amp;ROW()),'Heat Sheet'!$A:$A), COLUMN()), IF(ISNA(_xlpm.VAL), "", IF(_xlpm.VAL=0, "", _xlpm.VAL)))</f>
        <v/>
      </c>
      <c r="I365" s="155" t="str" cm="1">
        <f t="array" aca="1" ref="I365" ca="1">_xlfn.LET(_xlpm.VAL, INDEX('Heat Sheet'!$A:$I, _xlfn.XMATCH(INDIRECT("A"&amp;ROW()),'Heat Sheet'!$A:$A), COLUMN()), IF(ISNA(_xlpm.VAL), "", IF(_xlpm.VAL=0, "", _xlpm.VAL)))</f>
        <v/>
      </c>
    </row>
    <row r="366" spans="1:9" ht="15.75" customHeight="1" x14ac:dyDescent="0.2">
      <c r="A366" s="201"/>
      <c r="B366" s="202"/>
      <c r="C366" s="129" t="str" cm="1">
        <f t="array" aca="1" ref="C366" ca="1">_xlfn.LET(_xlpm.VAL, INDEX('Heat Sheet'!$A:$I, _xlfn.XMATCH(INDIRECT("A"&amp;ROW()-1),'Heat Sheet'!$A:$A)+1, COLUMN()), IF(ISNA(_xlpm.VAL), "", IF(_xlpm.VAL=0, "", _xlpm.VAL)))</f>
        <v/>
      </c>
      <c r="D366" s="154" t="str" cm="1">
        <f t="array" aca="1" ref="D366" ca="1">_xlfn.LET(_xlpm.VAL, INDEX('Heat Sheet'!$A:$I, _xlfn.XMATCH(INDIRECT("A"&amp;ROW()-1),'Heat Sheet'!$A:$A)+1, COLUMN()), IF(ISNA(_xlpm.VAL), "", IF(_xlpm.VAL=0, "", _xlpm.VAL)))</f>
        <v/>
      </c>
      <c r="E366" s="154" t="str" cm="1">
        <f t="array" aca="1" ref="E366" ca="1">_xlfn.LET(_xlpm.VAL, INDEX('Heat Sheet'!$A:$I, _xlfn.XMATCH(INDIRECT("A"&amp;ROW()-1),'Heat Sheet'!$A:$A)+1, COLUMN()), IF(ISNA(_xlpm.VAL), "", IF(_xlpm.VAL=0, "", _xlpm.VAL)))</f>
        <v/>
      </c>
      <c r="F366" s="154" t="str" cm="1">
        <f t="array" aca="1" ref="F366" ca="1">_xlfn.LET(_xlpm.VAL, INDEX('Heat Sheet'!$A:$I, _xlfn.XMATCH(INDIRECT("A"&amp;ROW()-1),'Heat Sheet'!$A:$A)+1, COLUMN()), IF(ISNA(_xlpm.VAL), "", IF(_xlpm.VAL=0, "", _xlpm.VAL)))</f>
        <v/>
      </c>
      <c r="G366" s="154" t="str" cm="1">
        <f t="array" aca="1" ref="G366" ca="1">_xlfn.LET(_xlpm.VAL, INDEX('Heat Sheet'!$A:$I, _xlfn.XMATCH(INDIRECT("A"&amp;ROW()-1),'Heat Sheet'!$A:$A)+1, COLUMN()), IF(ISNA(_xlpm.VAL), "", IF(_xlpm.VAL=0, "", _xlpm.VAL)))</f>
        <v/>
      </c>
      <c r="H366" s="154" t="str" cm="1">
        <f t="array" aca="1" ref="H366" ca="1">_xlfn.LET(_xlpm.VAL, INDEX('Heat Sheet'!$A:$I, _xlfn.XMATCH(INDIRECT("A"&amp;ROW()-1),'Heat Sheet'!$A:$A)+1, COLUMN()), IF(ISNA(_xlpm.VAL), "", IF(_xlpm.VAL=0, "", _xlpm.VAL)))</f>
        <v/>
      </c>
      <c r="I366" s="155" t="str" cm="1">
        <f t="array" aca="1" ref="I366" ca="1">_xlfn.LET(_xlpm.VAL, INDEX('Heat Sheet'!$A:$I, _xlfn.XMATCH(INDIRECT("A"&amp;ROW()-1),'Heat Sheet'!$A:$A)+1, COLUMN()), IF(ISNA(_xlpm.VAL), "", IF(_xlpm.VAL=0, "", _xlpm.VAL)))</f>
        <v/>
      </c>
    </row>
    <row r="367" spans="1:9" ht="15.75" customHeight="1" x14ac:dyDescent="0.2">
      <c r="A367" s="201"/>
      <c r="B367" s="202"/>
      <c r="C367" s="122" t="s">
        <v>22</v>
      </c>
      <c r="D367" s="124"/>
      <c r="E367" s="124"/>
      <c r="F367" s="124"/>
      <c r="G367" s="124"/>
      <c r="H367" s="124"/>
      <c r="I367" s="126"/>
    </row>
    <row r="368" spans="1:9" ht="15.75" customHeight="1" x14ac:dyDescent="0.2">
      <c r="A368" s="201"/>
      <c r="B368" s="202"/>
      <c r="C368" s="122" t="s">
        <v>23</v>
      </c>
      <c r="D368" s="158"/>
      <c r="E368" s="158"/>
      <c r="F368" s="158"/>
      <c r="G368" s="158"/>
      <c r="H368" s="158"/>
      <c r="I368" s="159"/>
    </row>
    <row r="369" spans="1:9" ht="15.75" customHeight="1" x14ac:dyDescent="0.2">
      <c r="A369" s="201"/>
      <c r="B369" s="202"/>
      <c r="C369" s="26" t="s">
        <v>14</v>
      </c>
      <c r="D369" s="160"/>
      <c r="E369" s="160"/>
      <c r="F369" s="160"/>
      <c r="G369" s="160"/>
      <c r="H369" s="160"/>
      <c r="I369" s="161"/>
    </row>
    <row r="370" spans="1:9" ht="15.75" customHeight="1" x14ac:dyDescent="0.2">
      <c r="A370" s="201">
        <v>74</v>
      </c>
      <c r="B370" s="202" t="str">
        <f>IFERROR(VLOOKUP(A370,'Heat Sheet'!$A:$I, 2, FALSE), "")</f>
        <v/>
      </c>
      <c r="C370" s="129" t="str" cm="1">
        <f t="array" aca="1" ref="C370" ca="1">_xlfn.LET(_xlpm.VAL, INDEX('Heat Sheet'!$A:$I, _xlfn.XMATCH(INDIRECT("A"&amp;ROW()),'Heat Sheet'!$A:$A), COLUMN()), IF(ISNA(_xlpm.VAL), "", IF(_xlpm.VAL=0, "", _xlpm.VAL)))</f>
        <v/>
      </c>
      <c r="D370" s="154" t="str" cm="1">
        <f t="array" aca="1" ref="D370" ca="1">_xlfn.LET(_xlpm.VAL, INDEX('Heat Sheet'!$A:$I, _xlfn.XMATCH(INDIRECT("A"&amp;ROW()),'Heat Sheet'!$A:$A), COLUMN()), IF(ISNA(_xlpm.VAL), "", IF(_xlpm.VAL=0, "", _xlpm.VAL)))</f>
        <v/>
      </c>
      <c r="E370" s="154" t="str" cm="1">
        <f t="array" aca="1" ref="E370" ca="1">_xlfn.LET(_xlpm.VAL, INDEX('Heat Sheet'!$A:$I, _xlfn.XMATCH(INDIRECT("A"&amp;ROW()),'Heat Sheet'!$A:$A), COLUMN()), IF(ISNA(_xlpm.VAL), "", IF(_xlpm.VAL=0, "", _xlpm.VAL)))</f>
        <v/>
      </c>
      <c r="F370" s="154" t="str" cm="1">
        <f t="array" aca="1" ref="F370" ca="1">_xlfn.LET(_xlpm.VAL, INDEX('Heat Sheet'!$A:$I, _xlfn.XMATCH(INDIRECT("A"&amp;ROW()),'Heat Sheet'!$A:$A), COLUMN()), IF(ISNA(_xlpm.VAL), "", IF(_xlpm.VAL=0, "", _xlpm.VAL)))</f>
        <v/>
      </c>
      <c r="G370" s="154" t="str" cm="1">
        <f t="array" aca="1" ref="G370" ca="1">_xlfn.LET(_xlpm.VAL, INDEX('Heat Sheet'!$A:$I, _xlfn.XMATCH(INDIRECT("A"&amp;ROW()),'Heat Sheet'!$A:$A), COLUMN()), IF(ISNA(_xlpm.VAL), "", IF(_xlpm.VAL=0, "", _xlpm.VAL)))</f>
        <v/>
      </c>
      <c r="H370" s="154" t="str" cm="1">
        <f t="array" aca="1" ref="H370" ca="1">_xlfn.LET(_xlpm.VAL, INDEX('Heat Sheet'!$A:$I, _xlfn.XMATCH(INDIRECT("A"&amp;ROW()),'Heat Sheet'!$A:$A), COLUMN()), IF(ISNA(_xlpm.VAL), "", IF(_xlpm.VAL=0, "", _xlpm.VAL)))</f>
        <v/>
      </c>
      <c r="I370" s="155" t="str" cm="1">
        <f t="array" aca="1" ref="I370" ca="1">_xlfn.LET(_xlpm.VAL, INDEX('Heat Sheet'!$A:$I, _xlfn.XMATCH(INDIRECT("A"&amp;ROW()),'Heat Sheet'!$A:$A), COLUMN()), IF(ISNA(_xlpm.VAL), "", IF(_xlpm.VAL=0, "", _xlpm.VAL)))</f>
        <v/>
      </c>
    </row>
    <row r="371" spans="1:9" ht="15.75" customHeight="1" x14ac:dyDescent="0.2">
      <c r="A371" s="201"/>
      <c r="B371" s="202"/>
      <c r="C371" s="129" t="str" cm="1">
        <f t="array" aca="1" ref="C371" ca="1">_xlfn.LET(_xlpm.VAL, INDEX('Heat Sheet'!$A:$I, _xlfn.XMATCH(INDIRECT("A"&amp;ROW()-1),'Heat Sheet'!$A:$A)+1, COLUMN()), IF(ISNA(_xlpm.VAL), "", IF(_xlpm.VAL=0, "", _xlpm.VAL)))</f>
        <v/>
      </c>
      <c r="D371" s="154" t="str" cm="1">
        <f t="array" aca="1" ref="D371" ca="1">_xlfn.LET(_xlpm.VAL, INDEX('Heat Sheet'!$A:$I, _xlfn.XMATCH(INDIRECT("A"&amp;ROW()-1),'Heat Sheet'!$A:$A)+1, COLUMN()), IF(ISNA(_xlpm.VAL), "", IF(_xlpm.VAL=0, "", _xlpm.VAL)))</f>
        <v/>
      </c>
      <c r="E371" s="154" t="str" cm="1">
        <f t="array" aca="1" ref="E371" ca="1">_xlfn.LET(_xlpm.VAL, INDEX('Heat Sheet'!$A:$I, _xlfn.XMATCH(INDIRECT("A"&amp;ROW()-1),'Heat Sheet'!$A:$A)+1, COLUMN()), IF(ISNA(_xlpm.VAL), "", IF(_xlpm.VAL=0, "", _xlpm.VAL)))</f>
        <v/>
      </c>
      <c r="F371" s="154" t="str" cm="1">
        <f t="array" aca="1" ref="F371" ca="1">_xlfn.LET(_xlpm.VAL, INDEX('Heat Sheet'!$A:$I, _xlfn.XMATCH(INDIRECT("A"&amp;ROW()-1),'Heat Sheet'!$A:$A)+1, COLUMN()), IF(ISNA(_xlpm.VAL), "", IF(_xlpm.VAL=0, "", _xlpm.VAL)))</f>
        <v/>
      </c>
      <c r="G371" s="154" t="str" cm="1">
        <f t="array" aca="1" ref="G371" ca="1">_xlfn.LET(_xlpm.VAL, INDEX('Heat Sheet'!$A:$I, _xlfn.XMATCH(INDIRECT("A"&amp;ROW()-1),'Heat Sheet'!$A:$A)+1, COLUMN()), IF(ISNA(_xlpm.VAL), "", IF(_xlpm.VAL=0, "", _xlpm.VAL)))</f>
        <v/>
      </c>
      <c r="H371" s="154" t="str" cm="1">
        <f t="array" aca="1" ref="H371" ca="1">_xlfn.LET(_xlpm.VAL, INDEX('Heat Sheet'!$A:$I, _xlfn.XMATCH(INDIRECT("A"&amp;ROW()-1),'Heat Sheet'!$A:$A)+1, COLUMN()), IF(ISNA(_xlpm.VAL), "", IF(_xlpm.VAL=0, "", _xlpm.VAL)))</f>
        <v/>
      </c>
      <c r="I371" s="155" t="str" cm="1">
        <f t="array" aca="1" ref="I371" ca="1">_xlfn.LET(_xlpm.VAL, INDEX('Heat Sheet'!$A:$I, _xlfn.XMATCH(INDIRECT("A"&amp;ROW()-1),'Heat Sheet'!$A:$A)+1, COLUMN()), IF(ISNA(_xlpm.VAL), "", IF(_xlpm.VAL=0, "", _xlpm.VAL)))</f>
        <v/>
      </c>
    </row>
    <row r="372" spans="1:9" ht="15.75" customHeight="1" x14ac:dyDescent="0.2">
      <c r="A372" s="201"/>
      <c r="B372" s="202"/>
      <c r="C372" s="122" t="s">
        <v>22</v>
      </c>
      <c r="D372" s="124"/>
      <c r="E372" s="124"/>
      <c r="F372" s="124"/>
      <c r="G372" s="124"/>
      <c r="H372" s="124"/>
      <c r="I372" s="126"/>
    </row>
    <row r="373" spans="1:9" ht="15.75" customHeight="1" x14ac:dyDescent="0.2">
      <c r="A373" s="201"/>
      <c r="B373" s="202"/>
      <c r="C373" s="122" t="s">
        <v>23</v>
      </c>
      <c r="D373" s="158"/>
      <c r="E373" s="158"/>
      <c r="F373" s="158"/>
      <c r="G373" s="158"/>
      <c r="H373" s="158"/>
      <c r="I373" s="159"/>
    </row>
    <row r="374" spans="1:9" ht="15.75" customHeight="1" x14ac:dyDescent="0.2">
      <c r="A374" s="201"/>
      <c r="B374" s="202"/>
      <c r="C374" s="26" t="s">
        <v>14</v>
      </c>
      <c r="D374" s="160"/>
      <c r="E374" s="160"/>
      <c r="F374" s="160"/>
      <c r="G374" s="160"/>
      <c r="H374" s="160"/>
      <c r="I374" s="161"/>
    </row>
    <row r="375" spans="1:9" ht="15.75" customHeight="1" x14ac:dyDescent="0.2">
      <c r="A375" s="201">
        <v>75</v>
      </c>
      <c r="B375" s="202" t="str">
        <f>IFERROR(VLOOKUP(A375,'Heat Sheet'!$A:$I, 2, FALSE), "")</f>
        <v/>
      </c>
      <c r="C375" s="129" t="str" cm="1">
        <f t="array" aca="1" ref="C375" ca="1">_xlfn.LET(_xlpm.VAL, INDEX('Heat Sheet'!$A:$I, _xlfn.XMATCH(INDIRECT("A"&amp;ROW()),'Heat Sheet'!$A:$A), COLUMN()), IF(ISNA(_xlpm.VAL), "", IF(_xlpm.VAL=0, "", _xlpm.VAL)))</f>
        <v/>
      </c>
      <c r="D375" s="154" t="str" cm="1">
        <f t="array" aca="1" ref="D375" ca="1">_xlfn.LET(_xlpm.VAL, INDEX('Heat Sheet'!$A:$I, _xlfn.XMATCH(INDIRECT("A"&amp;ROW()),'Heat Sheet'!$A:$A), COLUMN()), IF(ISNA(_xlpm.VAL), "", IF(_xlpm.VAL=0, "", _xlpm.VAL)))</f>
        <v/>
      </c>
      <c r="E375" s="154" t="str" cm="1">
        <f t="array" aca="1" ref="E375" ca="1">_xlfn.LET(_xlpm.VAL, INDEX('Heat Sheet'!$A:$I, _xlfn.XMATCH(INDIRECT("A"&amp;ROW()),'Heat Sheet'!$A:$A), COLUMN()), IF(ISNA(_xlpm.VAL), "", IF(_xlpm.VAL=0, "", _xlpm.VAL)))</f>
        <v/>
      </c>
      <c r="F375" s="154" t="str" cm="1">
        <f t="array" aca="1" ref="F375" ca="1">_xlfn.LET(_xlpm.VAL, INDEX('Heat Sheet'!$A:$I, _xlfn.XMATCH(INDIRECT("A"&amp;ROW()),'Heat Sheet'!$A:$A), COLUMN()), IF(ISNA(_xlpm.VAL), "", IF(_xlpm.VAL=0, "", _xlpm.VAL)))</f>
        <v/>
      </c>
      <c r="G375" s="154" t="str" cm="1">
        <f t="array" aca="1" ref="G375" ca="1">_xlfn.LET(_xlpm.VAL, INDEX('Heat Sheet'!$A:$I, _xlfn.XMATCH(INDIRECT("A"&amp;ROW()),'Heat Sheet'!$A:$A), COLUMN()), IF(ISNA(_xlpm.VAL), "", IF(_xlpm.VAL=0, "", _xlpm.VAL)))</f>
        <v/>
      </c>
      <c r="H375" s="154" t="str" cm="1">
        <f t="array" aca="1" ref="H375" ca="1">_xlfn.LET(_xlpm.VAL, INDEX('Heat Sheet'!$A:$I, _xlfn.XMATCH(INDIRECT("A"&amp;ROW()),'Heat Sheet'!$A:$A), COLUMN()), IF(ISNA(_xlpm.VAL), "", IF(_xlpm.VAL=0, "", _xlpm.VAL)))</f>
        <v/>
      </c>
      <c r="I375" s="155" t="str" cm="1">
        <f t="array" aca="1" ref="I375" ca="1">_xlfn.LET(_xlpm.VAL, INDEX('Heat Sheet'!$A:$I, _xlfn.XMATCH(INDIRECT("A"&amp;ROW()),'Heat Sheet'!$A:$A), COLUMN()), IF(ISNA(_xlpm.VAL), "", IF(_xlpm.VAL=0, "", _xlpm.VAL)))</f>
        <v/>
      </c>
    </row>
    <row r="376" spans="1:9" ht="15.75" customHeight="1" x14ac:dyDescent="0.2">
      <c r="A376" s="201"/>
      <c r="B376" s="202"/>
      <c r="C376" s="129" t="str" cm="1">
        <f t="array" aca="1" ref="C376" ca="1">_xlfn.LET(_xlpm.VAL, INDEX('Heat Sheet'!$A:$I, _xlfn.XMATCH(INDIRECT("A"&amp;ROW()-1),'Heat Sheet'!$A:$A)+1, COLUMN()), IF(ISNA(_xlpm.VAL), "", IF(_xlpm.VAL=0, "", _xlpm.VAL)))</f>
        <v/>
      </c>
      <c r="D376" s="154" t="str" cm="1">
        <f t="array" aca="1" ref="D376" ca="1">_xlfn.LET(_xlpm.VAL, INDEX('Heat Sheet'!$A:$I, _xlfn.XMATCH(INDIRECT("A"&amp;ROW()-1),'Heat Sheet'!$A:$A)+1, COLUMN()), IF(ISNA(_xlpm.VAL), "", IF(_xlpm.VAL=0, "", _xlpm.VAL)))</f>
        <v/>
      </c>
      <c r="E376" s="154" t="str" cm="1">
        <f t="array" aca="1" ref="E376" ca="1">_xlfn.LET(_xlpm.VAL, INDEX('Heat Sheet'!$A:$I, _xlfn.XMATCH(INDIRECT("A"&amp;ROW()-1),'Heat Sheet'!$A:$A)+1, COLUMN()), IF(ISNA(_xlpm.VAL), "", IF(_xlpm.VAL=0, "", _xlpm.VAL)))</f>
        <v/>
      </c>
      <c r="F376" s="154" t="str" cm="1">
        <f t="array" aca="1" ref="F376" ca="1">_xlfn.LET(_xlpm.VAL, INDEX('Heat Sheet'!$A:$I, _xlfn.XMATCH(INDIRECT("A"&amp;ROW()-1),'Heat Sheet'!$A:$A)+1, COLUMN()), IF(ISNA(_xlpm.VAL), "", IF(_xlpm.VAL=0, "", _xlpm.VAL)))</f>
        <v/>
      </c>
      <c r="G376" s="154" t="str" cm="1">
        <f t="array" aca="1" ref="G376" ca="1">_xlfn.LET(_xlpm.VAL, INDEX('Heat Sheet'!$A:$I, _xlfn.XMATCH(INDIRECT("A"&amp;ROW()-1),'Heat Sheet'!$A:$A)+1, COLUMN()), IF(ISNA(_xlpm.VAL), "", IF(_xlpm.VAL=0, "", _xlpm.VAL)))</f>
        <v/>
      </c>
      <c r="H376" s="154" t="str" cm="1">
        <f t="array" aca="1" ref="H376" ca="1">_xlfn.LET(_xlpm.VAL, INDEX('Heat Sheet'!$A:$I, _xlfn.XMATCH(INDIRECT("A"&amp;ROW()-1),'Heat Sheet'!$A:$A)+1, COLUMN()), IF(ISNA(_xlpm.VAL), "", IF(_xlpm.VAL=0, "", _xlpm.VAL)))</f>
        <v/>
      </c>
      <c r="I376" s="155" t="str" cm="1">
        <f t="array" aca="1" ref="I376" ca="1">_xlfn.LET(_xlpm.VAL, INDEX('Heat Sheet'!$A:$I, _xlfn.XMATCH(INDIRECT("A"&amp;ROW()-1),'Heat Sheet'!$A:$A)+1, COLUMN()), IF(ISNA(_xlpm.VAL), "", IF(_xlpm.VAL=0, "", _xlpm.VAL)))</f>
        <v/>
      </c>
    </row>
    <row r="377" spans="1:9" ht="15.75" customHeight="1" x14ac:dyDescent="0.2">
      <c r="A377" s="201"/>
      <c r="B377" s="202"/>
      <c r="C377" s="122" t="s">
        <v>22</v>
      </c>
      <c r="D377" s="124"/>
      <c r="E377" s="124"/>
      <c r="F377" s="124"/>
      <c r="G377" s="124"/>
      <c r="H377" s="124"/>
      <c r="I377" s="126"/>
    </row>
    <row r="378" spans="1:9" ht="15.75" customHeight="1" x14ac:dyDescent="0.2">
      <c r="A378" s="201"/>
      <c r="B378" s="202"/>
      <c r="C378" s="122" t="s">
        <v>23</v>
      </c>
      <c r="D378" s="158"/>
      <c r="E378" s="158"/>
      <c r="F378" s="158"/>
      <c r="G378" s="158"/>
      <c r="H378" s="158"/>
      <c r="I378" s="159"/>
    </row>
    <row r="379" spans="1:9" ht="15.75" customHeight="1" x14ac:dyDescent="0.2">
      <c r="A379" s="201"/>
      <c r="B379" s="202"/>
      <c r="C379" s="26" t="s">
        <v>14</v>
      </c>
      <c r="D379" s="160"/>
      <c r="E379" s="160"/>
      <c r="F379" s="160"/>
      <c r="G379" s="160"/>
      <c r="H379" s="160"/>
      <c r="I379" s="161"/>
    </row>
    <row r="380" spans="1:9" ht="15.75" customHeight="1" x14ac:dyDescent="0.2">
      <c r="A380" s="201">
        <v>76</v>
      </c>
      <c r="B380" s="202" t="str">
        <f>IFERROR(VLOOKUP(A380,'Heat Sheet'!$A:$I, 2, FALSE), "")</f>
        <v/>
      </c>
      <c r="C380" s="129" t="str" cm="1">
        <f t="array" aca="1" ref="C380" ca="1">_xlfn.LET(_xlpm.VAL, INDEX('Heat Sheet'!$A:$I, _xlfn.XMATCH(INDIRECT("A"&amp;ROW()),'Heat Sheet'!$A:$A), COLUMN()), IF(ISNA(_xlpm.VAL), "", IF(_xlpm.VAL=0, "", _xlpm.VAL)))</f>
        <v/>
      </c>
      <c r="D380" s="154" t="str" cm="1">
        <f t="array" aca="1" ref="D380" ca="1">_xlfn.LET(_xlpm.VAL, INDEX('Heat Sheet'!$A:$I, _xlfn.XMATCH(INDIRECT("A"&amp;ROW()),'Heat Sheet'!$A:$A), COLUMN()), IF(ISNA(_xlpm.VAL), "", IF(_xlpm.VAL=0, "", _xlpm.VAL)))</f>
        <v/>
      </c>
      <c r="E380" s="154" t="str" cm="1">
        <f t="array" aca="1" ref="E380" ca="1">_xlfn.LET(_xlpm.VAL, INDEX('Heat Sheet'!$A:$I, _xlfn.XMATCH(INDIRECT("A"&amp;ROW()),'Heat Sheet'!$A:$A), COLUMN()), IF(ISNA(_xlpm.VAL), "", IF(_xlpm.VAL=0, "", _xlpm.VAL)))</f>
        <v/>
      </c>
      <c r="F380" s="154" t="str" cm="1">
        <f t="array" aca="1" ref="F380" ca="1">_xlfn.LET(_xlpm.VAL, INDEX('Heat Sheet'!$A:$I, _xlfn.XMATCH(INDIRECT("A"&amp;ROW()),'Heat Sheet'!$A:$A), COLUMN()), IF(ISNA(_xlpm.VAL), "", IF(_xlpm.VAL=0, "", _xlpm.VAL)))</f>
        <v/>
      </c>
      <c r="G380" s="154" t="str" cm="1">
        <f t="array" aca="1" ref="G380" ca="1">_xlfn.LET(_xlpm.VAL, INDEX('Heat Sheet'!$A:$I, _xlfn.XMATCH(INDIRECT("A"&amp;ROW()),'Heat Sheet'!$A:$A), COLUMN()), IF(ISNA(_xlpm.VAL), "", IF(_xlpm.VAL=0, "", _xlpm.VAL)))</f>
        <v/>
      </c>
      <c r="H380" s="154" t="str" cm="1">
        <f t="array" aca="1" ref="H380" ca="1">_xlfn.LET(_xlpm.VAL, INDEX('Heat Sheet'!$A:$I, _xlfn.XMATCH(INDIRECT("A"&amp;ROW()),'Heat Sheet'!$A:$A), COLUMN()), IF(ISNA(_xlpm.VAL), "", IF(_xlpm.VAL=0, "", _xlpm.VAL)))</f>
        <v/>
      </c>
      <c r="I380" s="155" t="str" cm="1">
        <f t="array" aca="1" ref="I380" ca="1">_xlfn.LET(_xlpm.VAL, INDEX('Heat Sheet'!$A:$I, _xlfn.XMATCH(INDIRECT("A"&amp;ROW()),'Heat Sheet'!$A:$A), COLUMN()), IF(ISNA(_xlpm.VAL), "", IF(_xlpm.VAL=0, "", _xlpm.VAL)))</f>
        <v/>
      </c>
    </row>
    <row r="381" spans="1:9" ht="15.75" customHeight="1" x14ac:dyDescent="0.2">
      <c r="A381" s="201"/>
      <c r="B381" s="202"/>
      <c r="C381" s="129" t="str" cm="1">
        <f t="array" aca="1" ref="C381" ca="1">_xlfn.LET(_xlpm.VAL, INDEX('Heat Sheet'!$A:$I, _xlfn.XMATCH(INDIRECT("A"&amp;ROW()-1),'Heat Sheet'!$A:$A)+1, COLUMN()), IF(ISNA(_xlpm.VAL), "", IF(_xlpm.VAL=0, "", _xlpm.VAL)))</f>
        <v/>
      </c>
      <c r="D381" s="154" t="str" cm="1">
        <f t="array" aca="1" ref="D381" ca="1">_xlfn.LET(_xlpm.VAL, INDEX('Heat Sheet'!$A:$I, _xlfn.XMATCH(INDIRECT("A"&amp;ROW()-1),'Heat Sheet'!$A:$A)+1, COLUMN()), IF(ISNA(_xlpm.VAL), "", IF(_xlpm.VAL=0, "", _xlpm.VAL)))</f>
        <v/>
      </c>
      <c r="E381" s="154" t="str" cm="1">
        <f t="array" aca="1" ref="E381" ca="1">_xlfn.LET(_xlpm.VAL, INDEX('Heat Sheet'!$A:$I, _xlfn.XMATCH(INDIRECT("A"&amp;ROW()-1),'Heat Sheet'!$A:$A)+1, COLUMN()), IF(ISNA(_xlpm.VAL), "", IF(_xlpm.VAL=0, "", _xlpm.VAL)))</f>
        <v/>
      </c>
      <c r="F381" s="154" t="str" cm="1">
        <f t="array" aca="1" ref="F381" ca="1">_xlfn.LET(_xlpm.VAL, INDEX('Heat Sheet'!$A:$I, _xlfn.XMATCH(INDIRECT("A"&amp;ROW()-1),'Heat Sheet'!$A:$A)+1, COLUMN()), IF(ISNA(_xlpm.VAL), "", IF(_xlpm.VAL=0, "", _xlpm.VAL)))</f>
        <v/>
      </c>
      <c r="G381" s="154" t="str" cm="1">
        <f t="array" aca="1" ref="G381" ca="1">_xlfn.LET(_xlpm.VAL, INDEX('Heat Sheet'!$A:$I, _xlfn.XMATCH(INDIRECT("A"&amp;ROW()-1),'Heat Sheet'!$A:$A)+1, COLUMN()), IF(ISNA(_xlpm.VAL), "", IF(_xlpm.VAL=0, "", _xlpm.VAL)))</f>
        <v/>
      </c>
      <c r="H381" s="154" t="str" cm="1">
        <f t="array" aca="1" ref="H381" ca="1">_xlfn.LET(_xlpm.VAL, INDEX('Heat Sheet'!$A:$I, _xlfn.XMATCH(INDIRECT("A"&amp;ROW()-1),'Heat Sheet'!$A:$A)+1, COLUMN()), IF(ISNA(_xlpm.VAL), "", IF(_xlpm.VAL=0, "", _xlpm.VAL)))</f>
        <v/>
      </c>
      <c r="I381" s="155" t="str" cm="1">
        <f t="array" aca="1" ref="I381" ca="1">_xlfn.LET(_xlpm.VAL, INDEX('Heat Sheet'!$A:$I, _xlfn.XMATCH(INDIRECT("A"&amp;ROW()-1),'Heat Sheet'!$A:$A)+1, COLUMN()), IF(ISNA(_xlpm.VAL), "", IF(_xlpm.VAL=0, "", _xlpm.VAL)))</f>
        <v/>
      </c>
    </row>
    <row r="382" spans="1:9" ht="15.75" customHeight="1" x14ac:dyDescent="0.2">
      <c r="A382" s="201"/>
      <c r="B382" s="202"/>
      <c r="C382" s="122" t="s">
        <v>22</v>
      </c>
      <c r="D382" s="124"/>
      <c r="E382" s="124"/>
      <c r="F382" s="124"/>
      <c r="G382" s="124"/>
      <c r="H382" s="124"/>
      <c r="I382" s="126"/>
    </row>
    <row r="383" spans="1:9" ht="15.75" customHeight="1" x14ac:dyDescent="0.2">
      <c r="A383" s="201"/>
      <c r="B383" s="202"/>
      <c r="C383" s="122" t="s">
        <v>23</v>
      </c>
      <c r="D383" s="158"/>
      <c r="E383" s="158"/>
      <c r="F383" s="158"/>
      <c r="G383" s="158"/>
      <c r="H383" s="158"/>
      <c r="I383" s="159"/>
    </row>
    <row r="384" spans="1:9" ht="15.75" customHeight="1" x14ac:dyDescent="0.2">
      <c r="A384" s="201"/>
      <c r="B384" s="202"/>
      <c r="C384" s="26" t="s">
        <v>14</v>
      </c>
      <c r="D384" s="160"/>
      <c r="E384" s="160"/>
      <c r="F384" s="160"/>
      <c r="G384" s="160"/>
      <c r="H384" s="160"/>
      <c r="I384" s="161"/>
    </row>
    <row r="385" spans="1:9" ht="15.75" customHeight="1" x14ac:dyDescent="0.2">
      <c r="A385" s="201">
        <v>77</v>
      </c>
      <c r="B385" s="202" t="str">
        <f>IFERROR(VLOOKUP(A385,'Heat Sheet'!$A:$I, 2, FALSE), "")</f>
        <v/>
      </c>
      <c r="C385" s="129" t="str" cm="1">
        <f t="array" aca="1" ref="C385" ca="1">_xlfn.LET(_xlpm.VAL, INDEX('Heat Sheet'!$A:$I, _xlfn.XMATCH(INDIRECT("A"&amp;ROW()),'Heat Sheet'!$A:$A), COLUMN()), IF(ISNA(_xlpm.VAL), "", IF(_xlpm.VAL=0, "", _xlpm.VAL)))</f>
        <v/>
      </c>
      <c r="D385" s="154" t="str" cm="1">
        <f t="array" aca="1" ref="D385" ca="1">_xlfn.LET(_xlpm.VAL, INDEX('Heat Sheet'!$A:$I, _xlfn.XMATCH(INDIRECT("A"&amp;ROW()),'Heat Sheet'!$A:$A), COLUMN()), IF(ISNA(_xlpm.VAL), "", IF(_xlpm.VAL=0, "", _xlpm.VAL)))</f>
        <v/>
      </c>
      <c r="E385" s="154" t="str" cm="1">
        <f t="array" aca="1" ref="E385" ca="1">_xlfn.LET(_xlpm.VAL, INDEX('Heat Sheet'!$A:$I, _xlfn.XMATCH(INDIRECT("A"&amp;ROW()),'Heat Sheet'!$A:$A), COLUMN()), IF(ISNA(_xlpm.VAL), "", IF(_xlpm.VAL=0, "", _xlpm.VAL)))</f>
        <v/>
      </c>
      <c r="F385" s="154" t="str" cm="1">
        <f t="array" aca="1" ref="F385" ca="1">_xlfn.LET(_xlpm.VAL, INDEX('Heat Sheet'!$A:$I, _xlfn.XMATCH(INDIRECT("A"&amp;ROW()),'Heat Sheet'!$A:$A), COLUMN()), IF(ISNA(_xlpm.VAL), "", IF(_xlpm.VAL=0, "", _xlpm.VAL)))</f>
        <v/>
      </c>
      <c r="G385" s="154" t="str" cm="1">
        <f t="array" aca="1" ref="G385" ca="1">_xlfn.LET(_xlpm.VAL, INDEX('Heat Sheet'!$A:$I, _xlfn.XMATCH(INDIRECT("A"&amp;ROW()),'Heat Sheet'!$A:$A), COLUMN()), IF(ISNA(_xlpm.VAL), "", IF(_xlpm.VAL=0, "", _xlpm.VAL)))</f>
        <v/>
      </c>
      <c r="H385" s="154" t="str" cm="1">
        <f t="array" aca="1" ref="H385" ca="1">_xlfn.LET(_xlpm.VAL, INDEX('Heat Sheet'!$A:$I, _xlfn.XMATCH(INDIRECT("A"&amp;ROW()),'Heat Sheet'!$A:$A), COLUMN()), IF(ISNA(_xlpm.VAL), "", IF(_xlpm.VAL=0, "", _xlpm.VAL)))</f>
        <v/>
      </c>
      <c r="I385" s="155" t="str" cm="1">
        <f t="array" aca="1" ref="I385" ca="1">_xlfn.LET(_xlpm.VAL, INDEX('Heat Sheet'!$A:$I, _xlfn.XMATCH(INDIRECT("A"&amp;ROW()),'Heat Sheet'!$A:$A), COLUMN()), IF(ISNA(_xlpm.VAL), "", IF(_xlpm.VAL=0, "", _xlpm.VAL)))</f>
        <v/>
      </c>
    </row>
    <row r="386" spans="1:9" ht="15.75" customHeight="1" x14ac:dyDescent="0.2">
      <c r="A386" s="201"/>
      <c r="B386" s="202"/>
      <c r="C386" s="129" t="str" cm="1">
        <f t="array" aca="1" ref="C386" ca="1">_xlfn.LET(_xlpm.VAL, INDEX('Heat Sheet'!$A:$I, _xlfn.XMATCH(INDIRECT("A"&amp;ROW()-1),'Heat Sheet'!$A:$A)+1, COLUMN()), IF(ISNA(_xlpm.VAL), "", IF(_xlpm.VAL=0, "", _xlpm.VAL)))</f>
        <v/>
      </c>
      <c r="D386" s="154" t="str" cm="1">
        <f t="array" aca="1" ref="D386" ca="1">_xlfn.LET(_xlpm.VAL, INDEX('Heat Sheet'!$A:$I, _xlfn.XMATCH(INDIRECT("A"&amp;ROW()-1),'Heat Sheet'!$A:$A)+1, COLUMN()), IF(ISNA(_xlpm.VAL), "", IF(_xlpm.VAL=0, "", _xlpm.VAL)))</f>
        <v/>
      </c>
      <c r="E386" s="154" t="str" cm="1">
        <f t="array" aca="1" ref="E386" ca="1">_xlfn.LET(_xlpm.VAL, INDEX('Heat Sheet'!$A:$I, _xlfn.XMATCH(INDIRECT("A"&amp;ROW()-1),'Heat Sheet'!$A:$A)+1, COLUMN()), IF(ISNA(_xlpm.VAL), "", IF(_xlpm.VAL=0, "", _xlpm.VAL)))</f>
        <v/>
      </c>
      <c r="F386" s="154" t="str" cm="1">
        <f t="array" aca="1" ref="F386" ca="1">_xlfn.LET(_xlpm.VAL, INDEX('Heat Sheet'!$A:$I, _xlfn.XMATCH(INDIRECT("A"&amp;ROW()-1),'Heat Sheet'!$A:$A)+1, COLUMN()), IF(ISNA(_xlpm.VAL), "", IF(_xlpm.VAL=0, "", _xlpm.VAL)))</f>
        <v/>
      </c>
      <c r="G386" s="154" t="str" cm="1">
        <f t="array" aca="1" ref="G386" ca="1">_xlfn.LET(_xlpm.VAL, INDEX('Heat Sheet'!$A:$I, _xlfn.XMATCH(INDIRECT("A"&amp;ROW()-1),'Heat Sheet'!$A:$A)+1, COLUMN()), IF(ISNA(_xlpm.VAL), "", IF(_xlpm.VAL=0, "", _xlpm.VAL)))</f>
        <v/>
      </c>
      <c r="H386" s="154" t="str" cm="1">
        <f t="array" aca="1" ref="H386" ca="1">_xlfn.LET(_xlpm.VAL, INDEX('Heat Sheet'!$A:$I, _xlfn.XMATCH(INDIRECT("A"&amp;ROW()-1),'Heat Sheet'!$A:$A)+1, COLUMN()), IF(ISNA(_xlpm.VAL), "", IF(_xlpm.VAL=0, "", _xlpm.VAL)))</f>
        <v/>
      </c>
      <c r="I386" s="155" t="str" cm="1">
        <f t="array" aca="1" ref="I386" ca="1">_xlfn.LET(_xlpm.VAL, INDEX('Heat Sheet'!$A:$I, _xlfn.XMATCH(INDIRECT("A"&amp;ROW()-1),'Heat Sheet'!$A:$A)+1, COLUMN()), IF(ISNA(_xlpm.VAL), "", IF(_xlpm.VAL=0, "", _xlpm.VAL)))</f>
        <v/>
      </c>
    </row>
    <row r="387" spans="1:9" ht="15.75" customHeight="1" x14ac:dyDescent="0.2">
      <c r="A387" s="201"/>
      <c r="B387" s="202"/>
      <c r="C387" s="122" t="s">
        <v>22</v>
      </c>
      <c r="D387" s="124"/>
      <c r="E387" s="124"/>
      <c r="F387" s="124"/>
      <c r="G387" s="124"/>
      <c r="H387" s="124"/>
      <c r="I387" s="126"/>
    </row>
    <row r="388" spans="1:9" ht="15.75" customHeight="1" x14ac:dyDescent="0.2">
      <c r="A388" s="201"/>
      <c r="B388" s="202"/>
      <c r="C388" s="122" t="s">
        <v>23</v>
      </c>
      <c r="D388" s="158"/>
      <c r="E388" s="158"/>
      <c r="F388" s="158"/>
      <c r="G388" s="158"/>
      <c r="H388" s="158"/>
      <c r="I388" s="159"/>
    </row>
    <row r="389" spans="1:9" ht="15.75" customHeight="1" x14ac:dyDescent="0.2">
      <c r="A389" s="201"/>
      <c r="B389" s="202"/>
      <c r="C389" s="26" t="s">
        <v>14</v>
      </c>
      <c r="D389" s="160"/>
      <c r="E389" s="160"/>
      <c r="F389" s="160"/>
      <c r="G389" s="160"/>
      <c r="H389" s="160"/>
      <c r="I389" s="161"/>
    </row>
    <row r="390" spans="1:9" ht="15.75" customHeight="1" x14ac:dyDescent="0.2">
      <c r="A390" s="201">
        <v>78</v>
      </c>
      <c r="B390" s="202" t="str">
        <f>IFERROR(VLOOKUP(A390,'Heat Sheet'!$A:$I, 2, FALSE), "")</f>
        <v/>
      </c>
      <c r="C390" s="129" t="str" cm="1">
        <f t="array" aca="1" ref="C390" ca="1">_xlfn.LET(_xlpm.VAL, INDEX('Heat Sheet'!$A:$I, _xlfn.XMATCH(INDIRECT("A"&amp;ROW()),'Heat Sheet'!$A:$A), COLUMN()), IF(ISNA(_xlpm.VAL), "", IF(_xlpm.VAL=0, "", _xlpm.VAL)))</f>
        <v/>
      </c>
      <c r="D390" s="154" t="str" cm="1">
        <f t="array" aca="1" ref="D390" ca="1">_xlfn.LET(_xlpm.VAL, INDEX('Heat Sheet'!$A:$I, _xlfn.XMATCH(INDIRECT("A"&amp;ROW()),'Heat Sheet'!$A:$A), COLUMN()), IF(ISNA(_xlpm.VAL), "", IF(_xlpm.VAL=0, "", _xlpm.VAL)))</f>
        <v/>
      </c>
      <c r="E390" s="154" t="str" cm="1">
        <f t="array" aca="1" ref="E390" ca="1">_xlfn.LET(_xlpm.VAL, INDEX('Heat Sheet'!$A:$I, _xlfn.XMATCH(INDIRECT("A"&amp;ROW()),'Heat Sheet'!$A:$A), COLUMN()), IF(ISNA(_xlpm.VAL), "", IF(_xlpm.VAL=0, "", _xlpm.VAL)))</f>
        <v/>
      </c>
      <c r="F390" s="154" t="str" cm="1">
        <f t="array" aca="1" ref="F390" ca="1">_xlfn.LET(_xlpm.VAL, INDEX('Heat Sheet'!$A:$I, _xlfn.XMATCH(INDIRECT("A"&amp;ROW()),'Heat Sheet'!$A:$A), COLUMN()), IF(ISNA(_xlpm.VAL), "", IF(_xlpm.VAL=0, "", _xlpm.VAL)))</f>
        <v/>
      </c>
      <c r="G390" s="154" t="str" cm="1">
        <f t="array" aca="1" ref="G390" ca="1">_xlfn.LET(_xlpm.VAL, INDEX('Heat Sheet'!$A:$I, _xlfn.XMATCH(INDIRECT("A"&amp;ROW()),'Heat Sheet'!$A:$A), COLUMN()), IF(ISNA(_xlpm.VAL), "", IF(_xlpm.VAL=0, "", _xlpm.VAL)))</f>
        <v/>
      </c>
      <c r="H390" s="154" t="str" cm="1">
        <f t="array" aca="1" ref="H390" ca="1">_xlfn.LET(_xlpm.VAL, INDEX('Heat Sheet'!$A:$I, _xlfn.XMATCH(INDIRECT("A"&amp;ROW()),'Heat Sheet'!$A:$A), COLUMN()), IF(ISNA(_xlpm.VAL), "", IF(_xlpm.VAL=0, "", _xlpm.VAL)))</f>
        <v/>
      </c>
      <c r="I390" s="155" t="str" cm="1">
        <f t="array" aca="1" ref="I390" ca="1">_xlfn.LET(_xlpm.VAL, INDEX('Heat Sheet'!$A:$I, _xlfn.XMATCH(INDIRECT("A"&amp;ROW()),'Heat Sheet'!$A:$A), COLUMN()), IF(ISNA(_xlpm.VAL), "", IF(_xlpm.VAL=0, "", _xlpm.VAL)))</f>
        <v/>
      </c>
    </row>
    <row r="391" spans="1:9" ht="15.75" customHeight="1" x14ac:dyDescent="0.2">
      <c r="A391" s="201"/>
      <c r="B391" s="202"/>
      <c r="C391" s="129" t="str" cm="1">
        <f t="array" aca="1" ref="C391" ca="1">_xlfn.LET(_xlpm.VAL, INDEX('Heat Sheet'!$A:$I, _xlfn.XMATCH(INDIRECT("A"&amp;ROW()-1),'Heat Sheet'!$A:$A)+1, COLUMN()), IF(ISNA(_xlpm.VAL), "", IF(_xlpm.VAL=0, "", _xlpm.VAL)))</f>
        <v/>
      </c>
      <c r="D391" s="154" t="str" cm="1">
        <f t="array" aca="1" ref="D391" ca="1">_xlfn.LET(_xlpm.VAL, INDEX('Heat Sheet'!$A:$I, _xlfn.XMATCH(INDIRECT("A"&amp;ROW()-1),'Heat Sheet'!$A:$A)+1, COLUMN()), IF(ISNA(_xlpm.VAL), "", IF(_xlpm.VAL=0, "", _xlpm.VAL)))</f>
        <v/>
      </c>
      <c r="E391" s="154" t="str" cm="1">
        <f t="array" aca="1" ref="E391" ca="1">_xlfn.LET(_xlpm.VAL, INDEX('Heat Sheet'!$A:$I, _xlfn.XMATCH(INDIRECT("A"&amp;ROW()-1),'Heat Sheet'!$A:$A)+1, COLUMN()), IF(ISNA(_xlpm.VAL), "", IF(_xlpm.VAL=0, "", _xlpm.VAL)))</f>
        <v/>
      </c>
      <c r="F391" s="154" t="str" cm="1">
        <f t="array" aca="1" ref="F391" ca="1">_xlfn.LET(_xlpm.VAL, INDEX('Heat Sheet'!$A:$I, _xlfn.XMATCH(INDIRECT("A"&amp;ROW()-1),'Heat Sheet'!$A:$A)+1, COLUMN()), IF(ISNA(_xlpm.VAL), "", IF(_xlpm.VAL=0, "", _xlpm.VAL)))</f>
        <v/>
      </c>
      <c r="G391" s="154" t="str" cm="1">
        <f t="array" aca="1" ref="G391" ca="1">_xlfn.LET(_xlpm.VAL, INDEX('Heat Sheet'!$A:$I, _xlfn.XMATCH(INDIRECT("A"&amp;ROW()-1),'Heat Sheet'!$A:$A)+1, COLUMN()), IF(ISNA(_xlpm.VAL), "", IF(_xlpm.VAL=0, "", _xlpm.VAL)))</f>
        <v/>
      </c>
      <c r="H391" s="154" t="str" cm="1">
        <f t="array" aca="1" ref="H391" ca="1">_xlfn.LET(_xlpm.VAL, INDEX('Heat Sheet'!$A:$I, _xlfn.XMATCH(INDIRECT("A"&amp;ROW()-1),'Heat Sheet'!$A:$A)+1, COLUMN()), IF(ISNA(_xlpm.VAL), "", IF(_xlpm.VAL=0, "", _xlpm.VAL)))</f>
        <v/>
      </c>
      <c r="I391" s="155" t="str" cm="1">
        <f t="array" aca="1" ref="I391" ca="1">_xlfn.LET(_xlpm.VAL, INDEX('Heat Sheet'!$A:$I, _xlfn.XMATCH(INDIRECT("A"&amp;ROW()-1),'Heat Sheet'!$A:$A)+1, COLUMN()), IF(ISNA(_xlpm.VAL), "", IF(_xlpm.VAL=0, "", _xlpm.VAL)))</f>
        <v/>
      </c>
    </row>
    <row r="392" spans="1:9" ht="15.75" customHeight="1" x14ac:dyDescent="0.2">
      <c r="A392" s="201"/>
      <c r="B392" s="202"/>
      <c r="C392" s="122" t="s">
        <v>22</v>
      </c>
      <c r="D392" s="124"/>
      <c r="E392" s="124"/>
      <c r="F392" s="124"/>
      <c r="G392" s="124"/>
      <c r="H392" s="124"/>
      <c r="I392" s="126"/>
    </row>
    <row r="393" spans="1:9" ht="15.75" customHeight="1" x14ac:dyDescent="0.2">
      <c r="A393" s="201"/>
      <c r="B393" s="202"/>
      <c r="C393" s="122" t="s">
        <v>23</v>
      </c>
      <c r="D393" s="158"/>
      <c r="E393" s="158"/>
      <c r="F393" s="158"/>
      <c r="G393" s="158"/>
      <c r="H393" s="158"/>
      <c r="I393" s="159"/>
    </row>
    <row r="394" spans="1:9" ht="15.75" customHeight="1" x14ac:dyDescent="0.2">
      <c r="A394" s="201"/>
      <c r="B394" s="202"/>
      <c r="C394" s="26" t="s">
        <v>14</v>
      </c>
      <c r="D394" s="160"/>
      <c r="E394" s="160"/>
      <c r="F394" s="160"/>
      <c r="G394" s="160"/>
      <c r="H394" s="160"/>
      <c r="I394" s="161"/>
    </row>
    <row r="395" spans="1:9" ht="15.75" customHeight="1" x14ac:dyDescent="0.2">
      <c r="A395" s="201">
        <v>79</v>
      </c>
      <c r="B395" s="202" t="str">
        <f>IFERROR(VLOOKUP(A395,'Heat Sheet'!$A:$I, 2, FALSE), "")</f>
        <v/>
      </c>
      <c r="C395" s="129" t="str" cm="1">
        <f t="array" aca="1" ref="C395" ca="1">_xlfn.LET(_xlpm.VAL, INDEX('Heat Sheet'!$A:$I, _xlfn.XMATCH(INDIRECT("A"&amp;ROW()),'Heat Sheet'!$A:$A), COLUMN()), IF(ISNA(_xlpm.VAL), "", IF(_xlpm.VAL=0, "", _xlpm.VAL)))</f>
        <v/>
      </c>
      <c r="D395" s="154" t="str" cm="1">
        <f t="array" aca="1" ref="D395" ca="1">_xlfn.LET(_xlpm.VAL, INDEX('Heat Sheet'!$A:$I, _xlfn.XMATCH(INDIRECT("A"&amp;ROW()),'Heat Sheet'!$A:$A), COLUMN()), IF(ISNA(_xlpm.VAL), "", IF(_xlpm.VAL=0, "", _xlpm.VAL)))</f>
        <v/>
      </c>
      <c r="E395" s="154" t="str" cm="1">
        <f t="array" aca="1" ref="E395" ca="1">_xlfn.LET(_xlpm.VAL, INDEX('Heat Sheet'!$A:$I, _xlfn.XMATCH(INDIRECT("A"&amp;ROW()),'Heat Sheet'!$A:$A), COLUMN()), IF(ISNA(_xlpm.VAL), "", IF(_xlpm.VAL=0, "", _xlpm.VAL)))</f>
        <v/>
      </c>
      <c r="F395" s="154" t="str" cm="1">
        <f t="array" aca="1" ref="F395" ca="1">_xlfn.LET(_xlpm.VAL, INDEX('Heat Sheet'!$A:$I, _xlfn.XMATCH(INDIRECT("A"&amp;ROW()),'Heat Sheet'!$A:$A), COLUMN()), IF(ISNA(_xlpm.VAL), "", IF(_xlpm.VAL=0, "", _xlpm.VAL)))</f>
        <v/>
      </c>
      <c r="G395" s="154" t="str" cm="1">
        <f t="array" aca="1" ref="G395" ca="1">_xlfn.LET(_xlpm.VAL, INDEX('Heat Sheet'!$A:$I, _xlfn.XMATCH(INDIRECT("A"&amp;ROW()),'Heat Sheet'!$A:$A), COLUMN()), IF(ISNA(_xlpm.VAL), "", IF(_xlpm.VAL=0, "", _xlpm.VAL)))</f>
        <v/>
      </c>
      <c r="H395" s="154" t="str" cm="1">
        <f t="array" aca="1" ref="H395" ca="1">_xlfn.LET(_xlpm.VAL, INDEX('Heat Sheet'!$A:$I, _xlfn.XMATCH(INDIRECT("A"&amp;ROW()),'Heat Sheet'!$A:$A), COLUMN()), IF(ISNA(_xlpm.VAL), "", IF(_xlpm.VAL=0, "", _xlpm.VAL)))</f>
        <v/>
      </c>
      <c r="I395" s="155" t="str" cm="1">
        <f t="array" aca="1" ref="I395" ca="1">_xlfn.LET(_xlpm.VAL, INDEX('Heat Sheet'!$A:$I, _xlfn.XMATCH(INDIRECT("A"&amp;ROW()),'Heat Sheet'!$A:$A), COLUMN()), IF(ISNA(_xlpm.VAL), "", IF(_xlpm.VAL=0, "", _xlpm.VAL)))</f>
        <v/>
      </c>
    </row>
    <row r="396" spans="1:9" ht="15.75" customHeight="1" x14ac:dyDescent="0.2">
      <c r="A396" s="201"/>
      <c r="B396" s="202"/>
      <c r="C396" s="129" t="str" cm="1">
        <f t="array" aca="1" ref="C396" ca="1">_xlfn.LET(_xlpm.VAL, INDEX('Heat Sheet'!$A:$I, _xlfn.XMATCH(INDIRECT("A"&amp;ROW()-1),'Heat Sheet'!$A:$A)+1, COLUMN()), IF(ISNA(_xlpm.VAL), "", IF(_xlpm.VAL=0, "", _xlpm.VAL)))</f>
        <v/>
      </c>
      <c r="D396" s="154" t="str" cm="1">
        <f t="array" aca="1" ref="D396" ca="1">_xlfn.LET(_xlpm.VAL, INDEX('Heat Sheet'!$A:$I, _xlfn.XMATCH(INDIRECT("A"&amp;ROW()-1),'Heat Sheet'!$A:$A)+1, COLUMN()), IF(ISNA(_xlpm.VAL), "", IF(_xlpm.VAL=0, "", _xlpm.VAL)))</f>
        <v/>
      </c>
      <c r="E396" s="154" t="str" cm="1">
        <f t="array" aca="1" ref="E396" ca="1">_xlfn.LET(_xlpm.VAL, INDEX('Heat Sheet'!$A:$I, _xlfn.XMATCH(INDIRECT("A"&amp;ROW()-1),'Heat Sheet'!$A:$A)+1, COLUMN()), IF(ISNA(_xlpm.VAL), "", IF(_xlpm.VAL=0, "", _xlpm.VAL)))</f>
        <v/>
      </c>
      <c r="F396" s="154" t="str" cm="1">
        <f t="array" aca="1" ref="F396" ca="1">_xlfn.LET(_xlpm.VAL, INDEX('Heat Sheet'!$A:$I, _xlfn.XMATCH(INDIRECT("A"&amp;ROW()-1),'Heat Sheet'!$A:$A)+1, COLUMN()), IF(ISNA(_xlpm.VAL), "", IF(_xlpm.VAL=0, "", _xlpm.VAL)))</f>
        <v/>
      </c>
      <c r="G396" s="154" t="str" cm="1">
        <f t="array" aca="1" ref="G396" ca="1">_xlfn.LET(_xlpm.VAL, INDEX('Heat Sheet'!$A:$I, _xlfn.XMATCH(INDIRECT("A"&amp;ROW()-1),'Heat Sheet'!$A:$A)+1, COLUMN()), IF(ISNA(_xlpm.VAL), "", IF(_xlpm.VAL=0, "", _xlpm.VAL)))</f>
        <v/>
      </c>
      <c r="H396" s="154" t="str" cm="1">
        <f t="array" aca="1" ref="H396" ca="1">_xlfn.LET(_xlpm.VAL, INDEX('Heat Sheet'!$A:$I, _xlfn.XMATCH(INDIRECT("A"&amp;ROW()-1),'Heat Sheet'!$A:$A)+1, COLUMN()), IF(ISNA(_xlpm.VAL), "", IF(_xlpm.VAL=0, "", _xlpm.VAL)))</f>
        <v/>
      </c>
      <c r="I396" s="155" t="str" cm="1">
        <f t="array" aca="1" ref="I396" ca="1">_xlfn.LET(_xlpm.VAL, INDEX('Heat Sheet'!$A:$I, _xlfn.XMATCH(INDIRECT("A"&amp;ROW()-1),'Heat Sheet'!$A:$A)+1, COLUMN()), IF(ISNA(_xlpm.VAL), "", IF(_xlpm.VAL=0, "", _xlpm.VAL)))</f>
        <v/>
      </c>
    </row>
    <row r="397" spans="1:9" ht="15.75" customHeight="1" x14ac:dyDescent="0.2">
      <c r="A397" s="201"/>
      <c r="B397" s="202"/>
      <c r="C397" s="122" t="s">
        <v>22</v>
      </c>
      <c r="D397" s="124"/>
      <c r="E397" s="124"/>
      <c r="F397" s="124"/>
      <c r="G397" s="124"/>
      <c r="H397" s="124"/>
      <c r="I397" s="126"/>
    </row>
    <row r="398" spans="1:9" ht="15.75" customHeight="1" x14ac:dyDescent="0.2">
      <c r="A398" s="201"/>
      <c r="B398" s="202"/>
      <c r="C398" s="122" t="s">
        <v>23</v>
      </c>
      <c r="D398" s="158"/>
      <c r="E398" s="158"/>
      <c r="F398" s="158"/>
      <c r="G398" s="158"/>
      <c r="H398" s="158"/>
      <c r="I398" s="159"/>
    </row>
    <row r="399" spans="1:9" ht="15.75" customHeight="1" x14ac:dyDescent="0.2">
      <c r="A399" s="201"/>
      <c r="B399" s="202"/>
      <c r="C399" s="26" t="s">
        <v>14</v>
      </c>
      <c r="D399" s="160"/>
      <c r="E399" s="160"/>
      <c r="F399" s="160"/>
      <c r="G399" s="160"/>
      <c r="H399" s="160"/>
      <c r="I399" s="161"/>
    </row>
    <row r="400" spans="1:9" ht="15.75" customHeight="1" x14ac:dyDescent="0.2">
      <c r="A400" s="201">
        <v>80</v>
      </c>
      <c r="B400" s="202" t="str">
        <f>IFERROR(VLOOKUP(A400,'Heat Sheet'!$A:$I, 2, FALSE), "")</f>
        <v/>
      </c>
      <c r="C400" s="129" t="str" cm="1">
        <f t="array" aca="1" ref="C400" ca="1">_xlfn.LET(_xlpm.VAL, INDEX('Heat Sheet'!$A:$I, _xlfn.XMATCH(INDIRECT("A"&amp;ROW()),'Heat Sheet'!$A:$A), COLUMN()), IF(ISNA(_xlpm.VAL), "", IF(_xlpm.VAL=0, "", _xlpm.VAL)))</f>
        <v/>
      </c>
      <c r="D400" s="154" t="str" cm="1">
        <f t="array" aca="1" ref="D400" ca="1">_xlfn.LET(_xlpm.VAL, INDEX('Heat Sheet'!$A:$I, _xlfn.XMATCH(INDIRECT("A"&amp;ROW()),'Heat Sheet'!$A:$A), COLUMN()), IF(ISNA(_xlpm.VAL), "", IF(_xlpm.VAL=0, "", _xlpm.VAL)))</f>
        <v/>
      </c>
      <c r="E400" s="154" t="str" cm="1">
        <f t="array" aca="1" ref="E400" ca="1">_xlfn.LET(_xlpm.VAL, INDEX('Heat Sheet'!$A:$I, _xlfn.XMATCH(INDIRECT("A"&amp;ROW()),'Heat Sheet'!$A:$A), COLUMN()), IF(ISNA(_xlpm.VAL), "", IF(_xlpm.VAL=0, "", _xlpm.VAL)))</f>
        <v/>
      </c>
      <c r="F400" s="154" t="str" cm="1">
        <f t="array" aca="1" ref="F400" ca="1">_xlfn.LET(_xlpm.VAL, INDEX('Heat Sheet'!$A:$I, _xlfn.XMATCH(INDIRECT("A"&amp;ROW()),'Heat Sheet'!$A:$A), COLUMN()), IF(ISNA(_xlpm.VAL), "", IF(_xlpm.VAL=0, "", _xlpm.VAL)))</f>
        <v/>
      </c>
      <c r="G400" s="154" t="str" cm="1">
        <f t="array" aca="1" ref="G400" ca="1">_xlfn.LET(_xlpm.VAL, INDEX('Heat Sheet'!$A:$I, _xlfn.XMATCH(INDIRECT("A"&amp;ROW()),'Heat Sheet'!$A:$A), COLUMN()), IF(ISNA(_xlpm.VAL), "", IF(_xlpm.VAL=0, "", _xlpm.VAL)))</f>
        <v/>
      </c>
      <c r="H400" s="154" t="str" cm="1">
        <f t="array" aca="1" ref="H400" ca="1">_xlfn.LET(_xlpm.VAL, INDEX('Heat Sheet'!$A:$I, _xlfn.XMATCH(INDIRECT("A"&amp;ROW()),'Heat Sheet'!$A:$A), COLUMN()), IF(ISNA(_xlpm.VAL), "", IF(_xlpm.VAL=0, "", _xlpm.VAL)))</f>
        <v/>
      </c>
      <c r="I400" s="155" t="str" cm="1">
        <f t="array" aca="1" ref="I400" ca="1">_xlfn.LET(_xlpm.VAL, INDEX('Heat Sheet'!$A:$I, _xlfn.XMATCH(INDIRECT("A"&amp;ROW()),'Heat Sheet'!$A:$A), COLUMN()), IF(ISNA(_xlpm.VAL), "", IF(_xlpm.VAL=0, "", _xlpm.VAL)))</f>
        <v/>
      </c>
    </row>
    <row r="401" spans="1:9" ht="15.75" customHeight="1" x14ac:dyDescent="0.2">
      <c r="A401" s="201"/>
      <c r="B401" s="202"/>
      <c r="C401" s="129" t="str" cm="1">
        <f t="array" aca="1" ref="C401" ca="1">_xlfn.LET(_xlpm.VAL, INDEX('Heat Sheet'!$A:$I, _xlfn.XMATCH(INDIRECT("A"&amp;ROW()-1),'Heat Sheet'!$A:$A)+1, COLUMN()), IF(ISNA(_xlpm.VAL), "", IF(_xlpm.VAL=0, "", _xlpm.VAL)))</f>
        <v/>
      </c>
      <c r="D401" s="154" t="str" cm="1">
        <f t="array" aca="1" ref="D401" ca="1">_xlfn.LET(_xlpm.VAL, INDEX('Heat Sheet'!$A:$I, _xlfn.XMATCH(INDIRECT("A"&amp;ROW()-1),'Heat Sheet'!$A:$A)+1, COLUMN()), IF(ISNA(_xlpm.VAL), "", IF(_xlpm.VAL=0, "", _xlpm.VAL)))</f>
        <v/>
      </c>
      <c r="E401" s="154" t="str" cm="1">
        <f t="array" aca="1" ref="E401" ca="1">_xlfn.LET(_xlpm.VAL, INDEX('Heat Sheet'!$A:$I, _xlfn.XMATCH(INDIRECT("A"&amp;ROW()-1),'Heat Sheet'!$A:$A)+1, COLUMN()), IF(ISNA(_xlpm.VAL), "", IF(_xlpm.VAL=0, "", _xlpm.VAL)))</f>
        <v/>
      </c>
      <c r="F401" s="154" t="str" cm="1">
        <f t="array" aca="1" ref="F401" ca="1">_xlfn.LET(_xlpm.VAL, INDEX('Heat Sheet'!$A:$I, _xlfn.XMATCH(INDIRECT("A"&amp;ROW()-1),'Heat Sheet'!$A:$A)+1, COLUMN()), IF(ISNA(_xlpm.VAL), "", IF(_xlpm.VAL=0, "", _xlpm.VAL)))</f>
        <v/>
      </c>
      <c r="G401" s="154" t="str" cm="1">
        <f t="array" aca="1" ref="G401" ca="1">_xlfn.LET(_xlpm.VAL, INDEX('Heat Sheet'!$A:$I, _xlfn.XMATCH(INDIRECT("A"&amp;ROW()-1),'Heat Sheet'!$A:$A)+1, COLUMN()), IF(ISNA(_xlpm.VAL), "", IF(_xlpm.VAL=0, "", _xlpm.VAL)))</f>
        <v/>
      </c>
      <c r="H401" s="154" t="str" cm="1">
        <f t="array" aca="1" ref="H401" ca="1">_xlfn.LET(_xlpm.VAL, INDEX('Heat Sheet'!$A:$I, _xlfn.XMATCH(INDIRECT("A"&amp;ROW()-1),'Heat Sheet'!$A:$A)+1, COLUMN()), IF(ISNA(_xlpm.VAL), "", IF(_xlpm.VAL=0, "", _xlpm.VAL)))</f>
        <v/>
      </c>
      <c r="I401" s="155" t="str" cm="1">
        <f t="array" aca="1" ref="I401" ca="1">_xlfn.LET(_xlpm.VAL, INDEX('Heat Sheet'!$A:$I, _xlfn.XMATCH(INDIRECT("A"&amp;ROW()-1),'Heat Sheet'!$A:$A)+1, COLUMN()), IF(ISNA(_xlpm.VAL), "", IF(_xlpm.VAL=0, "", _xlpm.VAL)))</f>
        <v/>
      </c>
    </row>
    <row r="402" spans="1:9" ht="15.75" customHeight="1" x14ac:dyDescent="0.2">
      <c r="A402" s="201"/>
      <c r="B402" s="202"/>
      <c r="C402" s="122" t="s">
        <v>22</v>
      </c>
      <c r="D402" s="124"/>
      <c r="E402" s="124"/>
      <c r="F402" s="124"/>
      <c r="G402" s="124"/>
      <c r="H402" s="124"/>
      <c r="I402" s="126"/>
    </row>
    <row r="403" spans="1:9" ht="15.75" customHeight="1" x14ac:dyDescent="0.2">
      <c r="A403" s="201"/>
      <c r="B403" s="202"/>
      <c r="C403" s="122" t="s">
        <v>23</v>
      </c>
      <c r="D403" s="158"/>
      <c r="E403" s="158"/>
      <c r="F403" s="158"/>
      <c r="G403" s="158"/>
      <c r="H403" s="158"/>
      <c r="I403" s="159"/>
    </row>
    <row r="404" spans="1:9" ht="15.75" customHeight="1" x14ac:dyDescent="0.2">
      <c r="A404" s="201"/>
      <c r="B404" s="202"/>
      <c r="C404" s="26" t="s">
        <v>14</v>
      </c>
      <c r="D404" s="160"/>
      <c r="E404" s="160"/>
      <c r="F404" s="160"/>
      <c r="G404" s="160"/>
      <c r="H404" s="160"/>
      <c r="I404" s="161"/>
    </row>
    <row r="405" spans="1:9" ht="15.75" customHeight="1" x14ac:dyDescent="0.2">
      <c r="A405" s="201">
        <v>81</v>
      </c>
      <c r="B405" s="202" t="str">
        <f>IFERROR(VLOOKUP(A405,'Heat Sheet'!$A:$I, 2, FALSE), "")</f>
        <v/>
      </c>
      <c r="C405" s="129" t="str" cm="1">
        <f t="array" aca="1" ref="C405" ca="1">_xlfn.LET(_xlpm.VAL, INDEX('Heat Sheet'!$A:$I, _xlfn.XMATCH(INDIRECT("A"&amp;ROW()),'Heat Sheet'!$A:$A), COLUMN()), IF(ISNA(_xlpm.VAL), "", IF(_xlpm.VAL=0, "", _xlpm.VAL)))</f>
        <v/>
      </c>
      <c r="D405" s="154" t="str" cm="1">
        <f t="array" aca="1" ref="D405" ca="1">_xlfn.LET(_xlpm.VAL, INDEX('Heat Sheet'!$A:$I, _xlfn.XMATCH(INDIRECT("A"&amp;ROW()),'Heat Sheet'!$A:$A), COLUMN()), IF(ISNA(_xlpm.VAL), "", IF(_xlpm.VAL=0, "", _xlpm.VAL)))</f>
        <v/>
      </c>
      <c r="E405" s="154" t="str" cm="1">
        <f t="array" aca="1" ref="E405" ca="1">_xlfn.LET(_xlpm.VAL, INDEX('Heat Sheet'!$A:$I, _xlfn.XMATCH(INDIRECT("A"&amp;ROW()),'Heat Sheet'!$A:$A), COLUMN()), IF(ISNA(_xlpm.VAL), "", IF(_xlpm.VAL=0, "", _xlpm.VAL)))</f>
        <v/>
      </c>
      <c r="F405" s="154" t="str" cm="1">
        <f t="array" aca="1" ref="F405" ca="1">_xlfn.LET(_xlpm.VAL, INDEX('Heat Sheet'!$A:$I, _xlfn.XMATCH(INDIRECT("A"&amp;ROW()),'Heat Sheet'!$A:$A), COLUMN()), IF(ISNA(_xlpm.VAL), "", IF(_xlpm.VAL=0, "", _xlpm.VAL)))</f>
        <v/>
      </c>
      <c r="G405" s="154" t="str" cm="1">
        <f t="array" aca="1" ref="G405" ca="1">_xlfn.LET(_xlpm.VAL, INDEX('Heat Sheet'!$A:$I, _xlfn.XMATCH(INDIRECT("A"&amp;ROW()),'Heat Sheet'!$A:$A), COLUMN()), IF(ISNA(_xlpm.VAL), "", IF(_xlpm.VAL=0, "", _xlpm.VAL)))</f>
        <v/>
      </c>
      <c r="H405" s="154" t="str" cm="1">
        <f t="array" aca="1" ref="H405" ca="1">_xlfn.LET(_xlpm.VAL, INDEX('Heat Sheet'!$A:$I, _xlfn.XMATCH(INDIRECT("A"&amp;ROW()),'Heat Sheet'!$A:$A), COLUMN()), IF(ISNA(_xlpm.VAL), "", IF(_xlpm.VAL=0, "", _xlpm.VAL)))</f>
        <v/>
      </c>
      <c r="I405" s="155" t="str" cm="1">
        <f t="array" aca="1" ref="I405" ca="1">_xlfn.LET(_xlpm.VAL, INDEX('Heat Sheet'!$A:$I, _xlfn.XMATCH(INDIRECT("A"&amp;ROW()),'Heat Sheet'!$A:$A), COLUMN()), IF(ISNA(_xlpm.VAL), "", IF(_xlpm.VAL=0, "", _xlpm.VAL)))</f>
        <v/>
      </c>
    </row>
    <row r="406" spans="1:9" ht="15.75" customHeight="1" x14ac:dyDescent="0.2">
      <c r="A406" s="201"/>
      <c r="B406" s="202"/>
      <c r="C406" s="129" t="str" cm="1">
        <f t="array" aca="1" ref="C406" ca="1">_xlfn.LET(_xlpm.VAL, INDEX('Heat Sheet'!$A:$I, _xlfn.XMATCH(INDIRECT("A"&amp;ROW()-1),'Heat Sheet'!$A:$A)+1, COLUMN()), IF(ISNA(_xlpm.VAL), "", IF(_xlpm.VAL=0, "", _xlpm.VAL)))</f>
        <v/>
      </c>
      <c r="D406" s="154" t="str" cm="1">
        <f t="array" aca="1" ref="D406" ca="1">_xlfn.LET(_xlpm.VAL, INDEX('Heat Sheet'!$A:$I, _xlfn.XMATCH(INDIRECT("A"&amp;ROW()-1),'Heat Sheet'!$A:$A)+1, COLUMN()), IF(ISNA(_xlpm.VAL), "", IF(_xlpm.VAL=0, "", _xlpm.VAL)))</f>
        <v/>
      </c>
      <c r="E406" s="154" t="str" cm="1">
        <f t="array" aca="1" ref="E406" ca="1">_xlfn.LET(_xlpm.VAL, INDEX('Heat Sheet'!$A:$I, _xlfn.XMATCH(INDIRECT("A"&amp;ROW()-1),'Heat Sheet'!$A:$A)+1, COLUMN()), IF(ISNA(_xlpm.VAL), "", IF(_xlpm.VAL=0, "", _xlpm.VAL)))</f>
        <v/>
      </c>
      <c r="F406" s="154" t="str" cm="1">
        <f t="array" aca="1" ref="F406" ca="1">_xlfn.LET(_xlpm.VAL, INDEX('Heat Sheet'!$A:$I, _xlfn.XMATCH(INDIRECT("A"&amp;ROW()-1),'Heat Sheet'!$A:$A)+1, COLUMN()), IF(ISNA(_xlpm.VAL), "", IF(_xlpm.VAL=0, "", _xlpm.VAL)))</f>
        <v/>
      </c>
      <c r="G406" s="154" t="str" cm="1">
        <f t="array" aca="1" ref="G406" ca="1">_xlfn.LET(_xlpm.VAL, INDEX('Heat Sheet'!$A:$I, _xlfn.XMATCH(INDIRECT("A"&amp;ROW()-1),'Heat Sheet'!$A:$A)+1, COLUMN()), IF(ISNA(_xlpm.VAL), "", IF(_xlpm.VAL=0, "", _xlpm.VAL)))</f>
        <v/>
      </c>
      <c r="H406" s="154" t="str" cm="1">
        <f t="array" aca="1" ref="H406" ca="1">_xlfn.LET(_xlpm.VAL, INDEX('Heat Sheet'!$A:$I, _xlfn.XMATCH(INDIRECT("A"&amp;ROW()-1),'Heat Sheet'!$A:$A)+1, COLUMN()), IF(ISNA(_xlpm.VAL), "", IF(_xlpm.VAL=0, "", _xlpm.VAL)))</f>
        <v/>
      </c>
      <c r="I406" s="155" t="str" cm="1">
        <f t="array" aca="1" ref="I406" ca="1">_xlfn.LET(_xlpm.VAL, INDEX('Heat Sheet'!$A:$I, _xlfn.XMATCH(INDIRECT("A"&amp;ROW()-1),'Heat Sheet'!$A:$A)+1, COLUMN()), IF(ISNA(_xlpm.VAL), "", IF(_xlpm.VAL=0, "", _xlpm.VAL)))</f>
        <v/>
      </c>
    </row>
    <row r="407" spans="1:9" ht="15.75" customHeight="1" x14ac:dyDescent="0.2">
      <c r="A407" s="201"/>
      <c r="B407" s="202"/>
      <c r="C407" s="122" t="s">
        <v>22</v>
      </c>
      <c r="D407" s="124"/>
      <c r="E407" s="124"/>
      <c r="F407" s="124"/>
      <c r="G407" s="124"/>
      <c r="H407" s="124"/>
      <c r="I407" s="126"/>
    </row>
    <row r="408" spans="1:9" ht="15.75" customHeight="1" x14ac:dyDescent="0.2">
      <c r="A408" s="201"/>
      <c r="B408" s="202"/>
      <c r="C408" s="122" t="s">
        <v>23</v>
      </c>
      <c r="D408" s="158"/>
      <c r="E408" s="158"/>
      <c r="F408" s="158"/>
      <c r="G408" s="158"/>
      <c r="H408" s="158"/>
      <c r="I408" s="159"/>
    </row>
    <row r="409" spans="1:9" ht="15.75" customHeight="1" x14ac:dyDescent="0.2">
      <c r="A409" s="201"/>
      <c r="B409" s="202"/>
      <c r="C409" s="26" t="s">
        <v>14</v>
      </c>
      <c r="D409" s="160"/>
      <c r="E409" s="160"/>
      <c r="F409" s="160"/>
      <c r="G409" s="160"/>
      <c r="H409" s="160"/>
      <c r="I409" s="161"/>
    </row>
    <row r="410" spans="1:9" ht="15.75" customHeight="1" x14ac:dyDescent="0.2">
      <c r="A410" s="201">
        <v>82</v>
      </c>
      <c r="B410" s="202" t="str">
        <f>IFERROR(VLOOKUP(A410,'Heat Sheet'!$A:$I, 2, FALSE), "")</f>
        <v/>
      </c>
      <c r="C410" s="129" t="str" cm="1">
        <f t="array" aca="1" ref="C410" ca="1">_xlfn.LET(_xlpm.VAL, INDEX('Heat Sheet'!$A:$I, _xlfn.XMATCH(INDIRECT("A"&amp;ROW()),'Heat Sheet'!$A:$A), COLUMN()), IF(ISNA(_xlpm.VAL), "", IF(_xlpm.VAL=0, "", _xlpm.VAL)))</f>
        <v/>
      </c>
      <c r="D410" s="154" t="str" cm="1">
        <f t="array" aca="1" ref="D410" ca="1">_xlfn.LET(_xlpm.VAL, INDEX('Heat Sheet'!$A:$I, _xlfn.XMATCH(INDIRECT("A"&amp;ROW()),'Heat Sheet'!$A:$A), COLUMN()), IF(ISNA(_xlpm.VAL), "", IF(_xlpm.VAL=0, "", _xlpm.VAL)))</f>
        <v/>
      </c>
      <c r="E410" s="154" t="str" cm="1">
        <f t="array" aca="1" ref="E410" ca="1">_xlfn.LET(_xlpm.VAL, INDEX('Heat Sheet'!$A:$I, _xlfn.XMATCH(INDIRECT("A"&amp;ROW()),'Heat Sheet'!$A:$A), COLUMN()), IF(ISNA(_xlpm.VAL), "", IF(_xlpm.VAL=0, "", _xlpm.VAL)))</f>
        <v/>
      </c>
      <c r="F410" s="154" t="str" cm="1">
        <f t="array" aca="1" ref="F410" ca="1">_xlfn.LET(_xlpm.VAL, INDEX('Heat Sheet'!$A:$I, _xlfn.XMATCH(INDIRECT("A"&amp;ROW()),'Heat Sheet'!$A:$A), COLUMN()), IF(ISNA(_xlpm.VAL), "", IF(_xlpm.VAL=0, "", _xlpm.VAL)))</f>
        <v/>
      </c>
      <c r="G410" s="154" t="str" cm="1">
        <f t="array" aca="1" ref="G410" ca="1">_xlfn.LET(_xlpm.VAL, INDEX('Heat Sheet'!$A:$I, _xlfn.XMATCH(INDIRECT("A"&amp;ROW()),'Heat Sheet'!$A:$A), COLUMN()), IF(ISNA(_xlpm.VAL), "", IF(_xlpm.VAL=0, "", _xlpm.VAL)))</f>
        <v/>
      </c>
      <c r="H410" s="154" t="str" cm="1">
        <f t="array" aca="1" ref="H410" ca="1">_xlfn.LET(_xlpm.VAL, INDEX('Heat Sheet'!$A:$I, _xlfn.XMATCH(INDIRECT("A"&amp;ROW()),'Heat Sheet'!$A:$A), COLUMN()), IF(ISNA(_xlpm.VAL), "", IF(_xlpm.VAL=0, "", _xlpm.VAL)))</f>
        <v/>
      </c>
      <c r="I410" s="155" t="str" cm="1">
        <f t="array" aca="1" ref="I410" ca="1">_xlfn.LET(_xlpm.VAL, INDEX('Heat Sheet'!$A:$I, _xlfn.XMATCH(INDIRECT("A"&amp;ROW()),'Heat Sheet'!$A:$A), COLUMN()), IF(ISNA(_xlpm.VAL), "", IF(_xlpm.VAL=0, "", _xlpm.VAL)))</f>
        <v/>
      </c>
    </row>
    <row r="411" spans="1:9" ht="15.75" customHeight="1" x14ac:dyDescent="0.2">
      <c r="A411" s="201"/>
      <c r="B411" s="202"/>
      <c r="C411" s="129" t="str" cm="1">
        <f t="array" aca="1" ref="C411" ca="1">_xlfn.LET(_xlpm.VAL, INDEX('Heat Sheet'!$A:$I, _xlfn.XMATCH(INDIRECT("A"&amp;ROW()-1),'Heat Sheet'!$A:$A)+1, COLUMN()), IF(ISNA(_xlpm.VAL), "", IF(_xlpm.VAL=0, "", _xlpm.VAL)))</f>
        <v/>
      </c>
      <c r="D411" s="154" t="str" cm="1">
        <f t="array" aca="1" ref="D411" ca="1">_xlfn.LET(_xlpm.VAL, INDEX('Heat Sheet'!$A:$I, _xlfn.XMATCH(INDIRECT("A"&amp;ROW()-1),'Heat Sheet'!$A:$A)+1, COLUMN()), IF(ISNA(_xlpm.VAL), "", IF(_xlpm.VAL=0, "", _xlpm.VAL)))</f>
        <v/>
      </c>
      <c r="E411" s="154" t="str" cm="1">
        <f t="array" aca="1" ref="E411" ca="1">_xlfn.LET(_xlpm.VAL, INDEX('Heat Sheet'!$A:$I, _xlfn.XMATCH(INDIRECT("A"&amp;ROW()-1),'Heat Sheet'!$A:$A)+1, COLUMN()), IF(ISNA(_xlpm.VAL), "", IF(_xlpm.VAL=0, "", _xlpm.VAL)))</f>
        <v/>
      </c>
      <c r="F411" s="154" t="str" cm="1">
        <f t="array" aca="1" ref="F411" ca="1">_xlfn.LET(_xlpm.VAL, INDEX('Heat Sheet'!$A:$I, _xlfn.XMATCH(INDIRECT("A"&amp;ROW()-1),'Heat Sheet'!$A:$A)+1, COLUMN()), IF(ISNA(_xlpm.VAL), "", IF(_xlpm.VAL=0, "", _xlpm.VAL)))</f>
        <v/>
      </c>
      <c r="G411" s="154" t="str" cm="1">
        <f t="array" aca="1" ref="G411" ca="1">_xlfn.LET(_xlpm.VAL, INDEX('Heat Sheet'!$A:$I, _xlfn.XMATCH(INDIRECT("A"&amp;ROW()-1),'Heat Sheet'!$A:$A)+1, COLUMN()), IF(ISNA(_xlpm.VAL), "", IF(_xlpm.VAL=0, "", _xlpm.VAL)))</f>
        <v/>
      </c>
      <c r="H411" s="154" t="str" cm="1">
        <f t="array" aca="1" ref="H411" ca="1">_xlfn.LET(_xlpm.VAL, INDEX('Heat Sheet'!$A:$I, _xlfn.XMATCH(INDIRECT("A"&amp;ROW()-1),'Heat Sheet'!$A:$A)+1, COLUMN()), IF(ISNA(_xlpm.VAL), "", IF(_xlpm.VAL=0, "", _xlpm.VAL)))</f>
        <v/>
      </c>
      <c r="I411" s="155" t="str" cm="1">
        <f t="array" aca="1" ref="I411" ca="1">_xlfn.LET(_xlpm.VAL, INDEX('Heat Sheet'!$A:$I, _xlfn.XMATCH(INDIRECT("A"&amp;ROW()-1),'Heat Sheet'!$A:$A)+1, COLUMN()), IF(ISNA(_xlpm.VAL), "", IF(_xlpm.VAL=0, "", _xlpm.VAL)))</f>
        <v/>
      </c>
    </row>
    <row r="412" spans="1:9" ht="15.75" customHeight="1" x14ac:dyDescent="0.2">
      <c r="A412" s="201"/>
      <c r="B412" s="202"/>
      <c r="C412" s="122" t="s">
        <v>22</v>
      </c>
      <c r="D412" s="124"/>
      <c r="E412" s="124"/>
      <c r="F412" s="124"/>
      <c r="G412" s="124"/>
      <c r="H412" s="124"/>
      <c r="I412" s="126"/>
    </row>
    <row r="413" spans="1:9" ht="15.75" customHeight="1" x14ac:dyDescent="0.2">
      <c r="A413" s="201"/>
      <c r="B413" s="202"/>
      <c r="C413" s="122" t="s">
        <v>23</v>
      </c>
      <c r="D413" s="158"/>
      <c r="E413" s="158"/>
      <c r="F413" s="158"/>
      <c r="G413" s="158"/>
      <c r="H413" s="158"/>
      <c r="I413" s="159"/>
    </row>
    <row r="414" spans="1:9" ht="15.75" customHeight="1" x14ac:dyDescent="0.2">
      <c r="A414" s="201"/>
      <c r="B414" s="202"/>
      <c r="C414" s="26" t="s">
        <v>14</v>
      </c>
      <c r="D414" s="160"/>
      <c r="E414" s="160"/>
      <c r="F414" s="160"/>
      <c r="G414" s="160"/>
      <c r="H414" s="160"/>
      <c r="I414" s="161"/>
    </row>
    <row r="415" spans="1:9" ht="15.75" customHeight="1" x14ac:dyDescent="0.2">
      <c r="A415" s="201">
        <v>83</v>
      </c>
      <c r="B415" s="202" t="str">
        <f>IFERROR(VLOOKUP(A415,'Heat Sheet'!$A:$I, 2, FALSE), "")</f>
        <v/>
      </c>
      <c r="C415" s="129" t="str" cm="1">
        <f t="array" aca="1" ref="C415" ca="1">_xlfn.LET(_xlpm.VAL, INDEX('Heat Sheet'!$A:$I, _xlfn.XMATCH(INDIRECT("A"&amp;ROW()),'Heat Sheet'!$A:$A), COLUMN()), IF(ISNA(_xlpm.VAL), "", IF(_xlpm.VAL=0, "", _xlpm.VAL)))</f>
        <v/>
      </c>
      <c r="D415" s="154" t="str" cm="1">
        <f t="array" aca="1" ref="D415" ca="1">_xlfn.LET(_xlpm.VAL, INDEX('Heat Sheet'!$A:$I, _xlfn.XMATCH(INDIRECT("A"&amp;ROW()),'Heat Sheet'!$A:$A), COLUMN()), IF(ISNA(_xlpm.VAL), "", IF(_xlpm.VAL=0, "", _xlpm.VAL)))</f>
        <v/>
      </c>
      <c r="E415" s="154" t="str" cm="1">
        <f t="array" aca="1" ref="E415" ca="1">_xlfn.LET(_xlpm.VAL, INDEX('Heat Sheet'!$A:$I, _xlfn.XMATCH(INDIRECT("A"&amp;ROW()),'Heat Sheet'!$A:$A), COLUMN()), IF(ISNA(_xlpm.VAL), "", IF(_xlpm.VAL=0, "", _xlpm.VAL)))</f>
        <v/>
      </c>
      <c r="F415" s="154" t="str" cm="1">
        <f t="array" aca="1" ref="F415" ca="1">_xlfn.LET(_xlpm.VAL, INDEX('Heat Sheet'!$A:$I, _xlfn.XMATCH(INDIRECT("A"&amp;ROW()),'Heat Sheet'!$A:$A), COLUMN()), IF(ISNA(_xlpm.VAL), "", IF(_xlpm.VAL=0, "", _xlpm.VAL)))</f>
        <v/>
      </c>
      <c r="G415" s="154" t="str" cm="1">
        <f t="array" aca="1" ref="G415" ca="1">_xlfn.LET(_xlpm.VAL, INDEX('Heat Sheet'!$A:$I, _xlfn.XMATCH(INDIRECT("A"&amp;ROW()),'Heat Sheet'!$A:$A), COLUMN()), IF(ISNA(_xlpm.VAL), "", IF(_xlpm.VAL=0, "", _xlpm.VAL)))</f>
        <v/>
      </c>
      <c r="H415" s="154" t="str" cm="1">
        <f t="array" aca="1" ref="H415" ca="1">_xlfn.LET(_xlpm.VAL, INDEX('Heat Sheet'!$A:$I, _xlfn.XMATCH(INDIRECT("A"&amp;ROW()),'Heat Sheet'!$A:$A), COLUMN()), IF(ISNA(_xlpm.VAL), "", IF(_xlpm.VAL=0, "", _xlpm.VAL)))</f>
        <v/>
      </c>
      <c r="I415" s="155" t="str" cm="1">
        <f t="array" aca="1" ref="I415" ca="1">_xlfn.LET(_xlpm.VAL, INDEX('Heat Sheet'!$A:$I, _xlfn.XMATCH(INDIRECT("A"&amp;ROW()),'Heat Sheet'!$A:$A), COLUMN()), IF(ISNA(_xlpm.VAL), "", IF(_xlpm.VAL=0, "", _xlpm.VAL)))</f>
        <v/>
      </c>
    </row>
    <row r="416" spans="1:9" ht="15.75" customHeight="1" x14ac:dyDescent="0.2">
      <c r="A416" s="201"/>
      <c r="B416" s="202"/>
      <c r="C416" s="129" t="str" cm="1">
        <f t="array" aca="1" ref="C416" ca="1">_xlfn.LET(_xlpm.VAL, INDEX('Heat Sheet'!$A:$I, _xlfn.XMATCH(INDIRECT("A"&amp;ROW()-1),'Heat Sheet'!$A:$A)+1, COLUMN()), IF(ISNA(_xlpm.VAL), "", IF(_xlpm.VAL=0, "", _xlpm.VAL)))</f>
        <v/>
      </c>
      <c r="D416" s="154" t="str" cm="1">
        <f t="array" aca="1" ref="D416" ca="1">_xlfn.LET(_xlpm.VAL, INDEX('Heat Sheet'!$A:$I, _xlfn.XMATCH(INDIRECT("A"&amp;ROW()-1),'Heat Sheet'!$A:$A)+1, COLUMN()), IF(ISNA(_xlpm.VAL), "", IF(_xlpm.VAL=0, "", _xlpm.VAL)))</f>
        <v/>
      </c>
      <c r="E416" s="154" t="str" cm="1">
        <f t="array" aca="1" ref="E416" ca="1">_xlfn.LET(_xlpm.VAL, INDEX('Heat Sheet'!$A:$I, _xlfn.XMATCH(INDIRECT("A"&amp;ROW()-1),'Heat Sheet'!$A:$A)+1, COLUMN()), IF(ISNA(_xlpm.VAL), "", IF(_xlpm.VAL=0, "", _xlpm.VAL)))</f>
        <v/>
      </c>
      <c r="F416" s="154" t="str" cm="1">
        <f t="array" aca="1" ref="F416" ca="1">_xlfn.LET(_xlpm.VAL, INDEX('Heat Sheet'!$A:$I, _xlfn.XMATCH(INDIRECT("A"&amp;ROW()-1),'Heat Sheet'!$A:$A)+1, COLUMN()), IF(ISNA(_xlpm.VAL), "", IF(_xlpm.VAL=0, "", _xlpm.VAL)))</f>
        <v/>
      </c>
      <c r="G416" s="154" t="str" cm="1">
        <f t="array" aca="1" ref="G416" ca="1">_xlfn.LET(_xlpm.VAL, INDEX('Heat Sheet'!$A:$I, _xlfn.XMATCH(INDIRECT("A"&amp;ROW()-1),'Heat Sheet'!$A:$A)+1, COLUMN()), IF(ISNA(_xlpm.VAL), "", IF(_xlpm.VAL=0, "", _xlpm.VAL)))</f>
        <v/>
      </c>
      <c r="H416" s="154" t="str" cm="1">
        <f t="array" aca="1" ref="H416" ca="1">_xlfn.LET(_xlpm.VAL, INDEX('Heat Sheet'!$A:$I, _xlfn.XMATCH(INDIRECT("A"&amp;ROW()-1),'Heat Sheet'!$A:$A)+1, COLUMN()), IF(ISNA(_xlpm.VAL), "", IF(_xlpm.VAL=0, "", _xlpm.VAL)))</f>
        <v/>
      </c>
      <c r="I416" s="155" t="str" cm="1">
        <f t="array" aca="1" ref="I416" ca="1">_xlfn.LET(_xlpm.VAL, INDEX('Heat Sheet'!$A:$I, _xlfn.XMATCH(INDIRECT("A"&amp;ROW()-1),'Heat Sheet'!$A:$A)+1, COLUMN()), IF(ISNA(_xlpm.VAL), "", IF(_xlpm.VAL=0, "", _xlpm.VAL)))</f>
        <v/>
      </c>
    </row>
    <row r="417" spans="1:9" ht="15.75" customHeight="1" x14ac:dyDescent="0.2">
      <c r="A417" s="201"/>
      <c r="B417" s="202"/>
      <c r="C417" s="122" t="s">
        <v>22</v>
      </c>
      <c r="D417" s="124"/>
      <c r="E417" s="124"/>
      <c r="F417" s="124"/>
      <c r="G417" s="124"/>
      <c r="H417" s="124"/>
      <c r="I417" s="126"/>
    </row>
    <row r="418" spans="1:9" ht="15.75" customHeight="1" x14ac:dyDescent="0.2">
      <c r="A418" s="201"/>
      <c r="B418" s="202"/>
      <c r="C418" s="122" t="s">
        <v>23</v>
      </c>
      <c r="D418" s="158"/>
      <c r="E418" s="158"/>
      <c r="F418" s="158"/>
      <c r="G418" s="158"/>
      <c r="H418" s="158"/>
      <c r="I418" s="159"/>
    </row>
    <row r="419" spans="1:9" ht="15.75" customHeight="1" x14ac:dyDescent="0.2">
      <c r="A419" s="201"/>
      <c r="B419" s="202"/>
      <c r="C419" s="26" t="s">
        <v>14</v>
      </c>
      <c r="D419" s="160"/>
      <c r="E419" s="160"/>
      <c r="F419" s="160"/>
      <c r="G419" s="160"/>
      <c r="H419" s="160"/>
      <c r="I419" s="161"/>
    </row>
    <row r="420" spans="1:9" ht="15.75" customHeight="1" x14ac:dyDescent="0.2">
      <c r="A420" s="201">
        <v>84</v>
      </c>
      <c r="B420" s="202" t="str">
        <f>IFERROR(VLOOKUP(A420,'Heat Sheet'!$A:$I, 2, FALSE), "")</f>
        <v/>
      </c>
      <c r="C420" s="129" t="str" cm="1">
        <f t="array" aca="1" ref="C420" ca="1">_xlfn.LET(_xlpm.VAL, INDEX('Heat Sheet'!$A:$I, _xlfn.XMATCH(INDIRECT("A"&amp;ROW()),'Heat Sheet'!$A:$A), COLUMN()), IF(ISNA(_xlpm.VAL), "", IF(_xlpm.VAL=0, "", _xlpm.VAL)))</f>
        <v/>
      </c>
      <c r="D420" s="154" t="str" cm="1">
        <f t="array" aca="1" ref="D420" ca="1">_xlfn.LET(_xlpm.VAL, INDEX('Heat Sheet'!$A:$I, _xlfn.XMATCH(INDIRECT("A"&amp;ROW()),'Heat Sheet'!$A:$A), COLUMN()), IF(ISNA(_xlpm.VAL), "", IF(_xlpm.VAL=0, "", _xlpm.VAL)))</f>
        <v/>
      </c>
      <c r="E420" s="154" t="str" cm="1">
        <f t="array" aca="1" ref="E420" ca="1">_xlfn.LET(_xlpm.VAL, INDEX('Heat Sheet'!$A:$I, _xlfn.XMATCH(INDIRECT("A"&amp;ROW()),'Heat Sheet'!$A:$A), COLUMN()), IF(ISNA(_xlpm.VAL), "", IF(_xlpm.VAL=0, "", _xlpm.VAL)))</f>
        <v/>
      </c>
      <c r="F420" s="154" t="str" cm="1">
        <f t="array" aca="1" ref="F420" ca="1">_xlfn.LET(_xlpm.VAL, INDEX('Heat Sheet'!$A:$I, _xlfn.XMATCH(INDIRECT("A"&amp;ROW()),'Heat Sheet'!$A:$A), COLUMN()), IF(ISNA(_xlpm.VAL), "", IF(_xlpm.VAL=0, "", _xlpm.VAL)))</f>
        <v/>
      </c>
      <c r="G420" s="154" t="str" cm="1">
        <f t="array" aca="1" ref="G420" ca="1">_xlfn.LET(_xlpm.VAL, INDEX('Heat Sheet'!$A:$I, _xlfn.XMATCH(INDIRECT("A"&amp;ROW()),'Heat Sheet'!$A:$A), COLUMN()), IF(ISNA(_xlpm.VAL), "", IF(_xlpm.VAL=0, "", _xlpm.VAL)))</f>
        <v/>
      </c>
      <c r="H420" s="154" t="str" cm="1">
        <f t="array" aca="1" ref="H420" ca="1">_xlfn.LET(_xlpm.VAL, INDEX('Heat Sheet'!$A:$I, _xlfn.XMATCH(INDIRECT("A"&amp;ROW()),'Heat Sheet'!$A:$A), COLUMN()), IF(ISNA(_xlpm.VAL), "", IF(_xlpm.VAL=0, "", _xlpm.VAL)))</f>
        <v/>
      </c>
      <c r="I420" s="155" t="str" cm="1">
        <f t="array" aca="1" ref="I420" ca="1">_xlfn.LET(_xlpm.VAL, INDEX('Heat Sheet'!$A:$I, _xlfn.XMATCH(INDIRECT("A"&amp;ROW()),'Heat Sheet'!$A:$A), COLUMN()), IF(ISNA(_xlpm.VAL), "", IF(_xlpm.VAL=0, "", _xlpm.VAL)))</f>
        <v/>
      </c>
    </row>
    <row r="421" spans="1:9" ht="15.75" customHeight="1" x14ac:dyDescent="0.2">
      <c r="A421" s="201"/>
      <c r="B421" s="202"/>
      <c r="C421" s="129" t="str" cm="1">
        <f t="array" aca="1" ref="C421" ca="1">_xlfn.LET(_xlpm.VAL, INDEX('Heat Sheet'!$A:$I, _xlfn.XMATCH(INDIRECT("A"&amp;ROW()-1),'Heat Sheet'!$A:$A)+1, COLUMN()), IF(ISNA(_xlpm.VAL), "", IF(_xlpm.VAL=0, "", _xlpm.VAL)))</f>
        <v/>
      </c>
      <c r="D421" s="154" t="str" cm="1">
        <f t="array" aca="1" ref="D421" ca="1">_xlfn.LET(_xlpm.VAL, INDEX('Heat Sheet'!$A:$I, _xlfn.XMATCH(INDIRECT("A"&amp;ROW()-1),'Heat Sheet'!$A:$A)+1, COLUMN()), IF(ISNA(_xlpm.VAL), "", IF(_xlpm.VAL=0, "", _xlpm.VAL)))</f>
        <v/>
      </c>
      <c r="E421" s="154" t="str" cm="1">
        <f t="array" aca="1" ref="E421" ca="1">_xlfn.LET(_xlpm.VAL, INDEX('Heat Sheet'!$A:$I, _xlfn.XMATCH(INDIRECT("A"&amp;ROW()-1),'Heat Sheet'!$A:$A)+1, COLUMN()), IF(ISNA(_xlpm.VAL), "", IF(_xlpm.VAL=0, "", _xlpm.VAL)))</f>
        <v/>
      </c>
      <c r="F421" s="154" t="str" cm="1">
        <f t="array" aca="1" ref="F421" ca="1">_xlfn.LET(_xlpm.VAL, INDEX('Heat Sheet'!$A:$I, _xlfn.XMATCH(INDIRECT("A"&amp;ROW()-1),'Heat Sheet'!$A:$A)+1, COLUMN()), IF(ISNA(_xlpm.VAL), "", IF(_xlpm.VAL=0, "", _xlpm.VAL)))</f>
        <v/>
      </c>
      <c r="G421" s="154" t="str" cm="1">
        <f t="array" aca="1" ref="G421" ca="1">_xlfn.LET(_xlpm.VAL, INDEX('Heat Sheet'!$A:$I, _xlfn.XMATCH(INDIRECT("A"&amp;ROW()-1),'Heat Sheet'!$A:$A)+1, COLUMN()), IF(ISNA(_xlpm.VAL), "", IF(_xlpm.VAL=0, "", _xlpm.VAL)))</f>
        <v/>
      </c>
      <c r="H421" s="154" t="str" cm="1">
        <f t="array" aca="1" ref="H421" ca="1">_xlfn.LET(_xlpm.VAL, INDEX('Heat Sheet'!$A:$I, _xlfn.XMATCH(INDIRECT("A"&amp;ROW()-1),'Heat Sheet'!$A:$A)+1, COLUMN()), IF(ISNA(_xlpm.VAL), "", IF(_xlpm.VAL=0, "", _xlpm.VAL)))</f>
        <v/>
      </c>
      <c r="I421" s="155" t="str" cm="1">
        <f t="array" aca="1" ref="I421" ca="1">_xlfn.LET(_xlpm.VAL, INDEX('Heat Sheet'!$A:$I, _xlfn.XMATCH(INDIRECT("A"&amp;ROW()-1),'Heat Sheet'!$A:$A)+1, COLUMN()), IF(ISNA(_xlpm.VAL), "", IF(_xlpm.VAL=0, "", _xlpm.VAL)))</f>
        <v/>
      </c>
    </row>
    <row r="422" spans="1:9" ht="15.75" customHeight="1" x14ac:dyDescent="0.2">
      <c r="A422" s="201"/>
      <c r="B422" s="202"/>
      <c r="C422" s="122" t="s">
        <v>22</v>
      </c>
      <c r="D422" s="124"/>
      <c r="E422" s="124"/>
      <c r="F422" s="124"/>
      <c r="G422" s="124"/>
      <c r="H422" s="124"/>
      <c r="I422" s="126"/>
    </row>
    <row r="423" spans="1:9" ht="15.75" customHeight="1" x14ac:dyDescent="0.2">
      <c r="A423" s="201"/>
      <c r="B423" s="202"/>
      <c r="C423" s="122" t="s">
        <v>23</v>
      </c>
      <c r="D423" s="158"/>
      <c r="E423" s="158"/>
      <c r="F423" s="158"/>
      <c r="G423" s="158"/>
      <c r="H423" s="158"/>
      <c r="I423" s="159"/>
    </row>
    <row r="424" spans="1:9" ht="15.75" customHeight="1" x14ac:dyDescent="0.2">
      <c r="A424" s="201"/>
      <c r="B424" s="202"/>
      <c r="C424" s="26" t="s">
        <v>14</v>
      </c>
      <c r="D424" s="160"/>
      <c r="E424" s="160"/>
      <c r="F424" s="160"/>
      <c r="G424" s="160"/>
      <c r="H424" s="160"/>
      <c r="I424" s="161"/>
    </row>
    <row r="425" spans="1:9" ht="15.75" customHeight="1" x14ac:dyDescent="0.2">
      <c r="A425" s="201">
        <v>85</v>
      </c>
      <c r="B425" s="202" t="str">
        <f>IFERROR(VLOOKUP(A425,'Heat Sheet'!$A:$I, 2, FALSE), "")</f>
        <v/>
      </c>
      <c r="C425" s="129" t="str" cm="1">
        <f t="array" aca="1" ref="C425" ca="1">_xlfn.LET(_xlpm.VAL, INDEX('Heat Sheet'!$A:$I, _xlfn.XMATCH(INDIRECT("A"&amp;ROW()),'Heat Sheet'!$A:$A), COLUMN()), IF(ISNA(_xlpm.VAL), "", IF(_xlpm.VAL=0, "", _xlpm.VAL)))</f>
        <v/>
      </c>
      <c r="D425" s="154" t="str" cm="1">
        <f t="array" aca="1" ref="D425" ca="1">_xlfn.LET(_xlpm.VAL, INDEX('Heat Sheet'!$A:$I, _xlfn.XMATCH(INDIRECT("A"&amp;ROW()),'Heat Sheet'!$A:$A), COLUMN()), IF(ISNA(_xlpm.VAL), "", IF(_xlpm.VAL=0, "", _xlpm.VAL)))</f>
        <v/>
      </c>
      <c r="E425" s="154" t="str" cm="1">
        <f t="array" aca="1" ref="E425" ca="1">_xlfn.LET(_xlpm.VAL, INDEX('Heat Sheet'!$A:$I, _xlfn.XMATCH(INDIRECT("A"&amp;ROW()),'Heat Sheet'!$A:$A), COLUMN()), IF(ISNA(_xlpm.VAL), "", IF(_xlpm.VAL=0, "", _xlpm.VAL)))</f>
        <v/>
      </c>
      <c r="F425" s="154" t="str" cm="1">
        <f t="array" aca="1" ref="F425" ca="1">_xlfn.LET(_xlpm.VAL, INDEX('Heat Sheet'!$A:$I, _xlfn.XMATCH(INDIRECT("A"&amp;ROW()),'Heat Sheet'!$A:$A), COLUMN()), IF(ISNA(_xlpm.VAL), "", IF(_xlpm.VAL=0, "", _xlpm.VAL)))</f>
        <v/>
      </c>
      <c r="G425" s="154" t="str" cm="1">
        <f t="array" aca="1" ref="G425" ca="1">_xlfn.LET(_xlpm.VAL, INDEX('Heat Sheet'!$A:$I, _xlfn.XMATCH(INDIRECT("A"&amp;ROW()),'Heat Sheet'!$A:$A), COLUMN()), IF(ISNA(_xlpm.VAL), "", IF(_xlpm.VAL=0, "", _xlpm.VAL)))</f>
        <v/>
      </c>
      <c r="H425" s="154" t="str" cm="1">
        <f t="array" aca="1" ref="H425" ca="1">_xlfn.LET(_xlpm.VAL, INDEX('Heat Sheet'!$A:$I, _xlfn.XMATCH(INDIRECT("A"&amp;ROW()),'Heat Sheet'!$A:$A), COLUMN()), IF(ISNA(_xlpm.VAL), "", IF(_xlpm.VAL=0, "", _xlpm.VAL)))</f>
        <v/>
      </c>
      <c r="I425" s="155" t="str" cm="1">
        <f t="array" aca="1" ref="I425" ca="1">_xlfn.LET(_xlpm.VAL, INDEX('Heat Sheet'!$A:$I, _xlfn.XMATCH(INDIRECT("A"&amp;ROW()),'Heat Sheet'!$A:$A), COLUMN()), IF(ISNA(_xlpm.VAL), "", IF(_xlpm.VAL=0, "", _xlpm.VAL)))</f>
        <v/>
      </c>
    </row>
    <row r="426" spans="1:9" ht="15.75" customHeight="1" x14ac:dyDescent="0.2">
      <c r="A426" s="201"/>
      <c r="B426" s="202"/>
      <c r="C426" s="129" t="str" cm="1">
        <f t="array" aca="1" ref="C426" ca="1">_xlfn.LET(_xlpm.VAL, INDEX('Heat Sheet'!$A:$I, _xlfn.XMATCH(INDIRECT("A"&amp;ROW()-1),'Heat Sheet'!$A:$A)+1, COLUMN()), IF(ISNA(_xlpm.VAL), "", IF(_xlpm.VAL=0, "", _xlpm.VAL)))</f>
        <v/>
      </c>
      <c r="D426" s="154" t="str" cm="1">
        <f t="array" aca="1" ref="D426" ca="1">_xlfn.LET(_xlpm.VAL, INDEX('Heat Sheet'!$A:$I, _xlfn.XMATCH(INDIRECT("A"&amp;ROW()-1),'Heat Sheet'!$A:$A)+1, COLUMN()), IF(ISNA(_xlpm.VAL), "", IF(_xlpm.VAL=0, "", _xlpm.VAL)))</f>
        <v/>
      </c>
      <c r="E426" s="154" t="str" cm="1">
        <f t="array" aca="1" ref="E426" ca="1">_xlfn.LET(_xlpm.VAL, INDEX('Heat Sheet'!$A:$I, _xlfn.XMATCH(INDIRECT("A"&amp;ROW()-1),'Heat Sheet'!$A:$A)+1, COLUMN()), IF(ISNA(_xlpm.VAL), "", IF(_xlpm.VAL=0, "", _xlpm.VAL)))</f>
        <v/>
      </c>
      <c r="F426" s="154" t="str" cm="1">
        <f t="array" aca="1" ref="F426" ca="1">_xlfn.LET(_xlpm.VAL, INDEX('Heat Sheet'!$A:$I, _xlfn.XMATCH(INDIRECT("A"&amp;ROW()-1),'Heat Sheet'!$A:$A)+1, COLUMN()), IF(ISNA(_xlpm.VAL), "", IF(_xlpm.VAL=0, "", _xlpm.VAL)))</f>
        <v/>
      </c>
      <c r="G426" s="154" t="str" cm="1">
        <f t="array" aca="1" ref="G426" ca="1">_xlfn.LET(_xlpm.VAL, INDEX('Heat Sheet'!$A:$I, _xlfn.XMATCH(INDIRECT("A"&amp;ROW()-1),'Heat Sheet'!$A:$A)+1, COLUMN()), IF(ISNA(_xlpm.VAL), "", IF(_xlpm.VAL=0, "", _xlpm.VAL)))</f>
        <v/>
      </c>
      <c r="H426" s="154" t="str" cm="1">
        <f t="array" aca="1" ref="H426" ca="1">_xlfn.LET(_xlpm.VAL, INDEX('Heat Sheet'!$A:$I, _xlfn.XMATCH(INDIRECT("A"&amp;ROW()-1),'Heat Sheet'!$A:$A)+1, COLUMN()), IF(ISNA(_xlpm.VAL), "", IF(_xlpm.VAL=0, "", _xlpm.VAL)))</f>
        <v/>
      </c>
      <c r="I426" s="155" t="str" cm="1">
        <f t="array" aca="1" ref="I426" ca="1">_xlfn.LET(_xlpm.VAL, INDEX('Heat Sheet'!$A:$I, _xlfn.XMATCH(INDIRECT("A"&amp;ROW()-1),'Heat Sheet'!$A:$A)+1, COLUMN()), IF(ISNA(_xlpm.VAL), "", IF(_xlpm.VAL=0, "", _xlpm.VAL)))</f>
        <v/>
      </c>
    </row>
    <row r="427" spans="1:9" ht="15.75" customHeight="1" x14ac:dyDescent="0.2">
      <c r="A427" s="201"/>
      <c r="B427" s="202"/>
      <c r="C427" s="122" t="s">
        <v>22</v>
      </c>
      <c r="D427" s="124"/>
      <c r="E427" s="124"/>
      <c r="F427" s="124"/>
      <c r="G427" s="124"/>
      <c r="H427" s="124"/>
      <c r="I427" s="126"/>
    </row>
    <row r="428" spans="1:9" ht="15.75" customHeight="1" x14ac:dyDescent="0.2">
      <c r="A428" s="201"/>
      <c r="B428" s="202"/>
      <c r="C428" s="122" t="s">
        <v>23</v>
      </c>
      <c r="D428" s="158"/>
      <c r="E428" s="158"/>
      <c r="F428" s="158"/>
      <c r="G428" s="158"/>
      <c r="H428" s="158"/>
      <c r="I428" s="159"/>
    </row>
    <row r="429" spans="1:9" ht="15.75" customHeight="1" x14ac:dyDescent="0.2">
      <c r="A429" s="201"/>
      <c r="B429" s="202"/>
      <c r="C429" s="26" t="s">
        <v>14</v>
      </c>
      <c r="D429" s="160"/>
      <c r="E429" s="160"/>
      <c r="F429" s="160"/>
      <c r="G429" s="160"/>
      <c r="H429" s="160"/>
      <c r="I429" s="161"/>
    </row>
    <row r="430" spans="1:9" ht="15.75" customHeight="1" x14ac:dyDescent="0.2">
      <c r="A430" s="201">
        <v>86</v>
      </c>
      <c r="B430" s="202" t="str">
        <f>IFERROR(VLOOKUP(A430,'Heat Sheet'!$A:$I, 2, FALSE), "")</f>
        <v/>
      </c>
      <c r="C430" s="129" t="str" cm="1">
        <f t="array" aca="1" ref="C430" ca="1">_xlfn.LET(_xlpm.VAL, INDEX('Heat Sheet'!$A:$I, _xlfn.XMATCH(INDIRECT("A"&amp;ROW()),'Heat Sheet'!$A:$A), COLUMN()), IF(ISNA(_xlpm.VAL), "", IF(_xlpm.VAL=0, "", _xlpm.VAL)))</f>
        <v/>
      </c>
      <c r="D430" s="154" t="str" cm="1">
        <f t="array" aca="1" ref="D430" ca="1">_xlfn.LET(_xlpm.VAL, INDEX('Heat Sheet'!$A:$I, _xlfn.XMATCH(INDIRECT("A"&amp;ROW()),'Heat Sheet'!$A:$A), COLUMN()), IF(ISNA(_xlpm.VAL), "", IF(_xlpm.VAL=0, "", _xlpm.VAL)))</f>
        <v/>
      </c>
      <c r="E430" s="154" t="str" cm="1">
        <f t="array" aca="1" ref="E430" ca="1">_xlfn.LET(_xlpm.VAL, INDEX('Heat Sheet'!$A:$I, _xlfn.XMATCH(INDIRECT("A"&amp;ROW()),'Heat Sheet'!$A:$A), COLUMN()), IF(ISNA(_xlpm.VAL), "", IF(_xlpm.VAL=0, "", _xlpm.VAL)))</f>
        <v/>
      </c>
      <c r="F430" s="154" t="str" cm="1">
        <f t="array" aca="1" ref="F430" ca="1">_xlfn.LET(_xlpm.VAL, INDEX('Heat Sheet'!$A:$I, _xlfn.XMATCH(INDIRECT("A"&amp;ROW()),'Heat Sheet'!$A:$A), COLUMN()), IF(ISNA(_xlpm.VAL), "", IF(_xlpm.VAL=0, "", _xlpm.VAL)))</f>
        <v/>
      </c>
      <c r="G430" s="154" t="str" cm="1">
        <f t="array" aca="1" ref="G430" ca="1">_xlfn.LET(_xlpm.VAL, INDEX('Heat Sheet'!$A:$I, _xlfn.XMATCH(INDIRECT("A"&amp;ROW()),'Heat Sheet'!$A:$A), COLUMN()), IF(ISNA(_xlpm.VAL), "", IF(_xlpm.VAL=0, "", _xlpm.VAL)))</f>
        <v/>
      </c>
      <c r="H430" s="154" t="str" cm="1">
        <f t="array" aca="1" ref="H430" ca="1">_xlfn.LET(_xlpm.VAL, INDEX('Heat Sheet'!$A:$I, _xlfn.XMATCH(INDIRECT("A"&amp;ROW()),'Heat Sheet'!$A:$A), COLUMN()), IF(ISNA(_xlpm.VAL), "", IF(_xlpm.VAL=0, "", _xlpm.VAL)))</f>
        <v/>
      </c>
      <c r="I430" s="155" t="str" cm="1">
        <f t="array" aca="1" ref="I430" ca="1">_xlfn.LET(_xlpm.VAL, INDEX('Heat Sheet'!$A:$I, _xlfn.XMATCH(INDIRECT("A"&amp;ROW()),'Heat Sheet'!$A:$A), COLUMN()), IF(ISNA(_xlpm.VAL), "", IF(_xlpm.VAL=0, "", _xlpm.VAL)))</f>
        <v/>
      </c>
    </row>
    <row r="431" spans="1:9" ht="15.75" customHeight="1" x14ac:dyDescent="0.2">
      <c r="A431" s="201"/>
      <c r="B431" s="202"/>
      <c r="C431" s="129" t="str" cm="1">
        <f t="array" aca="1" ref="C431" ca="1">_xlfn.LET(_xlpm.VAL, INDEX('Heat Sheet'!$A:$I, _xlfn.XMATCH(INDIRECT("A"&amp;ROW()-1),'Heat Sheet'!$A:$A)+1, COLUMN()), IF(ISNA(_xlpm.VAL), "", IF(_xlpm.VAL=0, "", _xlpm.VAL)))</f>
        <v/>
      </c>
      <c r="D431" s="154" t="str" cm="1">
        <f t="array" aca="1" ref="D431" ca="1">_xlfn.LET(_xlpm.VAL, INDEX('Heat Sheet'!$A:$I, _xlfn.XMATCH(INDIRECT("A"&amp;ROW()-1),'Heat Sheet'!$A:$A)+1, COLUMN()), IF(ISNA(_xlpm.VAL), "", IF(_xlpm.VAL=0, "", _xlpm.VAL)))</f>
        <v/>
      </c>
      <c r="E431" s="154" t="str" cm="1">
        <f t="array" aca="1" ref="E431" ca="1">_xlfn.LET(_xlpm.VAL, INDEX('Heat Sheet'!$A:$I, _xlfn.XMATCH(INDIRECT("A"&amp;ROW()-1),'Heat Sheet'!$A:$A)+1, COLUMN()), IF(ISNA(_xlpm.VAL), "", IF(_xlpm.VAL=0, "", _xlpm.VAL)))</f>
        <v/>
      </c>
      <c r="F431" s="154" t="str" cm="1">
        <f t="array" aca="1" ref="F431" ca="1">_xlfn.LET(_xlpm.VAL, INDEX('Heat Sheet'!$A:$I, _xlfn.XMATCH(INDIRECT("A"&amp;ROW()-1),'Heat Sheet'!$A:$A)+1, COLUMN()), IF(ISNA(_xlpm.VAL), "", IF(_xlpm.VAL=0, "", _xlpm.VAL)))</f>
        <v/>
      </c>
      <c r="G431" s="154" t="str" cm="1">
        <f t="array" aca="1" ref="G431" ca="1">_xlfn.LET(_xlpm.VAL, INDEX('Heat Sheet'!$A:$I, _xlfn.XMATCH(INDIRECT("A"&amp;ROW()-1),'Heat Sheet'!$A:$A)+1, COLUMN()), IF(ISNA(_xlpm.VAL), "", IF(_xlpm.VAL=0, "", _xlpm.VAL)))</f>
        <v/>
      </c>
      <c r="H431" s="154" t="str" cm="1">
        <f t="array" aca="1" ref="H431" ca="1">_xlfn.LET(_xlpm.VAL, INDEX('Heat Sheet'!$A:$I, _xlfn.XMATCH(INDIRECT("A"&amp;ROW()-1),'Heat Sheet'!$A:$A)+1, COLUMN()), IF(ISNA(_xlpm.VAL), "", IF(_xlpm.VAL=0, "", _xlpm.VAL)))</f>
        <v/>
      </c>
      <c r="I431" s="155" t="str" cm="1">
        <f t="array" aca="1" ref="I431" ca="1">_xlfn.LET(_xlpm.VAL, INDEX('Heat Sheet'!$A:$I, _xlfn.XMATCH(INDIRECT("A"&amp;ROW()-1),'Heat Sheet'!$A:$A)+1, COLUMN()), IF(ISNA(_xlpm.VAL), "", IF(_xlpm.VAL=0, "", _xlpm.VAL)))</f>
        <v/>
      </c>
    </row>
    <row r="432" spans="1:9" ht="15.75" customHeight="1" x14ac:dyDescent="0.2">
      <c r="A432" s="201"/>
      <c r="B432" s="202"/>
      <c r="C432" s="122" t="s">
        <v>22</v>
      </c>
      <c r="D432" s="124"/>
      <c r="E432" s="124"/>
      <c r="F432" s="124"/>
      <c r="G432" s="124"/>
      <c r="H432" s="124"/>
      <c r="I432" s="126"/>
    </row>
    <row r="433" spans="1:9" ht="15.75" customHeight="1" x14ac:dyDescent="0.2">
      <c r="A433" s="201"/>
      <c r="B433" s="202"/>
      <c r="C433" s="122" t="s">
        <v>23</v>
      </c>
      <c r="D433" s="158"/>
      <c r="E433" s="158"/>
      <c r="F433" s="158"/>
      <c r="G433" s="158"/>
      <c r="H433" s="158"/>
      <c r="I433" s="159"/>
    </row>
    <row r="434" spans="1:9" ht="15.75" customHeight="1" x14ac:dyDescent="0.2">
      <c r="A434" s="201"/>
      <c r="B434" s="202"/>
      <c r="C434" s="26" t="s">
        <v>14</v>
      </c>
      <c r="D434" s="160"/>
      <c r="E434" s="160"/>
      <c r="F434" s="160"/>
      <c r="G434" s="160"/>
      <c r="H434" s="160"/>
      <c r="I434" s="161"/>
    </row>
    <row r="435" spans="1:9" ht="15.75" customHeight="1" x14ac:dyDescent="0.2">
      <c r="A435" s="201">
        <v>87</v>
      </c>
      <c r="B435" s="202" t="str">
        <f>IFERROR(VLOOKUP(A435,'Heat Sheet'!$A:$I, 2, FALSE), "")</f>
        <v/>
      </c>
      <c r="C435" s="129" t="str" cm="1">
        <f t="array" aca="1" ref="C435" ca="1">_xlfn.LET(_xlpm.VAL, INDEX('Heat Sheet'!$A:$I, _xlfn.XMATCH(INDIRECT("A"&amp;ROW()),'Heat Sheet'!$A:$A), COLUMN()), IF(ISNA(_xlpm.VAL), "", IF(_xlpm.VAL=0, "", _xlpm.VAL)))</f>
        <v/>
      </c>
      <c r="D435" s="154" t="str" cm="1">
        <f t="array" aca="1" ref="D435" ca="1">_xlfn.LET(_xlpm.VAL, INDEX('Heat Sheet'!$A:$I, _xlfn.XMATCH(INDIRECT("A"&amp;ROW()),'Heat Sheet'!$A:$A), COLUMN()), IF(ISNA(_xlpm.VAL), "", IF(_xlpm.VAL=0, "", _xlpm.VAL)))</f>
        <v/>
      </c>
      <c r="E435" s="154" t="str" cm="1">
        <f t="array" aca="1" ref="E435" ca="1">_xlfn.LET(_xlpm.VAL, INDEX('Heat Sheet'!$A:$I, _xlfn.XMATCH(INDIRECT("A"&amp;ROW()),'Heat Sheet'!$A:$A), COLUMN()), IF(ISNA(_xlpm.VAL), "", IF(_xlpm.VAL=0, "", _xlpm.VAL)))</f>
        <v/>
      </c>
      <c r="F435" s="154" t="str" cm="1">
        <f t="array" aca="1" ref="F435" ca="1">_xlfn.LET(_xlpm.VAL, INDEX('Heat Sheet'!$A:$I, _xlfn.XMATCH(INDIRECT("A"&amp;ROW()),'Heat Sheet'!$A:$A), COLUMN()), IF(ISNA(_xlpm.VAL), "", IF(_xlpm.VAL=0, "", _xlpm.VAL)))</f>
        <v/>
      </c>
      <c r="G435" s="154" t="str" cm="1">
        <f t="array" aca="1" ref="G435" ca="1">_xlfn.LET(_xlpm.VAL, INDEX('Heat Sheet'!$A:$I, _xlfn.XMATCH(INDIRECT("A"&amp;ROW()),'Heat Sheet'!$A:$A), COLUMN()), IF(ISNA(_xlpm.VAL), "", IF(_xlpm.VAL=0, "", _xlpm.VAL)))</f>
        <v/>
      </c>
      <c r="H435" s="154" t="str" cm="1">
        <f t="array" aca="1" ref="H435" ca="1">_xlfn.LET(_xlpm.VAL, INDEX('Heat Sheet'!$A:$I, _xlfn.XMATCH(INDIRECT("A"&amp;ROW()),'Heat Sheet'!$A:$A), COLUMN()), IF(ISNA(_xlpm.VAL), "", IF(_xlpm.VAL=0, "", _xlpm.VAL)))</f>
        <v/>
      </c>
      <c r="I435" s="155" t="str" cm="1">
        <f t="array" aca="1" ref="I435" ca="1">_xlfn.LET(_xlpm.VAL, INDEX('Heat Sheet'!$A:$I, _xlfn.XMATCH(INDIRECT("A"&amp;ROW()),'Heat Sheet'!$A:$A), COLUMN()), IF(ISNA(_xlpm.VAL), "", IF(_xlpm.VAL=0, "", _xlpm.VAL)))</f>
        <v/>
      </c>
    </row>
    <row r="436" spans="1:9" ht="15.75" customHeight="1" x14ac:dyDescent="0.2">
      <c r="A436" s="201"/>
      <c r="B436" s="202"/>
      <c r="C436" s="129" t="str" cm="1">
        <f t="array" aca="1" ref="C436" ca="1">_xlfn.LET(_xlpm.VAL, INDEX('Heat Sheet'!$A:$I, _xlfn.XMATCH(INDIRECT("A"&amp;ROW()-1),'Heat Sheet'!$A:$A)+1, COLUMN()), IF(ISNA(_xlpm.VAL), "", IF(_xlpm.VAL=0, "", _xlpm.VAL)))</f>
        <v/>
      </c>
      <c r="D436" s="154" t="str" cm="1">
        <f t="array" aca="1" ref="D436" ca="1">_xlfn.LET(_xlpm.VAL, INDEX('Heat Sheet'!$A:$I, _xlfn.XMATCH(INDIRECT("A"&amp;ROW()-1),'Heat Sheet'!$A:$A)+1, COLUMN()), IF(ISNA(_xlpm.VAL), "", IF(_xlpm.VAL=0, "", _xlpm.VAL)))</f>
        <v/>
      </c>
      <c r="E436" s="154" t="str" cm="1">
        <f t="array" aca="1" ref="E436" ca="1">_xlfn.LET(_xlpm.VAL, INDEX('Heat Sheet'!$A:$I, _xlfn.XMATCH(INDIRECT("A"&amp;ROW()-1),'Heat Sheet'!$A:$A)+1, COLUMN()), IF(ISNA(_xlpm.VAL), "", IF(_xlpm.VAL=0, "", _xlpm.VAL)))</f>
        <v/>
      </c>
      <c r="F436" s="154" t="str" cm="1">
        <f t="array" aca="1" ref="F436" ca="1">_xlfn.LET(_xlpm.VAL, INDEX('Heat Sheet'!$A:$I, _xlfn.XMATCH(INDIRECT("A"&amp;ROW()-1),'Heat Sheet'!$A:$A)+1, COLUMN()), IF(ISNA(_xlpm.VAL), "", IF(_xlpm.VAL=0, "", _xlpm.VAL)))</f>
        <v/>
      </c>
      <c r="G436" s="154" t="str" cm="1">
        <f t="array" aca="1" ref="G436" ca="1">_xlfn.LET(_xlpm.VAL, INDEX('Heat Sheet'!$A:$I, _xlfn.XMATCH(INDIRECT("A"&amp;ROW()-1),'Heat Sheet'!$A:$A)+1, COLUMN()), IF(ISNA(_xlpm.VAL), "", IF(_xlpm.VAL=0, "", _xlpm.VAL)))</f>
        <v/>
      </c>
      <c r="H436" s="154" t="str" cm="1">
        <f t="array" aca="1" ref="H436" ca="1">_xlfn.LET(_xlpm.VAL, INDEX('Heat Sheet'!$A:$I, _xlfn.XMATCH(INDIRECT("A"&amp;ROW()-1),'Heat Sheet'!$A:$A)+1, COLUMN()), IF(ISNA(_xlpm.VAL), "", IF(_xlpm.VAL=0, "", _xlpm.VAL)))</f>
        <v/>
      </c>
      <c r="I436" s="155" t="str" cm="1">
        <f t="array" aca="1" ref="I436" ca="1">_xlfn.LET(_xlpm.VAL, INDEX('Heat Sheet'!$A:$I, _xlfn.XMATCH(INDIRECT("A"&amp;ROW()-1),'Heat Sheet'!$A:$A)+1, COLUMN()), IF(ISNA(_xlpm.VAL), "", IF(_xlpm.VAL=0, "", _xlpm.VAL)))</f>
        <v/>
      </c>
    </row>
    <row r="437" spans="1:9" ht="15.75" customHeight="1" x14ac:dyDescent="0.2">
      <c r="A437" s="201"/>
      <c r="B437" s="202"/>
      <c r="C437" s="122" t="s">
        <v>22</v>
      </c>
      <c r="D437" s="124"/>
      <c r="E437" s="124"/>
      <c r="F437" s="124"/>
      <c r="G437" s="124"/>
      <c r="H437" s="124"/>
      <c r="I437" s="126"/>
    </row>
    <row r="438" spans="1:9" ht="15.75" customHeight="1" x14ac:dyDescent="0.2">
      <c r="A438" s="201"/>
      <c r="B438" s="202"/>
      <c r="C438" s="122" t="s">
        <v>23</v>
      </c>
      <c r="D438" s="158"/>
      <c r="E438" s="158"/>
      <c r="F438" s="158"/>
      <c r="G438" s="158"/>
      <c r="H438" s="158"/>
      <c r="I438" s="159"/>
    </row>
    <row r="439" spans="1:9" ht="15.75" customHeight="1" x14ac:dyDescent="0.2">
      <c r="A439" s="201"/>
      <c r="B439" s="202"/>
      <c r="C439" s="26" t="s">
        <v>14</v>
      </c>
      <c r="D439" s="160"/>
      <c r="E439" s="160"/>
      <c r="F439" s="160"/>
      <c r="G439" s="160"/>
      <c r="H439" s="160"/>
      <c r="I439" s="161"/>
    </row>
    <row r="440" spans="1:9" ht="15.75" customHeight="1" x14ac:dyDescent="0.2">
      <c r="A440" s="201">
        <v>88</v>
      </c>
      <c r="B440" s="202" t="str">
        <f>IFERROR(VLOOKUP(A440,'Heat Sheet'!$A:$I, 2, FALSE), "")</f>
        <v/>
      </c>
      <c r="C440" s="129" t="str" cm="1">
        <f t="array" aca="1" ref="C440" ca="1">_xlfn.LET(_xlpm.VAL, INDEX('Heat Sheet'!$A:$I, _xlfn.XMATCH(INDIRECT("A"&amp;ROW()),'Heat Sheet'!$A:$A), COLUMN()), IF(ISNA(_xlpm.VAL), "", IF(_xlpm.VAL=0, "", _xlpm.VAL)))</f>
        <v/>
      </c>
      <c r="D440" s="154" t="str" cm="1">
        <f t="array" aca="1" ref="D440" ca="1">_xlfn.LET(_xlpm.VAL, INDEX('Heat Sheet'!$A:$I, _xlfn.XMATCH(INDIRECT("A"&amp;ROW()),'Heat Sheet'!$A:$A), COLUMN()), IF(ISNA(_xlpm.VAL), "", IF(_xlpm.VAL=0, "", _xlpm.VAL)))</f>
        <v/>
      </c>
      <c r="E440" s="154" t="str" cm="1">
        <f t="array" aca="1" ref="E440" ca="1">_xlfn.LET(_xlpm.VAL, INDEX('Heat Sheet'!$A:$I, _xlfn.XMATCH(INDIRECT("A"&amp;ROW()),'Heat Sheet'!$A:$A), COLUMN()), IF(ISNA(_xlpm.VAL), "", IF(_xlpm.VAL=0, "", _xlpm.VAL)))</f>
        <v/>
      </c>
      <c r="F440" s="154" t="str" cm="1">
        <f t="array" aca="1" ref="F440" ca="1">_xlfn.LET(_xlpm.VAL, INDEX('Heat Sheet'!$A:$I, _xlfn.XMATCH(INDIRECT("A"&amp;ROW()),'Heat Sheet'!$A:$A), COLUMN()), IF(ISNA(_xlpm.VAL), "", IF(_xlpm.VAL=0, "", _xlpm.VAL)))</f>
        <v/>
      </c>
      <c r="G440" s="154" t="str" cm="1">
        <f t="array" aca="1" ref="G440" ca="1">_xlfn.LET(_xlpm.VAL, INDEX('Heat Sheet'!$A:$I, _xlfn.XMATCH(INDIRECT("A"&amp;ROW()),'Heat Sheet'!$A:$A), COLUMN()), IF(ISNA(_xlpm.VAL), "", IF(_xlpm.VAL=0, "", _xlpm.VAL)))</f>
        <v/>
      </c>
      <c r="H440" s="154" t="str" cm="1">
        <f t="array" aca="1" ref="H440" ca="1">_xlfn.LET(_xlpm.VAL, INDEX('Heat Sheet'!$A:$I, _xlfn.XMATCH(INDIRECT("A"&amp;ROW()),'Heat Sheet'!$A:$A), COLUMN()), IF(ISNA(_xlpm.VAL), "", IF(_xlpm.VAL=0, "", _xlpm.VAL)))</f>
        <v/>
      </c>
      <c r="I440" s="155" t="str" cm="1">
        <f t="array" aca="1" ref="I440" ca="1">_xlfn.LET(_xlpm.VAL, INDEX('Heat Sheet'!$A:$I, _xlfn.XMATCH(INDIRECT("A"&amp;ROW()),'Heat Sheet'!$A:$A), COLUMN()), IF(ISNA(_xlpm.VAL), "", IF(_xlpm.VAL=0, "", _xlpm.VAL)))</f>
        <v/>
      </c>
    </row>
    <row r="441" spans="1:9" ht="15.75" customHeight="1" x14ac:dyDescent="0.2">
      <c r="A441" s="201"/>
      <c r="B441" s="202"/>
      <c r="C441" s="129" t="str" cm="1">
        <f t="array" aca="1" ref="C441" ca="1">_xlfn.LET(_xlpm.VAL, INDEX('Heat Sheet'!$A:$I, _xlfn.XMATCH(INDIRECT("A"&amp;ROW()-1),'Heat Sheet'!$A:$A)+1, COLUMN()), IF(ISNA(_xlpm.VAL), "", IF(_xlpm.VAL=0, "", _xlpm.VAL)))</f>
        <v/>
      </c>
      <c r="D441" s="154" t="str" cm="1">
        <f t="array" aca="1" ref="D441" ca="1">_xlfn.LET(_xlpm.VAL, INDEX('Heat Sheet'!$A:$I, _xlfn.XMATCH(INDIRECT("A"&amp;ROW()-1),'Heat Sheet'!$A:$A)+1, COLUMN()), IF(ISNA(_xlpm.VAL), "", IF(_xlpm.VAL=0, "", _xlpm.VAL)))</f>
        <v/>
      </c>
      <c r="E441" s="154" t="str" cm="1">
        <f t="array" aca="1" ref="E441" ca="1">_xlfn.LET(_xlpm.VAL, INDEX('Heat Sheet'!$A:$I, _xlfn.XMATCH(INDIRECT("A"&amp;ROW()-1),'Heat Sheet'!$A:$A)+1, COLUMN()), IF(ISNA(_xlpm.VAL), "", IF(_xlpm.VAL=0, "", _xlpm.VAL)))</f>
        <v/>
      </c>
      <c r="F441" s="154" t="str" cm="1">
        <f t="array" aca="1" ref="F441" ca="1">_xlfn.LET(_xlpm.VAL, INDEX('Heat Sheet'!$A:$I, _xlfn.XMATCH(INDIRECT("A"&amp;ROW()-1),'Heat Sheet'!$A:$A)+1, COLUMN()), IF(ISNA(_xlpm.VAL), "", IF(_xlpm.VAL=0, "", _xlpm.VAL)))</f>
        <v/>
      </c>
      <c r="G441" s="154" t="str" cm="1">
        <f t="array" aca="1" ref="G441" ca="1">_xlfn.LET(_xlpm.VAL, INDEX('Heat Sheet'!$A:$I, _xlfn.XMATCH(INDIRECT("A"&amp;ROW()-1),'Heat Sheet'!$A:$A)+1, COLUMN()), IF(ISNA(_xlpm.VAL), "", IF(_xlpm.VAL=0, "", _xlpm.VAL)))</f>
        <v/>
      </c>
      <c r="H441" s="154" t="str" cm="1">
        <f t="array" aca="1" ref="H441" ca="1">_xlfn.LET(_xlpm.VAL, INDEX('Heat Sheet'!$A:$I, _xlfn.XMATCH(INDIRECT("A"&amp;ROW()-1),'Heat Sheet'!$A:$A)+1, COLUMN()), IF(ISNA(_xlpm.VAL), "", IF(_xlpm.VAL=0, "", _xlpm.VAL)))</f>
        <v/>
      </c>
      <c r="I441" s="155" t="str" cm="1">
        <f t="array" aca="1" ref="I441" ca="1">_xlfn.LET(_xlpm.VAL, INDEX('Heat Sheet'!$A:$I, _xlfn.XMATCH(INDIRECT("A"&amp;ROW()-1),'Heat Sheet'!$A:$A)+1, COLUMN()), IF(ISNA(_xlpm.VAL), "", IF(_xlpm.VAL=0, "", _xlpm.VAL)))</f>
        <v/>
      </c>
    </row>
    <row r="442" spans="1:9" ht="15.75" customHeight="1" x14ac:dyDescent="0.2">
      <c r="A442" s="201"/>
      <c r="B442" s="202"/>
      <c r="C442" s="122" t="s">
        <v>22</v>
      </c>
      <c r="D442" s="124"/>
      <c r="E442" s="124"/>
      <c r="F442" s="124"/>
      <c r="G442" s="124"/>
      <c r="H442" s="124"/>
      <c r="I442" s="126"/>
    </row>
    <row r="443" spans="1:9" ht="15.75" customHeight="1" x14ac:dyDescent="0.2">
      <c r="A443" s="201"/>
      <c r="B443" s="202"/>
      <c r="C443" s="122" t="s">
        <v>23</v>
      </c>
      <c r="D443" s="158"/>
      <c r="E443" s="158"/>
      <c r="F443" s="158"/>
      <c r="G443" s="158"/>
      <c r="H443" s="158"/>
      <c r="I443" s="159"/>
    </row>
    <row r="444" spans="1:9" ht="15.75" customHeight="1" x14ac:dyDescent="0.2">
      <c r="A444" s="201"/>
      <c r="B444" s="202"/>
      <c r="C444" s="26" t="s">
        <v>14</v>
      </c>
      <c r="D444" s="160"/>
      <c r="E444" s="160"/>
      <c r="F444" s="160"/>
      <c r="G444" s="160"/>
      <c r="H444" s="160"/>
      <c r="I444" s="161"/>
    </row>
    <row r="445" spans="1:9" ht="15.75" customHeight="1" x14ac:dyDescent="0.2">
      <c r="A445" s="201">
        <v>89</v>
      </c>
      <c r="B445" s="202" t="str">
        <f>IFERROR(VLOOKUP(A445,'Heat Sheet'!$A:$I, 2, FALSE), "")</f>
        <v/>
      </c>
      <c r="C445" s="129" t="str" cm="1">
        <f t="array" aca="1" ref="C445" ca="1">_xlfn.LET(_xlpm.VAL, INDEX('Heat Sheet'!$A:$I, _xlfn.XMATCH(INDIRECT("A"&amp;ROW()),'Heat Sheet'!$A:$A), COLUMN()), IF(ISNA(_xlpm.VAL), "", IF(_xlpm.VAL=0, "", _xlpm.VAL)))</f>
        <v/>
      </c>
      <c r="D445" s="154" t="str" cm="1">
        <f t="array" aca="1" ref="D445" ca="1">_xlfn.LET(_xlpm.VAL, INDEX('Heat Sheet'!$A:$I, _xlfn.XMATCH(INDIRECT("A"&amp;ROW()),'Heat Sheet'!$A:$A), COLUMN()), IF(ISNA(_xlpm.VAL), "", IF(_xlpm.VAL=0, "", _xlpm.VAL)))</f>
        <v/>
      </c>
      <c r="E445" s="154" t="str" cm="1">
        <f t="array" aca="1" ref="E445" ca="1">_xlfn.LET(_xlpm.VAL, INDEX('Heat Sheet'!$A:$I, _xlfn.XMATCH(INDIRECT("A"&amp;ROW()),'Heat Sheet'!$A:$A), COLUMN()), IF(ISNA(_xlpm.VAL), "", IF(_xlpm.VAL=0, "", _xlpm.VAL)))</f>
        <v/>
      </c>
      <c r="F445" s="154" t="str" cm="1">
        <f t="array" aca="1" ref="F445" ca="1">_xlfn.LET(_xlpm.VAL, INDEX('Heat Sheet'!$A:$I, _xlfn.XMATCH(INDIRECT("A"&amp;ROW()),'Heat Sheet'!$A:$A), COLUMN()), IF(ISNA(_xlpm.VAL), "", IF(_xlpm.VAL=0, "", _xlpm.VAL)))</f>
        <v/>
      </c>
      <c r="G445" s="154" t="str" cm="1">
        <f t="array" aca="1" ref="G445" ca="1">_xlfn.LET(_xlpm.VAL, INDEX('Heat Sheet'!$A:$I, _xlfn.XMATCH(INDIRECT("A"&amp;ROW()),'Heat Sheet'!$A:$A), COLUMN()), IF(ISNA(_xlpm.VAL), "", IF(_xlpm.VAL=0, "", _xlpm.VAL)))</f>
        <v/>
      </c>
      <c r="H445" s="154" t="str" cm="1">
        <f t="array" aca="1" ref="H445" ca="1">_xlfn.LET(_xlpm.VAL, INDEX('Heat Sheet'!$A:$I, _xlfn.XMATCH(INDIRECT("A"&amp;ROW()),'Heat Sheet'!$A:$A), COLUMN()), IF(ISNA(_xlpm.VAL), "", IF(_xlpm.VAL=0, "", _xlpm.VAL)))</f>
        <v/>
      </c>
      <c r="I445" s="155" t="str" cm="1">
        <f t="array" aca="1" ref="I445" ca="1">_xlfn.LET(_xlpm.VAL, INDEX('Heat Sheet'!$A:$I, _xlfn.XMATCH(INDIRECT("A"&amp;ROW()),'Heat Sheet'!$A:$A), COLUMN()), IF(ISNA(_xlpm.VAL), "", IF(_xlpm.VAL=0, "", _xlpm.VAL)))</f>
        <v/>
      </c>
    </row>
    <row r="446" spans="1:9" ht="15.75" customHeight="1" x14ac:dyDescent="0.2">
      <c r="A446" s="201"/>
      <c r="B446" s="202"/>
      <c r="C446" s="129" t="str" cm="1">
        <f t="array" aca="1" ref="C446" ca="1">_xlfn.LET(_xlpm.VAL, INDEX('Heat Sheet'!$A:$I, _xlfn.XMATCH(INDIRECT("A"&amp;ROW()-1),'Heat Sheet'!$A:$A)+1, COLUMN()), IF(ISNA(_xlpm.VAL), "", IF(_xlpm.VAL=0, "", _xlpm.VAL)))</f>
        <v/>
      </c>
      <c r="D446" s="154" t="str" cm="1">
        <f t="array" aca="1" ref="D446" ca="1">_xlfn.LET(_xlpm.VAL, INDEX('Heat Sheet'!$A:$I, _xlfn.XMATCH(INDIRECT("A"&amp;ROW()-1),'Heat Sheet'!$A:$A)+1, COLUMN()), IF(ISNA(_xlpm.VAL), "", IF(_xlpm.VAL=0, "", _xlpm.VAL)))</f>
        <v/>
      </c>
      <c r="E446" s="154" t="str" cm="1">
        <f t="array" aca="1" ref="E446" ca="1">_xlfn.LET(_xlpm.VAL, INDEX('Heat Sheet'!$A:$I, _xlfn.XMATCH(INDIRECT("A"&amp;ROW()-1),'Heat Sheet'!$A:$A)+1, COLUMN()), IF(ISNA(_xlpm.VAL), "", IF(_xlpm.VAL=0, "", _xlpm.VAL)))</f>
        <v/>
      </c>
      <c r="F446" s="154" t="str" cm="1">
        <f t="array" aca="1" ref="F446" ca="1">_xlfn.LET(_xlpm.VAL, INDEX('Heat Sheet'!$A:$I, _xlfn.XMATCH(INDIRECT("A"&amp;ROW()-1),'Heat Sheet'!$A:$A)+1, COLUMN()), IF(ISNA(_xlpm.VAL), "", IF(_xlpm.VAL=0, "", _xlpm.VAL)))</f>
        <v/>
      </c>
      <c r="G446" s="154" t="str" cm="1">
        <f t="array" aca="1" ref="G446" ca="1">_xlfn.LET(_xlpm.VAL, INDEX('Heat Sheet'!$A:$I, _xlfn.XMATCH(INDIRECT("A"&amp;ROW()-1),'Heat Sheet'!$A:$A)+1, COLUMN()), IF(ISNA(_xlpm.VAL), "", IF(_xlpm.VAL=0, "", _xlpm.VAL)))</f>
        <v/>
      </c>
      <c r="H446" s="154" t="str" cm="1">
        <f t="array" aca="1" ref="H446" ca="1">_xlfn.LET(_xlpm.VAL, INDEX('Heat Sheet'!$A:$I, _xlfn.XMATCH(INDIRECT("A"&amp;ROW()-1),'Heat Sheet'!$A:$A)+1, COLUMN()), IF(ISNA(_xlpm.VAL), "", IF(_xlpm.VAL=0, "", _xlpm.VAL)))</f>
        <v/>
      </c>
      <c r="I446" s="155" t="str" cm="1">
        <f t="array" aca="1" ref="I446" ca="1">_xlfn.LET(_xlpm.VAL, INDEX('Heat Sheet'!$A:$I, _xlfn.XMATCH(INDIRECT("A"&amp;ROW()-1),'Heat Sheet'!$A:$A)+1, COLUMN()), IF(ISNA(_xlpm.VAL), "", IF(_xlpm.VAL=0, "", _xlpm.VAL)))</f>
        <v/>
      </c>
    </row>
    <row r="447" spans="1:9" ht="15.75" customHeight="1" x14ac:dyDescent="0.2">
      <c r="A447" s="201"/>
      <c r="B447" s="202"/>
      <c r="C447" s="122" t="s">
        <v>22</v>
      </c>
      <c r="D447" s="124"/>
      <c r="E447" s="124"/>
      <c r="F447" s="124"/>
      <c r="G447" s="124"/>
      <c r="H447" s="124"/>
      <c r="I447" s="126"/>
    </row>
    <row r="448" spans="1:9" ht="15.75" customHeight="1" x14ac:dyDescent="0.2">
      <c r="A448" s="201"/>
      <c r="B448" s="202"/>
      <c r="C448" s="122" t="s">
        <v>23</v>
      </c>
      <c r="D448" s="158"/>
      <c r="E448" s="158"/>
      <c r="F448" s="158"/>
      <c r="G448" s="158"/>
      <c r="H448" s="158"/>
      <c r="I448" s="159"/>
    </row>
    <row r="449" spans="1:9" ht="15.75" customHeight="1" x14ac:dyDescent="0.2">
      <c r="A449" s="201"/>
      <c r="B449" s="202"/>
      <c r="C449" s="26" t="s">
        <v>14</v>
      </c>
      <c r="D449" s="160"/>
      <c r="E449" s="160"/>
      <c r="F449" s="160"/>
      <c r="G449" s="160"/>
      <c r="H449" s="160"/>
      <c r="I449" s="161"/>
    </row>
    <row r="450" spans="1:9" ht="15.75" customHeight="1" x14ac:dyDescent="0.2">
      <c r="A450" s="201">
        <v>90</v>
      </c>
      <c r="B450" s="202" t="str">
        <f>IFERROR(VLOOKUP(A450,'Heat Sheet'!$A:$I, 2, FALSE), "")</f>
        <v/>
      </c>
      <c r="C450" s="129" t="str" cm="1">
        <f t="array" aca="1" ref="C450" ca="1">_xlfn.LET(_xlpm.VAL, INDEX('Heat Sheet'!$A:$I, _xlfn.XMATCH(INDIRECT("A"&amp;ROW()),'Heat Sheet'!$A:$A), COLUMN()), IF(ISNA(_xlpm.VAL), "", IF(_xlpm.VAL=0, "", _xlpm.VAL)))</f>
        <v/>
      </c>
      <c r="D450" s="154" t="str" cm="1">
        <f t="array" aca="1" ref="D450" ca="1">_xlfn.LET(_xlpm.VAL, INDEX('Heat Sheet'!$A:$I, _xlfn.XMATCH(INDIRECT("A"&amp;ROW()),'Heat Sheet'!$A:$A), COLUMN()), IF(ISNA(_xlpm.VAL), "", IF(_xlpm.VAL=0, "", _xlpm.VAL)))</f>
        <v/>
      </c>
      <c r="E450" s="154" t="str" cm="1">
        <f t="array" aca="1" ref="E450" ca="1">_xlfn.LET(_xlpm.VAL, INDEX('Heat Sheet'!$A:$I, _xlfn.XMATCH(INDIRECT("A"&amp;ROW()),'Heat Sheet'!$A:$A), COLUMN()), IF(ISNA(_xlpm.VAL), "", IF(_xlpm.VAL=0, "", _xlpm.VAL)))</f>
        <v/>
      </c>
      <c r="F450" s="154" t="str" cm="1">
        <f t="array" aca="1" ref="F450" ca="1">_xlfn.LET(_xlpm.VAL, INDEX('Heat Sheet'!$A:$I, _xlfn.XMATCH(INDIRECT("A"&amp;ROW()),'Heat Sheet'!$A:$A), COLUMN()), IF(ISNA(_xlpm.VAL), "", IF(_xlpm.VAL=0, "", _xlpm.VAL)))</f>
        <v/>
      </c>
      <c r="G450" s="154" t="str" cm="1">
        <f t="array" aca="1" ref="G450" ca="1">_xlfn.LET(_xlpm.VAL, INDEX('Heat Sheet'!$A:$I, _xlfn.XMATCH(INDIRECT("A"&amp;ROW()),'Heat Sheet'!$A:$A), COLUMN()), IF(ISNA(_xlpm.VAL), "", IF(_xlpm.VAL=0, "", _xlpm.VAL)))</f>
        <v/>
      </c>
      <c r="H450" s="154" t="str" cm="1">
        <f t="array" aca="1" ref="H450" ca="1">_xlfn.LET(_xlpm.VAL, INDEX('Heat Sheet'!$A:$I, _xlfn.XMATCH(INDIRECT("A"&amp;ROW()),'Heat Sheet'!$A:$A), COLUMN()), IF(ISNA(_xlpm.VAL), "", IF(_xlpm.VAL=0, "", _xlpm.VAL)))</f>
        <v/>
      </c>
      <c r="I450" s="155" t="str" cm="1">
        <f t="array" aca="1" ref="I450" ca="1">_xlfn.LET(_xlpm.VAL, INDEX('Heat Sheet'!$A:$I, _xlfn.XMATCH(INDIRECT("A"&amp;ROW()),'Heat Sheet'!$A:$A), COLUMN()), IF(ISNA(_xlpm.VAL), "", IF(_xlpm.VAL=0, "", _xlpm.VAL)))</f>
        <v/>
      </c>
    </row>
    <row r="451" spans="1:9" ht="15.75" customHeight="1" x14ac:dyDescent="0.2">
      <c r="A451" s="201"/>
      <c r="B451" s="202"/>
      <c r="C451" s="129" t="str" cm="1">
        <f t="array" aca="1" ref="C451" ca="1">_xlfn.LET(_xlpm.VAL, INDEX('Heat Sheet'!$A:$I, _xlfn.XMATCH(INDIRECT("A"&amp;ROW()-1),'Heat Sheet'!$A:$A)+1, COLUMN()), IF(ISNA(_xlpm.VAL), "", IF(_xlpm.VAL=0, "", _xlpm.VAL)))</f>
        <v/>
      </c>
      <c r="D451" s="154" t="str" cm="1">
        <f t="array" aca="1" ref="D451" ca="1">_xlfn.LET(_xlpm.VAL, INDEX('Heat Sheet'!$A:$I, _xlfn.XMATCH(INDIRECT("A"&amp;ROW()-1),'Heat Sheet'!$A:$A)+1, COLUMN()), IF(ISNA(_xlpm.VAL), "", IF(_xlpm.VAL=0, "", _xlpm.VAL)))</f>
        <v/>
      </c>
      <c r="E451" s="154" t="str" cm="1">
        <f t="array" aca="1" ref="E451" ca="1">_xlfn.LET(_xlpm.VAL, INDEX('Heat Sheet'!$A:$I, _xlfn.XMATCH(INDIRECT("A"&amp;ROW()-1),'Heat Sheet'!$A:$A)+1, COLUMN()), IF(ISNA(_xlpm.VAL), "", IF(_xlpm.VAL=0, "", _xlpm.VAL)))</f>
        <v/>
      </c>
      <c r="F451" s="154" t="str" cm="1">
        <f t="array" aca="1" ref="F451" ca="1">_xlfn.LET(_xlpm.VAL, INDEX('Heat Sheet'!$A:$I, _xlfn.XMATCH(INDIRECT("A"&amp;ROW()-1),'Heat Sheet'!$A:$A)+1, COLUMN()), IF(ISNA(_xlpm.VAL), "", IF(_xlpm.VAL=0, "", _xlpm.VAL)))</f>
        <v/>
      </c>
      <c r="G451" s="154" t="str" cm="1">
        <f t="array" aca="1" ref="G451" ca="1">_xlfn.LET(_xlpm.VAL, INDEX('Heat Sheet'!$A:$I, _xlfn.XMATCH(INDIRECT("A"&amp;ROW()-1),'Heat Sheet'!$A:$A)+1, COLUMN()), IF(ISNA(_xlpm.VAL), "", IF(_xlpm.VAL=0, "", _xlpm.VAL)))</f>
        <v/>
      </c>
      <c r="H451" s="154" t="str" cm="1">
        <f t="array" aca="1" ref="H451" ca="1">_xlfn.LET(_xlpm.VAL, INDEX('Heat Sheet'!$A:$I, _xlfn.XMATCH(INDIRECT("A"&amp;ROW()-1),'Heat Sheet'!$A:$A)+1, COLUMN()), IF(ISNA(_xlpm.VAL), "", IF(_xlpm.VAL=0, "", _xlpm.VAL)))</f>
        <v/>
      </c>
      <c r="I451" s="155" t="str" cm="1">
        <f t="array" aca="1" ref="I451" ca="1">_xlfn.LET(_xlpm.VAL, INDEX('Heat Sheet'!$A:$I, _xlfn.XMATCH(INDIRECT("A"&amp;ROW()-1),'Heat Sheet'!$A:$A)+1, COLUMN()), IF(ISNA(_xlpm.VAL), "", IF(_xlpm.VAL=0, "", _xlpm.VAL)))</f>
        <v/>
      </c>
    </row>
    <row r="452" spans="1:9" ht="15.75" customHeight="1" x14ac:dyDescent="0.2">
      <c r="A452" s="201"/>
      <c r="B452" s="202"/>
      <c r="C452" s="122" t="s">
        <v>22</v>
      </c>
      <c r="D452" s="124"/>
      <c r="E452" s="124"/>
      <c r="F452" s="124"/>
      <c r="G452" s="124"/>
      <c r="H452" s="124"/>
      <c r="I452" s="126"/>
    </row>
    <row r="453" spans="1:9" ht="15.75" customHeight="1" x14ac:dyDescent="0.2">
      <c r="A453" s="201"/>
      <c r="B453" s="202"/>
      <c r="C453" s="122" t="s">
        <v>23</v>
      </c>
      <c r="D453" s="158"/>
      <c r="E453" s="158"/>
      <c r="F453" s="158"/>
      <c r="G453" s="158"/>
      <c r="H453" s="158"/>
      <c r="I453" s="159"/>
    </row>
    <row r="454" spans="1:9" ht="15.75" customHeight="1" x14ac:dyDescent="0.2">
      <c r="A454" s="201"/>
      <c r="B454" s="202"/>
      <c r="C454" s="26" t="s">
        <v>14</v>
      </c>
      <c r="D454" s="160"/>
      <c r="E454" s="160"/>
      <c r="F454" s="160"/>
      <c r="G454" s="160"/>
      <c r="H454" s="160"/>
      <c r="I454" s="161"/>
    </row>
    <row r="455" spans="1:9" ht="15.75" customHeight="1" x14ac:dyDescent="0.2">
      <c r="A455" s="201">
        <v>91</v>
      </c>
      <c r="B455" s="202" t="str">
        <f>IFERROR(VLOOKUP(A455,'Heat Sheet'!$A:$I, 2, FALSE), "")</f>
        <v/>
      </c>
      <c r="C455" s="129" t="str" cm="1">
        <f t="array" aca="1" ref="C455" ca="1">_xlfn.LET(_xlpm.VAL, INDEX('Heat Sheet'!$A:$I, _xlfn.XMATCH(INDIRECT("A"&amp;ROW()),'Heat Sheet'!$A:$A), COLUMN()), IF(ISNA(_xlpm.VAL), "", IF(_xlpm.VAL=0, "", _xlpm.VAL)))</f>
        <v/>
      </c>
      <c r="D455" s="154" t="str" cm="1">
        <f t="array" aca="1" ref="D455" ca="1">_xlfn.LET(_xlpm.VAL, INDEX('Heat Sheet'!$A:$I, _xlfn.XMATCH(INDIRECT("A"&amp;ROW()),'Heat Sheet'!$A:$A), COLUMN()), IF(ISNA(_xlpm.VAL), "", IF(_xlpm.VAL=0, "", _xlpm.VAL)))</f>
        <v/>
      </c>
      <c r="E455" s="154" t="str" cm="1">
        <f t="array" aca="1" ref="E455" ca="1">_xlfn.LET(_xlpm.VAL, INDEX('Heat Sheet'!$A:$I, _xlfn.XMATCH(INDIRECT("A"&amp;ROW()),'Heat Sheet'!$A:$A), COLUMN()), IF(ISNA(_xlpm.VAL), "", IF(_xlpm.VAL=0, "", _xlpm.VAL)))</f>
        <v/>
      </c>
      <c r="F455" s="154" t="str" cm="1">
        <f t="array" aca="1" ref="F455" ca="1">_xlfn.LET(_xlpm.VAL, INDEX('Heat Sheet'!$A:$I, _xlfn.XMATCH(INDIRECT("A"&amp;ROW()),'Heat Sheet'!$A:$A), COLUMN()), IF(ISNA(_xlpm.VAL), "", IF(_xlpm.VAL=0, "", _xlpm.VAL)))</f>
        <v/>
      </c>
      <c r="G455" s="154" t="str" cm="1">
        <f t="array" aca="1" ref="G455" ca="1">_xlfn.LET(_xlpm.VAL, INDEX('Heat Sheet'!$A:$I, _xlfn.XMATCH(INDIRECT("A"&amp;ROW()),'Heat Sheet'!$A:$A), COLUMN()), IF(ISNA(_xlpm.VAL), "", IF(_xlpm.VAL=0, "", _xlpm.VAL)))</f>
        <v/>
      </c>
      <c r="H455" s="154" t="str" cm="1">
        <f t="array" aca="1" ref="H455" ca="1">_xlfn.LET(_xlpm.VAL, INDEX('Heat Sheet'!$A:$I, _xlfn.XMATCH(INDIRECT("A"&amp;ROW()),'Heat Sheet'!$A:$A), COLUMN()), IF(ISNA(_xlpm.VAL), "", IF(_xlpm.VAL=0, "", _xlpm.VAL)))</f>
        <v/>
      </c>
      <c r="I455" s="155" t="str" cm="1">
        <f t="array" aca="1" ref="I455" ca="1">_xlfn.LET(_xlpm.VAL, INDEX('Heat Sheet'!$A:$I, _xlfn.XMATCH(INDIRECT("A"&amp;ROW()),'Heat Sheet'!$A:$A), COLUMN()), IF(ISNA(_xlpm.VAL), "", IF(_xlpm.VAL=0, "", _xlpm.VAL)))</f>
        <v/>
      </c>
    </row>
    <row r="456" spans="1:9" ht="15.75" customHeight="1" x14ac:dyDescent="0.2">
      <c r="A456" s="201"/>
      <c r="B456" s="202"/>
      <c r="C456" s="129" t="str" cm="1">
        <f t="array" aca="1" ref="C456" ca="1">_xlfn.LET(_xlpm.VAL, INDEX('Heat Sheet'!$A:$I, _xlfn.XMATCH(INDIRECT("A"&amp;ROW()-1),'Heat Sheet'!$A:$A)+1, COLUMN()), IF(ISNA(_xlpm.VAL), "", IF(_xlpm.VAL=0, "", _xlpm.VAL)))</f>
        <v/>
      </c>
      <c r="D456" s="154" t="str" cm="1">
        <f t="array" aca="1" ref="D456" ca="1">_xlfn.LET(_xlpm.VAL, INDEX('Heat Sheet'!$A:$I, _xlfn.XMATCH(INDIRECT("A"&amp;ROW()-1),'Heat Sheet'!$A:$A)+1, COLUMN()), IF(ISNA(_xlpm.VAL), "", IF(_xlpm.VAL=0, "", _xlpm.VAL)))</f>
        <v/>
      </c>
      <c r="E456" s="154" t="str" cm="1">
        <f t="array" aca="1" ref="E456" ca="1">_xlfn.LET(_xlpm.VAL, INDEX('Heat Sheet'!$A:$I, _xlfn.XMATCH(INDIRECT("A"&amp;ROW()-1),'Heat Sheet'!$A:$A)+1, COLUMN()), IF(ISNA(_xlpm.VAL), "", IF(_xlpm.VAL=0, "", _xlpm.VAL)))</f>
        <v/>
      </c>
      <c r="F456" s="154" t="str" cm="1">
        <f t="array" aca="1" ref="F456" ca="1">_xlfn.LET(_xlpm.VAL, INDEX('Heat Sheet'!$A:$I, _xlfn.XMATCH(INDIRECT("A"&amp;ROW()-1),'Heat Sheet'!$A:$A)+1, COLUMN()), IF(ISNA(_xlpm.VAL), "", IF(_xlpm.VAL=0, "", _xlpm.VAL)))</f>
        <v/>
      </c>
      <c r="G456" s="154" t="str" cm="1">
        <f t="array" aca="1" ref="G456" ca="1">_xlfn.LET(_xlpm.VAL, INDEX('Heat Sheet'!$A:$I, _xlfn.XMATCH(INDIRECT("A"&amp;ROW()-1),'Heat Sheet'!$A:$A)+1, COLUMN()), IF(ISNA(_xlpm.VAL), "", IF(_xlpm.VAL=0, "", _xlpm.VAL)))</f>
        <v/>
      </c>
      <c r="H456" s="154" t="str" cm="1">
        <f t="array" aca="1" ref="H456" ca="1">_xlfn.LET(_xlpm.VAL, INDEX('Heat Sheet'!$A:$I, _xlfn.XMATCH(INDIRECT("A"&amp;ROW()-1),'Heat Sheet'!$A:$A)+1, COLUMN()), IF(ISNA(_xlpm.VAL), "", IF(_xlpm.VAL=0, "", _xlpm.VAL)))</f>
        <v/>
      </c>
      <c r="I456" s="155" t="str" cm="1">
        <f t="array" aca="1" ref="I456" ca="1">_xlfn.LET(_xlpm.VAL, INDEX('Heat Sheet'!$A:$I, _xlfn.XMATCH(INDIRECT("A"&amp;ROW()-1),'Heat Sheet'!$A:$A)+1, COLUMN()), IF(ISNA(_xlpm.VAL), "", IF(_xlpm.VAL=0, "", _xlpm.VAL)))</f>
        <v/>
      </c>
    </row>
    <row r="457" spans="1:9" ht="15.75" customHeight="1" x14ac:dyDescent="0.2">
      <c r="A457" s="201"/>
      <c r="B457" s="202"/>
      <c r="C457" s="122" t="s">
        <v>22</v>
      </c>
      <c r="D457" s="124"/>
      <c r="E457" s="124"/>
      <c r="F457" s="124"/>
      <c r="G457" s="124"/>
      <c r="H457" s="124"/>
      <c r="I457" s="126"/>
    </row>
    <row r="458" spans="1:9" ht="15.75" customHeight="1" x14ac:dyDescent="0.2">
      <c r="A458" s="201"/>
      <c r="B458" s="202"/>
      <c r="C458" s="122" t="s">
        <v>23</v>
      </c>
      <c r="D458" s="158"/>
      <c r="E458" s="158"/>
      <c r="F458" s="158"/>
      <c r="G458" s="158"/>
      <c r="H458" s="158"/>
      <c r="I458" s="159"/>
    </row>
    <row r="459" spans="1:9" ht="15.75" customHeight="1" x14ac:dyDescent="0.2">
      <c r="A459" s="201"/>
      <c r="B459" s="202"/>
      <c r="C459" s="26" t="s">
        <v>14</v>
      </c>
      <c r="D459" s="160"/>
      <c r="E459" s="160"/>
      <c r="F459" s="160"/>
      <c r="G459" s="160"/>
      <c r="H459" s="160"/>
      <c r="I459" s="161"/>
    </row>
    <row r="460" spans="1:9" ht="15.75" customHeight="1" x14ac:dyDescent="0.2">
      <c r="A460" s="201">
        <v>92</v>
      </c>
      <c r="B460" s="202" t="str">
        <f>IFERROR(VLOOKUP(A460,'Heat Sheet'!$A:$I, 2, FALSE), "")</f>
        <v/>
      </c>
      <c r="C460" s="129" t="str" cm="1">
        <f t="array" aca="1" ref="C460" ca="1">_xlfn.LET(_xlpm.VAL, INDEX('Heat Sheet'!$A:$I, _xlfn.XMATCH(INDIRECT("A"&amp;ROW()),'Heat Sheet'!$A:$A), COLUMN()), IF(ISNA(_xlpm.VAL), "", IF(_xlpm.VAL=0, "", _xlpm.VAL)))</f>
        <v/>
      </c>
      <c r="D460" s="154" t="str" cm="1">
        <f t="array" aca="1" ref="D460" ca="1">_xlfn.LET(_xlpm.VAL, INDEX('Heat Sheet'!$A:$I, _xlfn.XMATCH(INDIRECT("A"&amp;ROW()),'Heat Sheet'!$A:$A), COLUMN()), IF(ISNA(_xlpm.VAL), "", IF(_xlpm.VAL=0, "", _xlpm.VAL)))</f>
        <v/>
      </c>
      <c r="E460" s="154" t="str" cm="1">
        <f t="array" aca="1" ref="E460" ca="1">_xlfn.LET(_xlpm.VAL, INDEX('Heat Sheet'!$A:$I, _xlfn.XMATCH(INDIRECT("A"&amp;ROW()),'Heat Sheet'!$A:$A), COLUMN()), IF(ISNA(_xlpm.VAL), "", IF(_xlpm.VAL=0, "", _xlpm.VAL)))</f>
        <v/>
      </c>
      <c r="F460" s="154" t="str" cm="1">
        <f t="array" aca="1" ref="F460" ca="1">_xlfn.LET(_xlpm.VAL, INDEX('Heat Sheet'!$A:$I, _xlfn.XMATCH(INDIRECT("A"&amp;ROW()),'Heat Sheet'!$A:$A), COLUMN()), IF(ISNA(_xlpm.VAL), "", IF(_xlpm.VAL=0, "", _xlpm.VAL)))</f>
        <v/>
      </c>
      <c r="G460" s="154" t="str" cm="1">
        <f t="array" aca="1" ref="G460" ca="1">_xlfn.LET(_xlpm.VAL, INDEX('Heat Sheet'!$A:$I, _xlfn.XMATCH(INDIRECT("A"&amp;ROW()),'Heat Sheet'!$A:$A), COLUMN()), IF(ISNA(_xlpm.VAL), "", IF(_xlpm.VAL=0, "", _xlpm.VAL)))</f>
        <v/>
      </c>
      <c r="H460" s="154" t="str" cm="1">
        <f t="array" aca="1" ref="H460" ca="1">_xlfn.LET(_xlpm.VAL, INDEX('Heat Sheet'!$A:$I, _xlfn.XMATCH(INDIRECT("A"&amp;ROW()),'Heat Sheet'!$A:$A), COLUMN()), IF(ISNA(_xlpm.VAL), "", IF(_xlpm.VAL=0, "", _xlpm.VAL)))</f>
        <v/>
      </c>
      <c r="I460" s="155" t="str" cm="1">
        <f t="array" aca="1" ref="I460" ca="1">_xlfn.LET(_xlpm.VAL, INDEX('Heat Sheet'!$A:$I, _xlfn.XMATCH(INDIRECT("A"&amp;ROW()),'Heat Sheet'!$A:$A), COLUMN()), IF(ISNA(_xlpm.VAL), "", IF(_xlpm.VAL=0, "", _xlpm.VAL)))</f>
        <v/>
      </c>
    </row>
    <row r="461" spans="1:9" ht="15.75" customHeight="1" x14ac:dyDescent="0.2">
      <c r="A461" s="201"/>
      <c r="B461" s="202"/>
      <c r="C461" s="129" t="str" cm="1">
        <f t="array" aca="1" ref="C461" ca="1">_xlfn.LET(_xlpm.VAL, INDEX('Heat Sheet'!$A:$I, _xlfn.XMATCH(INDIRECT("A"&amp;ROW()-1),'Heat Sheet'!$A:$A)+1, COLUMN()), IF(ISNA(_xlpm.VAL), "", IF(_xlpm.VAL=0, "", _xlpm.VAL)))</f>
        <v/>
      </c>
      <c r="D461" s="154" t="str" cm="1">
        <f t="array" aca="1" ref="D461" ca="1">_xlfn.LET(_xlpm.VAL, INDEX('Heat Sheet'!$A:$I, _xlfn.XMATCH(INDIRECT("A"&amp;ROW()-1),'Heat Sheet'!$A:$A)+1, COLUMN()), IF(ISNA(_xlpm.VAL), "", IF(_xlpm.VAL=0, "", _xlpm.VAL)))</f>
        <v/>
      </c>
      <c r="E461" s="154" t="str" cm="1">
        <f t="array" aca="1" ref="E461" ca="1">_xlfn.LET(_xlpm.VAL, INDEX('Heat Sheet'!$A:$I, _xlfn.XMATCH(INDIRECT("A"&amp;ROW()-1),'Heat Sheet'!$A:$A)+1, COLUMN()), IF(ISNA(_xlpm.VAL), "", IF(_xlpm.VAL=0, "", _xlpm.VAL)))</f>
        <v/>
      </c>
      <c r="F461" s="154" t="str" cm="1">
        <f t="array" aca="1" ref="F461" ca="1">_xlfn.LET(_xlpm.VAL, INDEX('Heat Sheet'!$A:$I, _xlfn.XMATCH(INDIRECT("A"&amp;ROW()-1),'Heat Sheet'!$A:$A)+1, COLUMN()), IF(ISNA(_xlpm.VAL), "", IF(_xlpm.VAL=0, "", _xlpm.VAL)))</f>
        <v/>
      </c>
      <c r="G461" s="154" t="str" cm="1">
        <f t="array" aca="1" ref="G461" ca="1">_xlfn.LET(_xlpm.VAL, INDEX('Heat Sheet'!$A:$I, _xlfn.XMATCH(INDIRECT("A"&amp;ROW()-1),'Heat Sheet'!$A:$A)+1, COLUMN()), IF(ISNA(_xlpm.VAL), "", IF(_xlpm.VAL=0, "", _xlpm.VAL)))</f>
        <v/>
      </c>
      <c r="H461" s="154" t="str" cm="1">
        <f t="array" aca="1" ref="H461" ca="1">_xlfn.LET(_xlpm.VAL, INDEX('Heat Sheet'!$A:$I, _xlfn.XMATCH(INDIRECT("A"&amp;ROW()-1),'Heat Sheet'!$A:$A)+1, COLUMN()), IF(ISNA(_xlpm.VAL), "", IF(_xlpm.VAL=0, "", _xlpm.VAL)))</f>
        <v/>
      </c>
      <c r="I461" s="155" t="str" cm="1">
        <f t="array" aca="1" ref="I461" ca="1">_xlfn.LET(_xlpm.VAL, INDEX('Heat Sheet'!$A:$I, _xlfn.XMATCH(INDIRECT("A"&amp;ROW()-1),'Heat Sheet'!$A:$A)+1, COLUMN()), IF(ISNA(_xlpm.VAL), "", IF(_xlpm.VAL=0, "", _xlpm.VAL)))</f>
        <v/>
      </c>
    </row>
    <row r="462" spans="1:9" ht="15.75" customHeight="1" x14ac:dyDescent="0.2">
      <c r="A462" s="201"/>
      <c r="B462" s="202"/>
      <c r="C462" s="122" t="s">
        <v>22</v>
      </c>
      <c r="D462" s="124"/>
      <c r="E462" s="124"/>
      <c r="F462" s="124"/>
      <c r="G462" s="124"/>
      <c r="H462" s="124"/>
      <c r="I462" s="126"/>
    </row>
    <row r="463" spans="1:9" ht="15.75" customHeight="1" x14ac:dyDescent="0.2">
      <c r="A463" s="201"/>
      <c r="B463" s="202"/>
      <c r="C463" s="122" t="s">
        <v>23</v>
      </c>
      <c r="D463" s="158"/>
      <c r="E463" s="158"/>
      <c r="F463" s="158"/>
      <c r="G463" s="158"/>
      <c r="H463" s="158"/>
      <c r="I463" s="159"/>
    </row>
    <row r="464" spans="1:9" ht="15.75" customHeight="1" x14ac:dyDescent="0.2">
      <c r="A464" s="201"/>
      <c r="B464" s="202"/>
      <c r="C464" s="26" t="s">
        <v>14</v>
      </c>
      <c r="D464" s="160"/>
      <c r="E464" s="160"/>
      <c r="F464" s="160"/>
      <c r="G464" s="160"/>
      <c r="H464" s="160"/>
      <c r="I464" s="161"/>
    </row>
    <row r="465" spans="1:9" ht="15.75" customHeight="1" x14ac:dyDescent="0.2">
      <c r="A465" s="201">
        <v>93</v>
      </c>
      <c r="B465" s="202" t="str">
        <f>IFERROR(VLOOKUP(A465,'Heat Sheet'!$A:$I, 2, FALSE), "")</f>
        <v/>
      </c>
      <c r="C465" s="129" t="str" cm="1">
        <f t="array" aca="1" ref="C465" ca="1">_xlfn.LET(_xlpm.VAL, INDEX('Heat Sheet'!$A:$I, _xlfn.XMATCH(INDIRECT("A"&amp;ROW()),'Heat Sheet'!$A:$A), COLUMN()), IF(ISNA(_xlpm.VAL), "", IF(_xlpm.VAL=0, "", _xlpm.VAL)))</f>
        <v/>
      </c>
      <c r="D465" s="154" t="str" cm="1">
        <f t="array" aca="1" ref="D465" ca="1">_xlfn.LET(_xlpm.VAL, INDEX('Heat Sheet'!$A:$I, _xlfn.XMATCH(INDIRECT("A"&amp;ROW()),'Heat Sheet'!$A:$A), COLUMN()), IF(ISNA(_xlpm.VAL), "", IF(_xlpm.VAL=0, "", _xlpm.VAL)))</f>
        <v/>
      </c>
      <c r="E465" s="154" t="str" cm="1">
        <f t="array" aca="1" ref="E465" ca="1">_xlfn.LET(_xlpm.VAL, INDEX('Heat Sheet'!$A:$I, _xlfn.XMATCH(INDIRECT("A"&amp;ROW()),'Heat Sheet'!$A:$A), COLUMN()), IF(ISNA(_xlpm.VAL), "", IF(_xlpm.VAL=0, "", _xlpm.VAL)))</f>
        <v/>
      </c>
      <c r="F465" s="154" t="str" cm="1">
        <f t="array" aca="1" ref="F465" ca="1">_xlfn.LET(_xlpm.VAL, INDEX('Heat Sheet'!$A:$I, _xlfn.XMATCH(INDIRECT("A"&amp;ROW()),'Heat Sheet'!$A:$A), COLUMN()), IF(ISNA(_xlpm.VAL), "", IF(_xlpm.VAL=0, "", _xlpm.VAL)))</f>
        <v/>
      </c>
      <c r="G465" s="154" t="str" cm="1">
        <f t="array" aca="1" ref="G465" ca="1">_xlfn.LET(_xlpm.VAL, INDEX('Heat Sheet'!$A:$I, _xlfn.XMATCH(INDIRECT("A"&amp;ROW()),'Heat Sheet'!$A:$A), COLUMN()), IF(ISNA(_xlpm.VAL), "", IF(_xlpm.VAL=0, "", _xlpm.VAL)))</f>
        <v/>
      </c>
      <c r="H465" s="154" t="str" cm="1">
        <f t="array" aca="1" ref="H465" ca="1">_xlfn.LET(_xlpm.VAL, INDEX('Heat Sheet'!$A:$I, _xlfn.XMATCH(INDIRECT("A"&amp;ROW()),'Heat Sheet'!$A:$A), COLUMN()), IF(ISNA(_xlpm.VAL), "", IF(_xlpm.VAL=0, "", _xlpm.VAL)))</f>
        <v/>
      </c>
      <c r="I465" s="155" t="str" cm="1">
        <f t="array" aca="1" ref="I465" ca="1">_xlfn.LET(_xlpm.VAL, INDEX('Heat Sheet'!$A:$I, _xlfn.XMATCH(INDIRECT("A"&amp;ROW()),'Heat Sheet'!$A:$A), COLUMN()), IF(ISNA(_xlpm.VAL), "", IF(_xlpm.VAL=0, "", _xlpm.VAL)))</f>
        <v/>
      </c>
    </row>
    <row r="466" spans="1:9" ht="15.75" customHeight="1" x14ac:dyDescent="0.2">
      <c r="A466" s="201"/>
      <c r="B466" s="202"/>
      <c r="C466" s="129" t="str" cm="1">
        <f t="array" aca="1" ref="C466" ca="1">_xlfn.LET(_xlpm.VAL, INDEX('Heat Sheet'!$A:$I, _xlfn.XMATCH(INDIRECT("A"&amp;ROW()-1),'Heat Sheet'!$A:$A)+1, COLUMN()), IF(ISNA(_xlpm.VAL), "", IF(_xlpm.VAL=0, "", _xlpm.VAL)))</f>
        <v/>
      </c>
      <c r="D466" s="154" t="str" cm="1">
        <f t="array" aca="1" ref="D466" ca="1">_xlfn.LET(_xlpm.VAL, INDEX('Heat Sheet'!$A:$I, _xlfn.XMATCH(INDIRECT("A"&amp;ROW()-1),'Heat Sheet'!$A:$A)+1, COLUMN()), IF(ISNA(_xlpm.VAL), "", IF(_xlpm.VAL=0, "", _xlpm.VAL)))</f>
        <v/>
      </c>
      <c r="E466" s="154" t="str" cm="1">
        <f t="array" aca="1" ref="E466" ca="1">_xlfn.LET(_xlpm.VAL, INDEX('Heat Sheet'!$A:$I, _xlfn.XMATCH(INDIRECT("A"&amp;ROW()-1),'Heat Sheet'!$A:$A)+1, COLUMN()), IF(ISNA(_xlpm.VAL), "", IF(_xlpm.VAL=0, "", _xlpm.VAL)))</f>
        <v/>
      </c>
      <c r="F466" s="154" t="str" cm="1">
        <f t="array" aca="1" ref="F466" ca="1">_xlfn.LET(_xlpm.VAL, INDEX('Heat Sheet'!$A:$I, _xlfn.XMATCH(INDIRECT("A"&amp;ROW()-1),'Heat Sheet'!$A:$A)+1, COLUMN()), IF(ISNA(_xlpm.VAL), "", IF(_xlpm.VAL=0, "", _xlpm.VAL)))</f>
        <v/>
      </c>
      <c r="G466" s="154" t="str" cm="1">
        <f t="array" aca="1" ref="G466" ca="1">_xlfn.LET(_xlpm.VAL, INDEX('Heat Sheet'!$A:$I, _xlfn.XMATCH(INDIRECT("A"&amp;ROW()-1),'Heat Sheet'!$A:$A)+1, COLUMN()), IF(ISNA(_xlpm.VAL), "", IF(_xlpm.VAL=0, "", _xlpm.VAL)))</f>
        <v/>
      </c>
      <c r="H466" s="154" t="str" cm="1">
        <f t="array" aca="1" ref="H466" ca="1">_xlfn.LET(_xlpm.VAL, INDEX('Heat Sheet'!$A:$I, _xlfn.XMATCH(INDIRECT("A"&amp;ROW()-1),'Heat Sheet'!$A:$A)+1, COLUMN()), IF(ISNA(_xlpm.VAL), "", IF(_xlpm.VAL=0, "", _xlpm.VAL)))</f>
        <v/>
      </c>
      <c r="I466" s="155" t="str" cm="1">
        <f t="array" aca="1" ref="I466" ca="1">_xlfn.LET(_xlpm.VAL, INDEX('Heat Sheet'!$A:$I, _xlfn.XMATCH(INDIRECT("A"&amp;ROW()-1),'Heat Sheet'!$A:$A)+1, COLUMN()), IF(ISNA(_xlpm.VAL), "", IF(_xlpm.VAL=0, "", _xlpm.VAL)))</f>
        <v/>
      </c>
    </row>
    <row r="467" spans="1:9" ht="15.75" customHeight="1" x14ac:dyDescent="0.2">
      <c r="A467" s="201"/>
      <c r="B467" s="202"/>
      <c r="C467" s="122" t="s">
        <v>22</v>
      </c>
      <c r="D467" s="124"/>
      <c r="E467" s="124"/>
      <c r="F467" s="124"/>
      <c r="G467" s="124"/>
      <c r="H467" s="124"/>
      <c r="I467" s="126"/>
    </row>
    <row r="468" spans="1:9" ht="15.75" customHeight="1" x14ac:dyDescent="0.2">
      <c r="A468" s="201"/>
      <c r="B468" s="202"/>
      <c r="C468" s="122" t="s">
        <v>23</v>
      </c>
      <c r="D468" s="158"/>
      <c r="E468" s="158"/>
      <c r="F468" s="158"/>
      <c r="G468" s="158"/>
      <c r="H468" s="158"/>
      <c r="I468" s="159"/>
    </row>
    <row r="469" spans="1:9" ht="15.75" customHeight="1" x14ac:dyDescent="0.2">
      <c r="A469" s="201"/>
      <c r="B469" s="202"/>
      <c r="C469" s="26" t="s">
        <v>14</v>
      </c>
      <c r="D469" s="160"/>
      <c r="E469" s="160"/>
      <c r="F469" s="160"/>
      <c r="G469" s="160"/>
      <c r="H469" s="160"/>
      <c r="I469" s="161"/>
    </row>
    <row r="470" spans="1:9" ht="15.75" customHeight="1" x14ac:dyDescent="0.2">
      <c r="A470" s="201">
        <v>94</v>
      </c>
      <c r="B470" s="202" t="str">
        <f>IFERROR(VLOOKUP(A470,'Heat Sheet'!$A:$I, 2, FALSE), "")</f>
        <v/>
      </c>
      <c r="C470" s="129" t="str" cm="1">
        <f t="array" aca="1" ref="C470" ca="1">_xlfn.LET(_xlpm.VAL, INDEX('Heat Sheet'!$A:$I, _xlfn.XMATCH(INDIRECT("A"&amp;ROW()),'Heat Sheet'!$A:$A), COLUMN()), IF(ISNA(_xlpm.VAL), "", IF(_xlpm.VAL=0, "", _xlpm.VAL)))</f>
        <v/>
      </c>
      <c r="D470" s="154" t="str" cm="1">
        <f t="array" aca="1" ref="D470" ca="1">_xlfn.LET(_xlpm.VAL, INDEX('Heat Sheet'!$A:$I, _xlfn.XMATCH(INDIRECT("A"&amp;ROW()),'Heat Sheet'!$A:$A), COLUMN()), IF(ISNA(_xlpm.VAL), "", IF(_xlpm.VAL=0, "", _xlpm.VAL)))</f>
        <v/>
      </c>
      <c r="E470" s="154" t="str" cm="1">
        <f t="array" aca="1" ref="E470" ca="1">_xlfn.LET(_xlpm.VAL, INDEX('Heat Sheet'!$A:$I, _xlfn.XMATCH(INDIRECT("A"&amp;ROW()),'Heat Sheet'!$A:$A), COLUMN()), IF(ISNA(_xlpm.VAL), "", IF(_xlpm.VAL=0, "", _xlpm.VAL)))</f>
        <v/>
      </c>
      <c r="F470" s="154" t="str" cm="1">
        <f t="array" aca="1" ref="F470" ca="1">_xlfn.LET(_xlpm.VAL, INDEX('Heat Sheet'!$A:$I, _xlfn.XMATCH(INDIRECT("A"&amp;ROW()),'Heat Sheet'!$A:$A), COLUMN()), IF(ISNA(_xlpm.VAL), "", IF(_xlpm.VAL=0, "", _xlpm.VAL)))</f>
        <v/>
      </c>
      <c r="G470" s="154" t="str" cm="1">
        <f t="array" aca="1" ref="G470" ca="1">_xlfn.LET(_xlpm.VAL, INDEX('Heat Sheet'!$A:$I, _xlfn.XMATCH(INDIRECT("A"&amp;ROW()),'Heat Sheet'!$A:$A), COLUMN()), IF(ISNA(_xlpm.VAL), "", IF(_xlpm.VAL=0, "", _xlpm.VAL)))</f>
        <v/>
      </c>
      <c r="H470" s="154" t="str" cm="1">
        <f t="array" aca="1" ref="H470" ca="1">_xlfn.LET(_xlpm.VAL, INDEX('Heat Sheet'!$A:$I, _xlfn.XMATCH(INDIRECT("A"&amp;ROW()),'Heat Sheet'!$A:$A), COLUMN()), IF(ISNA(_xlpm.VAL), "", IF(_xlpm.VAL=0, "", _xlpm.VAL)))</f>
        <v/>
      </c>
      <c r="I470" s="155" t="str" cm="1">
        <f t="array" aca="1" ref="I470" ca="1">_xlfn.LET(_xlpm.VAL, INDEX('Heat Sheet'!$A:$I, _xlfn.XMATCH(INDIRECT("A"&amp;ROW()),'Heat Sheet'!$A:$A), COLUMN()), IF(ISNA(_xlpm.VAL), "", IF(_xlpm.VAL=0, "", _xlpm.VAL)))</f>
        <v/>
      </c>
    </row>
    <row r="471" spans="1:9" ht="15.75" customHeight="1" x14ac:dyDescent="0.2">
      <c r="A471" s="201"/>
      <c r="B471" s="202"/>
      <c r="C471" s="129" t="str" cm="1">
        <f t="array" aca="1" ref="C471" ca="1">_xlfn.LET(_xlpm.VAL, INDEX('Heat Sheet'!$A:$I, _xlfn.XMATCH(INDIRECT("A"&amp;ROW()-1),'Heat Sheet'!$A:$A)+1, COLUMN()), IF(ISNA(_xlpm.VAL), "", IF(_xlpm.VAL=0, "", _xlpm.VAL)))</f>
        <v/>
      </c>
      <c r="D471" s="154" t="str" cm="1">
        <f t="array" aca="1" ref="D471" ca="1">_xlfn.LET(_xlpm.VAL, INDEX('Heat Sheet'!$A:$I, _xlfn.XMATCH(INDIRECT("A"&amp;ROW()-1),'Heat Sheet'!$A:$A)+1, COLUMN()), IF(ISNA(_xlpm.VAL), "", IF(_xlpm.VAL=0, "", _xlpm.VAL)))</f>
        <v/>
      </c>
      <c r="E471" s="154" t="str" cm="1">
        <f t="array" aca="1" ref="E471" ca="1">_xlfn.LET(_xlpm.VAL, INDEX('Heat Sheet'!$A:$I, _xlfn.XMATCH(INDIRECT("A"&amp;ROW()-1),'Heat Sheet'!$A:$A)+1, COLUMN()), IF(ISNA(_xlpm.VAL), "", IF(_xlpm.VAL=0, "", _xlpm.VAL)))</f>
        <v/>
      </c>
      <c r="F471" s="154" t="str" cm="1">
        <f t="array" aca="1" ref="F471" ca="1">_xlfn.LET(_xlpm.VAL, INDEX('Heat Sheet'!$A:$I, _xlfn.XMATCH(INDIRECT("A"&amp;ROW()-1),'Heat Sheet'!$A:$A)+1, COLUMN()), IF(ISNA(_xlpm.VAL), "", IF(_xlpm.VAL=0, "", _xlpm.VAL)))</f>
        <v/>
      </c>
      <c r="G471" s="154" t="str" cm="1">
        <f t="array" aca="1" ref="G471" ca="1">_xlfn.LET(_xlpm.VAL, INDEX('Heat Sheet'!$A:$I, _xlfn.XMATCH(INDIRECT("A"&amp;ROW()-1),'Heat Sheet'!$A:$A)+1, COLUMN()), IF(ISNA(_xlpm.VAL), "", IF(_xlpm.VAL=0, "", _xlpm.VAL)))</f>
        <v/>
      </c>
      <c r="H471" s="154" t="str" cm="1">
        <f t="array" aca="1" ref="H471" ca="1">_xlfn.LET(_xlpm.VAL, INDEX('Heat Sheet'!$A:$I, _xlfn.XMATCH(INDIRECT("A"&amp;ROW()-1),'Heat Sheet'!$A:$A)+1, COLUMN()), IF(ISNA(_xlpm.VAL), "", IF(_xlpm.VAL=0, "", _xlpm.VAL)))</f>
        <v/>
      </c>
      <c r="I471" s="155" t="str" cm="1">
        <f t="array" aca="1" ref="I471" ca="1">_xlfn.LET(_xlpm.VAL, INDEX('Heat Sheet'!$A:$I, _xlfn.XMATCH(INDIRECT("A"&amp;ROW()-1),'Heat Sheet'!$A:$A)+1, COLUMN()), IF(ISNA(_xlpm.VAL), "", IF(_xlpm.VAL=0, "", _xlpm.VAL)))</f>
        <v/>
      </c>
    </row>
    <row r="472" spans="1:9" ht="15.75" customHeight="1" x14ac:dyDescent="0.2">
      <c r="A472" s="201"/>
      <c r="B472" s="202"/>
      <c r="C472" s="122" t="s">
        <v>22</v>
      </c>
      <c r="D472" s="124"/>
      <c r="E472" s="124"/>
      <c r="F472" s="124"/>
      <c r="G472" s="124"/>
      <c r="H472" s="124"/>
      <c r="I472" s="126"/>
    </row>
    <row r="473" spans="1:9" ht="15.75" customHeight="1" x14ac:dyDescent="0.2">
      <c r="A473" s="201"/>
      <c r="B473" s="202"/>
      <c r="C473" s="122" t="s">
        <v>23</v>
      </c>
      <c r="D473" s="158"/>
      <c r="E473" s="158"/>
      <c r="F473" s="158"/>
      <c r="G473" s="158"/>
      <c r="H473" s="158"/>
      <c r="I473" s="159"/>
    </row>
    <row r="474" spans="1:9" ht="15.75" customHeight="1" x14ac:dyDescent="0.2">
      <c r="A474" s="201"/>
      <c r="B474" s="202"/>
      <c r="C474" s="26" t="s">
        <v>14</v>
      </c>
      <c r="D474" s="160"/>
      <c r="E474" s="160"/>
      <c r="F474" s="160"/>
      <c r="G474" s="160"/>
      <c r="H474" s="160"/>
      <c r="I474" s="161"/>
    </row>
    <row r="475" spans="1:9" ht="15.75" customHeight="1" x14ac:dyDescent="0.2">
      <c r="A475" s="201">
        <v>95</v>
      </c>
      <c r="B475" s="202" t="str">
        <f>IFERROR(VLOOKUP(A475,'Heat Sheet'!$A:$I, 2, FALSE), "")</f>
        <v/>
      </c>
      <c r="C475" s="129" t="str" cm="1">
        <f t="array" aca="1" ref="C475" ca="1">_xlfn.LET(_xlpm.VAL, INDEX('Heat Sheet'!$A:$I, _xlfn.XMATCH(INDIRECT("A"&amp;ROW()),'Heat Sheet'!$A:$A), COLUMN()), IF(ISNA(_xlpm.VAL), "", IF(_xlpm.VAL=0, "", _xlpm.VAL)))</f>
        <v/>
      </c>
      <c r="D475" s="154" t="str" cm="1">
        <f t="array" aca="1" ref="D475" ca="1">_xlfn.LET(_xlpm.VAL, INDEX('Heat Sheet'!$A:$I, _xlfn.XMATCH(INDIRECT("A"&amp;ROW()),'Heat Sheet'!$A:$A), COLUMN()), IF(ISNA(_xlpm.VAL), "", IF(_xlpm.VAL=0, "", _xlpm.VAL)))</f>
        <v/>
      </c>
      <c r="E475" s="154" t="str" cm="1">
        <f t="array" aca="1" ref="E475" ca="1">_xlfn.LET(_xlpm.VAL, INDEX('Heat Sheet'!$A:$I, _xlfn.XMATCH(INDIRECT("A"&amp;ROW()),'Heat Sheet'!$A:$A), COLUMN()), IF(ISNA(_xlpm.VAL), "", IF(_xlpm.VAL=0, "", _xlpm.VAL)))</f>
        <v/>
      </c>
      <c r="F475" s="154" t="str" cm="1">
        <f t="array" aca="1" ref="F475" ca="1">_xlfn.LET(_xlpm.VAL, INDEX('Heat Sheet'!$A:$I, _xlfn.XMATCH(INDIRECT("A"&amp;ROW()),'Heat Sheet'!$A:$A), COLUMN()), IF(ISNA(_xlpm.VAL), "", IF(_xlpm.VAL=0, "", _xlpm.VAL)))</f>
        <v/>
      </c>
      <c r="G475" s="154" t="str" cm="1">
        <f t="array" aca="1" ref="G475" ca="1">_xlfn.LET(_xlpm.VAL, INDEX('Heat Sheet'!$A:$I, _xlfn.XMATCH(INDIRECT("A"&amp;ROW()),'Heat Sheet'!$A:$A), COLUMN()), IF(ISNA(_xlpm.VAL), "", IF(_xlpm.VAL=0, "", _xlpm.VAL)))</f>
        <v/>
      </c>
      <c r="H475" s="154" t="str" cm="1">
        <f t="array" aca="1" ref="H475" ca="1">_xlfn.LET(_xlpm.VAL, INDEX('Heat Sheet'!$A:$I, _xlfn.XMATCH(INDIRECT("A"&amp;ROW()),'Heat Sheet'!$A:$A), COLUMN()), IF(ISNA(_xlpm.VAL), "", IF(_xlpm.VAL=0, "", _xlpm.VAL)))</f>
        <v/>
      </c>
      <c r="I475" s="155" t="str" cm="1">
        <f t="array" aca="1" ref="I475" ca="1">_xlfn.LET(_xlpm.VAL, INDEX('Heat Sheet'!$A:$I, _xlfn.XMATCH(INDIRECT("A"&amp;ROW()),'Heat Sheet'!$A:$A), COLUMN()), IF(ISNA(_xlpm.VAL), "", IF(_xlpm.VAL=0, "", _xlpm.VAL)))</f>
        <v/>
      </c>
    </row>
    <row r="476" spans="1:9" ht="15.75" customHeight="1" x14ac:dyDescent="0.2">
      <c r="A476" s="201"/>
      <c r="B476" s="202"/>
      <c r="C476" s="129" t="str" cm="1">
        <f t="array" aca="1" ref="C476" ca="1">_xlfn.LET(_xlpm.VAL, INDEX('Heat Sheet'!$A:$I, _xlfn.XMATCH(INDIRECT("A"&amp;ROW()-1),'Heat Sheet'!$A:$A)+1, COLUMN()), IF(ISNA(_xlpm.VAL), "", IF(_xlpm.VAL=0, "", _xlpm.VAL)))</f>
        <v/>
      </c>
      <c r="D476" s="154" t="str" cm="1">
        <f t="array" aca="1" ref="D476" ca="1">_xlfn.LET(_xlpm.VAL, INDEX('Heat Sheet'!$A:$I, _xlfn.XMATCH(INDIRECT("A"&amp;ROW()-1),'Heat Sheet'!$A:$A)+1, COLUMN()), IF(ISNA(_xlpm.VAL), "", IF(_xlpm.VAL=0, "", _xlpm.VAL)))</f>
        <v/>
      </c>
      <c r="E476" s="154" t="str" cm="1">
        <f t="array" aca="1" ref="E476" ca="1">_xlfn.LET(_xlpm.VAL, INDEX('Heat Sheet'!$A:$I, _xlfn.XMATCH(INDIRECT("A"&amp;ROW()-1),'Heat Sheet'!$A:$A)+1, COLUMN()), IF(ISNA(_xlpm.VAL), "", IF(_xlpm.VAL=0, "", _xlpm.VAL)))</f>
        <v/>
      </c>
      <c r="F476" s="154" t="str" cm="1">
        <f t="array" aca="1" ref="F476" ca="1">_xlfn.LET(_xlpm.VAL, INDEX('Heat Sheet'!$A:$I, _xlfn.XMATCH(INDIRECT("A"&amp;ROW()-1),'Heat Sheet'!$A:$A)+1, COLUMN()), IF(ISNA(_xlpm.VAL), "", IF(_xlpm.VAL=0, "", _xlpm.VAL)))</f>
        <v/>
      </c>
      <c r="G476" s="154" t="str" cm="1">
        <f t="array" aca="1" ref="G476" ca="1">_xlfn.LET(_xlpm.VAL, INDEX('Heat Sheet'!$A:$I, _xlfn.XMATCH(INDIRECT("A"&amp;ROW()-1),'Heat Sheet'!$A:$A)+1, COLUMN()), IF(ISNA(_xlpm.VAL), "", IF(_xlpm.VAL=0, "", _xlpm.VAL)))</f>
        <v/>
      </c>
      <c r="H476" s="154" t="str" cm="1">
        <f t="array" aca="1" ref="H476" ca="1">_xlfn.LET(_xlpm.VAL, INDEX('Heat Sheet'!$A:$I, _xlfn.XMATCH(INDIRECT("A"&amp;ROW()-1),'Heat Sheet'!$A:$A)+1, COLUMN()), IF(ISNA(_xlpm.VAL), "", IF(_xlpm.VAL=0, "", _xlpm.VAL)))</f>
        <v/>
      </c>
      <c r="I476" s="155" t="str" cm="1">
        <f t="array" aca="1" ref="I476" ca="1">_xlfn.LET(_xlpm.VAL, INDEX('Heat Sheet'!$A:$I, _xlfn.XMATCH(INDIRECT("A"&amp;ROW()-1),'Heat Sheet'!$A:$A)+1, COLUMN()), IF(ISNA(_xlpm.VAL), "", IF(_xlpm.VAL=0, "", _xlpm.VAL)))</f>
        <v/>
      </c>
    </row>
    <row r="477" spans="1:9" ht="15.75" customHeight="1" x14ac:dyDescent="0.2">
      <c r="A477" s="201"/>
      <c r="B477" s="202"/>
      <c r="C477" s="122" t="s">
        <v>22</v>
      </c>
      <c r="D477" s="124"/>
      <c r="E477" s="124"/>
      <c r="F477" s="124"/>
      <c r="G477" s="124"/>
      <c r="H477" s="124"/>
      <c r="I477" s="126"/>
    </row>
    <row r="478" spans="1:9" ht="15.75" customHeight="1" x14ac:dyDescent="0.2">
      <c r="A478" s="201"/>
      <c r="B478" s="202"/>
      <c r="C478" s="122" t="s">
        <v>23</v>
      </c>
      <c r="D478" s="158"/>
      <c r="E478" s="158"/>
      <c r="F478" s="158"/>
      <c r="G478" s="158"/>
      <c r="H478" s="158"/>
      <c r="I478" s="159"/>
    </row>
    <row r="479" spans="1:9" ht="15.75" customHeight="1" x14ac:dyDescent="0.2">
      <c r="A479" s="201"/>
      <c r="B479" s="202"/>
      <c r="C479" s="26" t="s">
        <v>14</v>
      </c>
      <c r="D479" s="160"/>
      <c r="E479" s="160"/>
      <c r="F479" s="160"/>
      <c r="G479" s="160"/>
      <c r="H479" s="160"/>
      <c r="I479" s="161"/>
    </row>
    <row r="480" spans="1:9" ht="15.75" customHeight="1" x14ac:dyDescent="0.2">
      <c r="A480" s="201">
        <v>96</v>
      </c>
      <c r="B480" s="202" t="str">
        <f>IFERROR(VLOOKUP(A480,'Heat Sheet'!$A:$I, 2, FALSE), "")</f>
        <v/>
      </c>
      <c r="C480" s="129" t="str" cm="1">
        <f t="array" aca="1" ref="C480" ca="1">_xlfn.LET(_xlpm.VAL, INDEX('Heat Sheet'!$A:$I, _xlfn.XMATCH(INDIRECT("A"&amp;ROW()),'Heat Sheet'!$A:$A), COLUMN()), IF(ISNA(_xlpm.VAL), "", IF(_xlpm.VAL=0, "", _xlpm.VAL)))</f>
        <v/>
      </c>
      <c r="D480" s="154" t="str" cm="1">
        <f t="array" aca="1" ref="D480" ca="1">_xlfn.LET(_xlpm.VAL, INDEX('Heat Sheet'!$A:$I, _xlfn.XMATCH(INDIRECT("A"&amp;ROW()),'Heat Sheet'!$A:$A), COLUMN()), IF(ISNA(_xlpm.VAL), "", IF(_xlpm.VAL=0, "", _xlpm.VAL)))</f>
        <v/>
      </c>
      <c r="E480" s="154" t="str" cm="1">
        <f t="array" aca="1" ref="E480" ca="1">_xlfn.LET(_xlpm.VAL, INDEX('Heat Sheet'!$A:$I, _xlfn.XMATCH(INDIRECT("A"&amp;ROW()),'Heat Sheet'!$A:$A), COLUMN()), IF(ISNA(_xlpm.VAL), "", IF(_xlpm.VAL=0, "", _xlpm.VAL)))</f>
        <v/>
      </c>
      <c r="F480" s="154" t="str" cm="1">
        <f t="array" aca="1" ref="F480" ca="1">_xlfn.LET(_xlpm.VAL, INDEX('Heat Sheet'!$A:$I, _xlfn.XMATCH(INDIRECT("A"&amp;ROW()),'Heat Sheet'!$A:$A), COLUMN()), IF(ISNA(_xlpm.VAL), "", IF(_xlpm.VAL=0, "", _xlpm.VAL)))</f>
        <v/>
      </c>
      <c r="G480" s="154" t="str" cm="1">
        <f t="array" aca="1" ref="G480" ca="1">_xlfn.LET(_xlpm.VAL, INDEX('Heat Sheet'!$A:$I, _xlfn.XMATCH(INDIRECT("A"&amp;ROW()),'Heat Sheet'!$A:$A), COLUMN()), IF(ISNA(_xlpm.VAL), "", IF(_xlpm.VAL=0, "", _xlpm.VAL)))</f>
        <v/>
      </c>
      <c r="H480" s="154" t="str" cm="1">
        <f t="array" aca="1" ref="H480" ca="1">_xlfn.LET(_xlpm.VAL, INDEX('Heat Sheet'!$A:$I, _xlfn.XMATCH(INDIRECT("A"&amp;ROW()),'Heat Sheet'!$A:$A), COLUMN()), IF(ISNA(_xlpm.VAL), "", IF(_xlpm.VAL=0, "", _xlpm.VAL)))</f>
        <v/>
      </c>
      <c r="I480" s="155" t="str" cm="1">
        <f t="array" aca="1" ref="I480" ca="1">_xlfn.LET(_xlpm.VAL, INDEX('Heat Sheet'!$A:$I, _xlfn.XMATCH(INDIRECT("A"&amp;ROW()),'Heat Sheet'!$A:$A), COLUMN()), IF(ISNA(_xlpm.VAL), "", IF(_xlpm.VAL=0, "", _xlpm.VAL)))</f>
        <v/>
      </c>
    </row>
    <row r="481" spans="1:9" ht="15.75" customHeight="1" x14ac:dyDescent="0.2">
      <c r="A481" s="201"/>
      <c r="B481" s="202"/>
      <c r="C481" s="129" t="str" cm="1">
        <f t="array" aca="1" ref="C481" ca="1">_xlfn.LET(_xlpm.VAL, INDEX('Heat Sheet'!$A:$I, _xlfn.XMATCH(INDIRECT("A"&amp;ROW()-1),'Heat Sheet'!$A:$A)+1, COLUMN()), IF(ISNA(_xlpm.VAL), "", IF(_xlpm.VAL=0, "", _xlpm.VAL)))</f>
        <v/>
      </c>
      <c r="D481" s="154" t="str" cm="1">
        <f t="array" aca="1" ref="D481" ca="1">_xlfn.LET(_xlpm.VAL, INDEX('Heat Sheet'!$A:$I, _xlfn.XMATCH(INDIRECT("A"&amp;ROW()-1),'Heat Sheet'!$A:$A)+1, COLUMN()), IF(ISNA(_xlpm.VAL), "", IF(_xlpm.VAL=0, "", _xlpm.VAL)))</f>
        <v/>
      </c>
      <c r="E481" s="154" t="str" cm="1">
        <f t="array" aca="1" ref="E481" ca="1">_xlfn.LET(_xlpm.VAL, INDEX('Heat Sheet'!$A:$I, _xlfn.XMATCH(INDIRECT("A"&amp;ROW()-1),'Heat Sheet'!$A:$A)+1, COLUMN()), IF(ISNA(_xlpm.VAL), "", IF(_xlpm.VAL=0, "", _xlpm.VAL)))</f>
        <v/>
      </c>
      <c r="F481" s="154" t="str" cm="1">
        <f t="array" aca="1" ref="F481" ca="1">_xlfn.LET(_xlpm.VAL, INDEX('Heat Sheet'!$A:$I, _xlfn.XMATCH(INDIRECT("A"&amp;ROW()-1),'Heat Sheet'!$A:$A)+1, COLUMN()), IF(ISNA(_xlpm.VAL), "", IF(_xlpm.VAL=0, "", _xlpm.VAL)))</f>
        <v/>
      </c>
      <c r="G481" s="154" t="str" cm="1">
        <f t="array" aca="1" ref="G481" ca="1">_xlfn.LET(_xlpm.VAL, INDEX('Heat Sheet'!$A:$I, _xlfn.XMATCH(INDIRECT("A"&amp;ROW()-1),'Heat Sheet'!$A:$A)+1, COLUMN()), IF(ISNA(_xlpm.VAL), "", IF(_xlpm.VAL=0, "", _xlpm.VAL)))</f>
        <v/>
      </c>
      <c r="H481" s="154" t="str" cm="1">
        <f t="array" aca="1" ref="H481" ca="1">_xlfn.LET(_xlpm.VAL, INDEX('Heat Sheet'!$A:$I, _xlfn.XMATCH(INDIRECT("A"&amp;ROW()-1),'Heat Sheet'!$A:$A)+1, COLUMN()), IF(ISNA(_xlpm.VAL), "", IF(_xlpm.VAL=0, "", _xlpm.VAL)))</f>
        <v/>
      </c>
      <c r="I481" s="155" t="str" cm="1">
        <f t="array" aca="1" ref="I481" ca="1">_xlfn.LET(_xlpm.VAL, INDEX('Heat Sheet'!$A:$I, _xlfn.XMATCH(INDIRECT("A"&amp;ROW()-1),'Heat Sheet'!$A:$A)+1, COLUMN()), IF(ISNA(_xlpm.VAL), "", IF(_xlpm.VAL=0, "", _xlpm.VAL)))</f>
        <v/>
      </c>
    </row>
    <row r="482" spans="1:9" ht="15.75" customHeight="1" x14ac:dyDescent="0.2">
      <c r="A482" s="201"/>
      <c r="B482" s="202"/>
      <c r="C482" s="122" t="s">
        <v>22</v>
      </c>
      <c r="D482" s="124"/>
      <c r="E482" s="124"/>
      <c r="F482" s="124"/>
      <c r="G482" s="124"/>
      <c r="H482" s="124"/>
      <c r="I482" s="126"/>
    </row>
    <row r="483" spans="1:9" ht="15.75" customHeight="1" x14ac:dyDescent="0.2">
      <c r="A483" s="201"/>
      <c r="B483" s="202"/>
      <c r="C483" s="122" t="s">
        <v>23</v>
      </c>
      <c r="D483" s="158"/>
      <c r="E483" s="158"/>
      <c r="F483" s="158"/>
      <c r="G483" s="158"/>
      <c r="H483" s="158"/>
      <c r="I483" s="159"/>
    </row>
    <row r="484" spans="1:9" ht="15.75" customHeight="1" x14ac:dyDescent="0.2">
      <c r="A484" s="201"/>
      <c r="B484" s="202"/>
      <c r="C484" s="26" t="s">
        <v>14</v>
      </c>
      <c r="D484" s="160"/>
      <c r="E484" s="160"/>
      <c r="F484" s="160"/>
      <c r="G484" s="160"/>
      <c r="H484" s="160"/>
      <c r="I484" s="161"/>
    </row>
    <row r="485" spans="1:9" ht="15.75" customHeight="1" x14ac:dyDescent="0.2">
      <c r="A485" s="201">
        <v>97</v>
      </c>
      <c r="B485" s="202" t="str">
        <f>IFERROR(VLOOKUP(A485,'Heat Sheet'!$A:$I, 2, FALSE), "")</f>
        <v/>
      </c>
      <c r="C485" s="129" t="str" cm="1">
        <f t="array" aca="1" ref="C485" ca="1">_xlfn.LET(_xlpm.VAL, INDEX('Heat Sheet'!$A:$I, _xlfn.XMATCH(INDIRECT("A"&amp;ROW()),'Heat Sheet'!$A:$A), COLUMN()), IF(ISNA(_xlpm.VAL), "", IF(_xlpm.VAL=0, "", _xlpm.VAL)))</f>
        <v/>
      </c>
      <c r="D485" s="154" t="str" cm="1">
        <f t="array" aca="1" ref="D485" ca="1">_xlfn.LET(_xlpm.VAL, INDEX('Heat Sheet'!$A:$I, _xlfn.XMATCH(INDIRECT("A"&amp;ROW()),'Heat Sheet'!$A:$A), COLUMN()), IF(ISNA(_xlpm.VAL), "", IF(_xlpm.VAL=0, "", _xlpm.VAL)))</f>
        <v/>
      </c>
      <c r="E485" s="154" t="str" cm="1">
        <f t="array" aca="1" ref="E485" ca="1">_xlfn.LET(_xlpm.VAL, INDEX('Heat Sheet'!$A:$I, _xlfn.XMATCH(INDIRECT("A"&amp;ROW()),'Heat Sheet'!$A:$A), COLUMN()), IF(ISNA(_xlpm.VAL), "", IF(_xlpm.VAL=0, "", _xlpm.VAL)))</f>
        <v/>
      </c>
      <c r="F485" s="154" t="str" cm="1">
        <f t="array" aca="1" ref="F485" ca="1">_xlfn.LET(_xlpm.VAL, INDEX('Heat Sheet'!$A:$I, _xlfn.XMATCH(INDIRECT("A"&amp;ROW()),'Heat Sheet'!$A:$A), COLUMN()), IF(ISNA(_xlpm.VAL), "", IF(_xlpm.VAL=0, "", _xlpm.VAL)))</f>
        <v/>
      </c>
      <c r="G485" s="154" t="str" cm="1">
        <f t="array" aca="1" ref="G485" ca="1">_xlfn.LET(_xlpm.VAL, INDEX('Heat Sheet'!$A:$I, _xlfn.XMATCH(INDIRECT("A"&amp;ROW()),'Heat Sheet'!$A:$A), COLUMN()), IF(ISNA(_xlpm.VAL), "", IF(_xlpm.VAL=0, "", _xlpm.VAL)))</f>
        <v/>
      </c>
      <c r="H485" s="154" t="str" cm="1">
        <f t="array" aca="1" ref="H485" ca="1">_xlfn.LET(_xlpm.VAL, INDEX('Heat Sheet'!$A:$I, _xlfn.XMATCH(INDIRECT("A"&amp;ROW()),'Heat Sheet'!$A:$A), COLUMN()), IF(ISNA(_xlpm.VAL), "", IF(_xlpm.VAL=0, "", _xlpm.VAL)))</f>
        <v/>
      </c>
      <c r="I485" s="155" t="str" cm="1">
        <f t="array" aca="1" ref="I485" ca="1">_xlfn.LET(_xlpm.VAL, INDEX('Heat Sheet'!$A:$I, _xlfn.XMATCH(INDIRECT("A"&amp;ROW()),'Heat Sheet'!$A:$A), COLUMN()), IF(ISNA(_xlpm.VAL), "", IF(_xlpm.VAL=0, "", _xlpm.VAL)))</f>
        <v/>
      </c>
    </row>
    <row r="486" spans="1:9" ht="15.75" customHeight="1" x14ac:dyDescent="0.2">
      <c r="A486" s="201"/>
      <c r="B486" s="202"/>
      <c r="C486" s="129" t="str" cm="1">
        <f t="array" aca="1" ref="C486" ca="1">_xlfn.LET(_xlpm.VAL, INDEX('Heat Sheet'!$A:$I, _xlfn.XMATCH(INDIRECT("A"&amp;ROW()-1),'Heat Sheet'!$A:$A)+1, COLUMN()), IF(ISNA(_xlpm.VAL), "", IF(_xlpm.VAL=0, "", _xlpm.VAL)))</f>
        <v/>
      </c>
      <c r="D486" s="154" t="str" cm="1">
        <f t="array" aca="1" ref="D486" ca="1">_xlfn.LET(_xlpm.VAL, INDEX('Heat Sheet'!$A:$I, _xlfn.XMATCH(INDIRECT("A"&amp;ROW()-1),'Heat Sheet'!$A:$A)+1, COLUMN()), IF(ISNA(_xlpm.VAL), "", IF(_xlpm.VAL=0, "", _xlpm.VAL)))</f>
        <v/>
      </c>
      <c r="E486" s="154" t="str" cm="1">
        <f t="array" aca="1" ref="E486" ca="1">_xlfn.LET(_xlpm.VAL, INDEX('Heat Sheet'!$A:$I, _xlfn.XMATCH(INDIRECT("A"&amp;ROW()-1),'Heat Sheet'!$A:$A)+1, COLUMN()), IF(ISNA(_xlpm.VAL), "", IF(_xlpm.VAL=0, "", _xlpm.VAL)))</f>
        <v/>
      </c>
      <c r="F486" s="154" t="str" cm="1">
        <f t="array" aca="1" ref="F486" ca="1">_xlfn.LET(_xlpm.VAL, INDEX('Heat Sheet'!$A:$I, _xlfn.XMATCH(INDIRECT("A"&amp;ROW()-1),'Heat Sheet'!$A:$A)+1, COLUMN()), IF(ISNA(_xlpm.VAL), "", IF(_xlpm.VAL=0, "", _xlpm.VAL)))</f>
        <v/>
      </c>
      <c r="G486" s="154" t="str" cm="1">
        <f t="array" aca="1" ref="G486" ca="1">_xlfn.LET(_xlpm.VAL, INDEX('Heat Sheet'!$A:$I, _xlfn.XMATCH(INDIRECT("A"&amp;ROW()-1),'Heat Sheet'!$A:$A)+1, COLUMN()), IF(ISNA(_xlpm.VAL), "", IF(_xlpm.VAL=0, "", _xlpm.VAL)))</f>
        <v/>
      </c>
      <c r="H486" s="154" t="str" cm="1">
        <f t="array" aca="1" ref="H486" ca="1">_xlfn.LET(_xlpm.VAL, INDEX('Heat Sheet'!$A:$I, _xlfn.XMATCH(INDIRECT("A"&amp;ROW()-1),'Heat Sheet'!$A:$A)+1, COLUMN()), IF(ISNA(_xlpm.VAL), "", IF(_xlpm.VAL=0, "", _xlpm.VAL)))</f>
        <v/>
      </c>
      <c r="I486" s="155" t="str" cm="1">
        <f t="array" aca="1" ref="I486" ca="1">_xlfn.LET(_xlpm.VAL, INDEX('Heat Sheet'!$A:$I, _xlfn.XMATCH(INDIRECT("A"&amp;ROW()-1),'Heat Sheet'!$A:$A)+1, COLUMN()), IF(ISNA(_xlpm.VAL), "", IF(_xlpm.VAL=0, "", _xlpm.VAL)))</f>
        <v/>
      </c>
    </row>
    <row r="487" spans="1:9" ht="15.75" customHeight="1" x14ac:dyDescent="0.2">
      <c r="A487" s="201"/>
      <c r="B487" s="202"/>
      <c r="C487" s="122" t="s">
        <v>22</v>
      </c>
      <c r="D487" s="124"/>
      <c r="E487" s="124"/>
      <c r="F487" s="124"/>
      <c r="G487" s="124"/>
      <c r="H487" s="124"/>
      <c r="I487" s="126"/>
    </row>
    <row r="488" spans="1:9" ht="15.75" customHeight="1" x14ac:dyDescent="0.2">
      <c r="A488" s="201"/>
      <c r="B488" s="202"/>
      <c r="C488" s="122" t="s">
        <v>23</v>
      </c>
      <c r="D488" s="158"/>
      <c r="E488" s="158"/>
      <c r="F488" s="158"/>
      <c r="G488" s="158"/>
      <c r="H488" s="158"/>
      <c r="I488" s="159"/>
    </row>
    <row r="489" spans="1:9" ht="15.75" customHeight="1" x14ac:dyDescent="0.2">
      <c r="A489" s="201"/>
      <c r="B489" s="202"/>
      <c r="C489" s="26" t="s">
        <v>14</v>
      </c>
      <c r="D489" s="160"/>
      <c r="E489" s="160"/>
      <c r="F489" s="160"/>
      <c r="G489" s="160"/>
      <c r="H489" s="160"/>
      <c r="I489" s="161"/>
    </row>
    <row r="490" spans="1:9" ht="15.75" customHeight="1" x14ac:dyDescent="0.2">
      <c r="A490" s="201">
        <v>98</v>
      </c>
      <c r="B490" s="202" t="str">
        <f>IFERROR(VLOOKUP(A490,'Heat Sheet'!$A:$I, 2, FALSE), "")</f>
        <v/>
      </c>
      <c r="C490" s="129" t="str" cm="1">
        <f t="array" aca="1" ref="C490" ca="1">_xlfn.LET(_xlpm.VAL, INDEX('Heat Sheet'!$A:$I, _xlfn.XMATCH(INDIRECT("A"&amp;ROW()),'Heat Sheet'!$A:$A), COLUMN()), IF(ISNA(_xlpm.VAL), "", IF(_xlpm.VAL=0, "", _xlpm.VAL)))</f>
        <v/>
      </c>
      <c r="D490" s="154" t="str" cm="1">
        <f t="array" aca="1" ref="D490" ca="1">_xlfn.LET(_xlpm.VAL, INDEX('Heat Sheet'!$A:$I, _xlfn.XMATCH(INDIRECT("A"&amp;ROW()),'Heat Sheet'!$A:$A), COLUMN()), IF(ISNA(_xlpm.VAL), "", IF(_xlpm.VAL=0, "", _xlpm.VAL)))</f>
        <v/>
      </c>
      <c r="E490" s="154" t="str" cm="1">
        <f t="array" aca="1" ref="E490" ca="1">_xlfn.LET(_xlpm.VAL, INDEX('Heat Sheet'!$A:$I, _xlfn.XMATCH(INDIRECT("A"&amp;ROW()),'Heat Sheet'!$A:$A), COLUMN()), IF(ISNA(_xlpm.VAL), "", IF(_xlpm.VAL=0, "", _xlpm.VAL)))</f>
        <v/>
      </c>
      <c r="F490" s="154" t="str" cm="1">
        <f t="array" aca="1" ref="F490" ca="1">_xlfn.LET(_xlpm.VAL, INDEX('Heat Sheet'!$A:$I, _xlfn.XMATCH(INDIRECT("A"&amp;ROW()),'Heat Sheet'!$A:$A), COLUMN()), IF(ISNA(_xlpm.VAL), "", IF(_xlpm.VAL=0, "", _xlpm.VAL)))</f>
        <v/>
      </c>
      <c r="G490" s="154" t="str" cm="1">
        <f t="array" aca="1" ref="G490" ca="1">_xlfn.LET(_xlpm.VAL, INDEX('Heat Sheet'!$A:$I, _xlfn.XMATCH(INDIRECT("A"&amp;ROW()),'Heat Sheet'!$A:$A), COLUMN()), IF(ISNA(_xlpm.VAL), "", IF(_xlpm.VAL=0, "", _xlpm.VAL)))</f>
        <v/>
      </c>
      <c r="H490" s="154" t="str" cm="1">
        <f t="array" aca="1" ref="H490" ca="1">_xlfn.LET(_xlpm.VAL, INDEX('Heat Sheet'!$A:$I, _xlfn.XMATCH(INDIRECT("A"&amp;ROW()),'Heat Sheet'!$A:$A), COLUMN()), IF(ISNA(_xlpm.VAL), "", IF(_xlpm.VAL=0, "", _xlpm.VAL)))</f>
        <v/>
      </c>
      <c r="I490" s="155" t="str" cm="1">
        <f t="array" aca="1" ref="I490" ca="1">_xlfn.LET(_xlpm.VAL, INDEX('Heat Sheet'!$A:$I, _xlfn.XMATCH(INDIRECT("A"&amp;ROW()),'Heat Sheet'!$A:$A), COLUMN()), IF(ISNA(_xlpm.VAL), "", IF(_xlpm.VAL=0, "", _xlpm.VAL)))</f>
        <v/>
      </c>
    </row>
    <row r="491" spans="1:9" ht="15.75" customHeight="1" x14ac:dyDescent="0.2">
      <c r="A491" s="201"/>
      <c r="B491" s="202"/>
      <c r="C491" s="129" t="str" cm="1">
        <f t="array" aca="1" ref="C491" ca="1">_xlfn.LET(_xlpm.VAL, INDEX('Heat Sheet'!$A:$I, _xlfn.XMATCH(INDIRECT("A"&amp;ROW()-1),'Heat Sheet'!$A:$A)+1, COLUMN()), IF(ISNA(_xlpm.VAL), "", IF(_xlpm.VAL=0, "", _xlpm.VAL)))</f>
        <v/>
      </c>
      <c r="D491" s="154" t="str" cm="1">
        <f t="array" aca="1" ref="D491" ca="1">_xlfn.LET(_xlpm.VAL, INDEX('Heat Sheet'!$A:$I, _xlfn.XMATCH(INDIRECT("A"&amp;ROW()-1),'Heat Sheet'!$A:$A)+1, COLUMN()), IF(ISNA(_xlpm.VAL), "", IF(_xlpm.VAL=0, "", _xlpm.VAL)))</f>
        <v/>
      </c>
      <c r="E491" s="154" t="str" cm="1">
        <f t="array" aca="1" ref="E491" ca="1">_xlfn.LET(_xlpm.VAL, INDEX('Heat Sheet'!$A:$I, _xlfn.XMATCH(INDIRECT("A"&amp;ROW()-1),'Heat Sheet'!$A:$A)+1, COLUMN()), IF(ISNA(_xlpm.VAL), "", IF(_xlpm.VAL=0, "", _xlpm.VAL)))</f>
        <v/>
      </c>
      <c r="F491" s="154" t="str" cm="1">
        <f t="array" aca="1" ref="F491" ca="1">_xlfn.LET(_xlpm.VAL, INDEX('Heat Sheet'!$A:$I, _xlfn.XMATCH(INDIRECT("A"&amp;ROW()-1),'Heat Sheet'!$A:$A)+1, COLUMN()), IF(ISNA(_xlpm.VAL), "", IF(_xlpm.VAL=0, "", _xlpm.VAL)))</f>
        <v/>
      </c>
      <c r="G491" s="154" t="str" cm="1">
        <f t="array" aca="1" ref="G491" ca="1">_xlfn.LET(_xlpm.VAL, INDEX('Heat Sheet'!$A:$I, _xlfn.XMATCH(INDIRECT("A"&amp;ROW()-1),'Heat Sheet'!$A:$A)+1, COLUMN()), IF(ISNA(_xlpm.VAL), "", IF(_xlpm.VAL=0, "", _xlpm.VAL)))</f>
        <v/>
      </c>
      <c r="H491" s="154" t="str" cm="1">
        <f t="array" aca="1" ref="H491" ca="1">_xlfn.LET(_xlpm.VAL, INDEX('Heat Sheet'!$A:$I, _xlfn.XMATCH(INDIRECT("A"&amp;ROW()-1),'Heat Sheet'!$A:$A)+1, COLUMN()), IF(ISNA(_xlpm.VAL), "", IF(_xlpm.VAL=0, "", _xlpm.VAL)))</f>
        <v/>
      </c>
      <c r="I491" s="155" t="str" cm="1">
        <f t="array" aca="1" ref="I491" ca="1">_xlfn.LET(_xlpm.VAL, INDEX('Heat Sheet'!$A:$I, _xlfn.XMATCH(INDIRECT("A"&amp;ROW()-1),'Heat Sheet'!$A:$A)+1, COLUMN()), IF(ISNA(_xlpm.VAL), "", IF(_xlpm.VAL=0, "", _xlpm.VAL)))</f>
        <v/>
      </c>
    </row>
    <row r="492" spans="1:9" ht="15.75" customHeight="1" x14ac:dyDescent="0.2">
      <c r="A492" s="201"/>
      <c r="B492" s="202"/>
      <c r="C492" s="122" t="s">
        <v>22</v>
      </c>
      <c r="D492" s="124"/>
      <c r="E492" s="124"/>
      <c r="F492" s="124"/>
      <c r="G492" s="124"/>
      <c r="H492" s="124"/>
      <c r="I492" s="126"/>
    </row>
    <row r="493" spans="1:9" ht="15.75" customHeight="1" x14ac:dyDescent="0.2">
      <c r="A493" s="201"/>
      <c r="B493" s="202"/>
      <c r="C493" s="122" t="s">
        <v>23</v>
      </c>
      <c r="D493" s="158"/>
      <c r="E493" s="158"/>
      <c r="F493" s="158"/>
      <c r="G493" s="158"/>
      <c r="H493" s="158"/>
      <c r="I493" s="159"/>
    </row>
    <row r="494" spans="1:9" ht="15.75" customHeight="1" x14ac:dyDescent="0.2">
      <c r="A494" s="201"/>
      <c r="B494" s="202"/>
      <c r="C494" s="26" t="s">
        <v>14</v>
      </c>
      <c r="D494" s="160"/>
      <c r="E494" s="160"/>
      <c r="F494" s="160"/>
      <c r="G494" s="160"/>
      <c r="H494" s="160"/>
      <c r="I494" s="161"/>
    </row>
    <row r="495" spans="1:9" ht="15.75" customHeight="1" x14ac:dyDescent="0.2">
      <c r="A495" s="201">
        <v>99</v>
      </c>
      <c r="B495" s="202" t="str">
        <f>IFERROR(VLOOKUP(A495,'Heat Sheet'!$A:$I, 2, FALSE), "")</f>
        <v/>
      </c>
      <c r="C495" s="129" t="str" cm="1">
        <f t="array" aca="1" ref="C495" ca="1">_xlfn.LET(_xlpm.VAL, INDEX('Heat Sheet'!$A:$I, _xlfn.XMATCH(INDIRECT("A"&amp;ROW()),'Heat Sheet'!$A:$A), COLUMN()), IF(ISNA(_xlpm.VAL), "", IF(_xlpm.VAL=0, "", _xlpm.VAL)))</f>
        <v/>
      </c>
      <c r="D495" s="154" t="str" cm="1">
        <f t="array" aca="1" ref="D495" ca="1">_xlfn.LET(_xlpm.VAL, INDEX('Heat Sheet'!$A:$I, _xlfn.XMATCH(INDIRECT("A"&amp;ROW()),'Heat Sheet'!$A:$A), COLUMN()), IF(ISNA(_xlpm.VAL), "", IF(_xlpm.VAL=0, "", _xlpm.VAL)))</f>
        <v/>
      </c>
      <c r="E495" s="154" t="str" cm="1">
        <f t="array" aca="1" ref="E495" ca="1">_xlfn.LET(_xlpm.VAL, INDEX('Heat Sheet'!$A:$I, _xlfn.XMATCH(INDIRECT("A"&amp;ROW()),'Heat Sheet'!$A:$A), COLUMN()), IF(ISNA(_xlpm.VAL), "", IF(_xlpm.VAL=0, "", _xlpm.VAL)))</f>
        <v/>
      </c>
      <c r="F495" s="154" t="str" cm="1">
        <f t="array" aca="1" ref="F495" ca="1">_xlfn.LET(_xlpm.VAL, INDEX('Heat Sheet'!$A:$I, _xlfn.XMATCH(INDIRECT("A"&amp;ROW()),'Heat Sheet'!$A:$A), COLUMN()), IF(ISNA(_xlpm.VAL), "", IF(_xlpm.VAL=0, "", _xlpm.VAL)))</f>
        <v/>
      </c>
      <c r="G495" s="154" t="str" cm="1">
        <f t="array" aca="1" ref="G495" ca="1">_xlfn.LET(_xlpm.VAL, INDEX('Heat Sheet'!$A:$I, _xlfn.XMATCH(INDIRECT("A"&amp;ROW()),'Heat Sheet'!$A:$A), COLUMN()), IF(ISNA(_xlpm.VAL), "", IF(_xlpm.VAL=0, "", _xlpm.VAL)))</f>
        <v/>
      </c>
      <c r="H495" s="154" t="str" cm="1">
        <f t="array" aca="1" ref="H495" ca="1">_xlfn.LET(_xlpm.VAL, INDEX('Heat Sheet'!$A:$I, _xlfn.XMATCH(INDIRECT("A"&amp;ROW()),'Heat Sheet'!$A:$A), COLUMN()), IF(ISNA(_xlpm.VAL), "", IF(_xlpm.VAL=0, "", _xlpm.VAL)))</f>
        <v/>
      </c>
      <c r="I495" s="155" t="str" cm="1">
        <f t="array" aca="1" ref="I495" ca="1">_xlfn.LET(_xlpm.VAL, INDEX('Heat Sheet'!$A:$I, _xlfn.XMATCH(INDIRECT("A"&amp;ROW()),'Heat Sheet'!$A:$A), COLUMN()), IF(ISNA(_xlpm.VAL), "", IF(_xlpm.VAL=0, "", _xlpm.VAL)))</f>
        <v/>
      </c>
    </row>
    <row r="496" spans="1:9" ht="15.75" customHeight="1" x14ac:dyDescent="0.2">
      <c r="A496" s="201"/>
      <c r="B496" s="202"/>
      <c r="C496" s="129" t="str" cm="1">
        <f t="array" aca="1" ref="C496" ca="1">_xlfn.LET(_xlpm.VAL, INDEX('Heat Sheet'!$A:$I, _xlfn.XMATCH(INDIRECT("A"&amp;ROW()-1),'Heat Sheet'!$A:$A)+1, COLUMN()), IF(ISNA(_xlpm.VAL), "", IF(_xlpm.VAL=0, "", _xlpm.VAL)))</f>
        <v/>
      </c>
      <c r="D496" s="154" t="str" cm="1">
        <f t="array" aca="1" ref="D496" ca="1">_xlfn.LET(_xlpm.VAL, INDEX('Heat Sheet'!$A:$I, _xlfn.XMATCH(INDIRECT("A"&amp;ROW()-1),'Heat Sheet'!$A:$A)+1, COLUMN()), IF(ISNA(_xlpm.VAL), "", IF(_xlpm.VAL=0, "", _xlpm.VAL)))</f>
        <v/>
      </c>
      <c r="E496" s="154" t="str" cm="1">
        <f t="array" aca="1" ref="E496" ca="1">_xlfn.LET(_xlpm.VAL, INDEX('Heat Sheet'!$A:$I, _xlfn.XMATCH(INDIRECT("A"&amp;ROW()-1),'Heat Sheet'!$A:$A)+1, COLUMN()), IF(ISNA(_xlpm.VAL), "", IF(_xlpm.VAL=0, "", _xlpm.VAL)))</f>
        <v/>
      </c>
      <c r="F496" s="154" t="str" cm="1">
        <f t="array" aca="1" ref="F496" ca="1">_xlfn.LET(_xlpm.VAL, INDEX('Heat Sheet'!$A:$I, _xlfn.XMATCH(INDIRECT("A"&amp;ROW()-1),'Heat Sheet'!$A:$A)+1, COLUMN()), IF(ISNA(_xlpm.VAL), "", IF(_xlpm.VAL=0, "", _xlpm.VAL)))</f>
        <v/>
      </c>
      <c r="G496" s="154" t="str" cm="1">
        <f t="array" aca="1" ref="G496" ca="1">_xlfn.LET(_xlpm.VAL, INDEX('Heat Sheet'!$A:$I, _xlfn.XMATCH(INDIRECT("A"&amp;ROW()-1),'Heat Sheet'!$A:$A)+1, COLUMN()), IF(ISNA(_xlpm.VAL), "", IF(_xlpm.VAL=0, "", _xlpm.VAL)))</f>
        <v/>
      </c>
      <c r="H496" s="154" t="str" cm="1">
        <f t="array" aca="1" ref="H496" ca="1">_xlfn.LET(_xlpm.VAL, INDEX('Heat Sheet'!$A:$I, _xlfn.XMATCH(INDIRECT("A"&amp;ROW()-1),'Heat Sheet'!$A:$A)+1, COLUMN()), IF(ISNA(_xlpm.VAL), "", IF(_xlpm.VAL=0, "", _xlpm.VAL)))</f>
        <v/>
      </c>
      <c r="I496" s="155" t="str" cm="1">
        <f t="array" aca="1" ref="I496" ca="1">_xlfn.LET(_xlpm.VAL, INDEX('Heat Sheet'!$A:$I, _xlfn.XMATCH(INDIRECT("A"&amp;ROW()-1),'Heat Sheet'!$A:$A)+1, COLUMN()), IF(ISNA(_xlpm.VAL), "", IF(_xlpm.VAL=0, "", _xlpm.VAL)))</f>
        <v/>
      </c>
    </row>
    <row r="497" spans="1:9" ht="15.75" customHeight="1" x14ac:dyDescent="0.2">
      <c r="A497" s="201"/>
      <c r="B497" s="202"/>
      <c r="C497" s="122" t="s">
        <v>22</v>
      </c>
      <c r="D497" s="124"/>
      <c r="E497" s="124"/>
      <c r="F497" s="124"/>
      <c r="G497" s="124"/>
      <c r="H497" s="124"/>
      <c r="I497" s="126"/>
    </row>
    <row r="498" spans="1:9" ht="15.75" customHeight="1" x14ac:dyDescent="0.2">
      <c r="A498" s="201"/>
      <c r="B498" s="202"/>
      <c r="C498" s="122" t="s">
        <v>23</v>
      </c>
      <c r="D498" s="158"/>
      <c r="E498" s="158"/>
      <c r="F498" s="158"/>
      <c r="G498" s="158"/>
      <c r="H498" s="158"/>
      <c r="I498" s="159"/>
    </row>
    <row r="499" spans="1:9" ht="15.75" customHeight="1" x14ac:dyDescent="0.2">
      <c r="A499" s="201"/>
      <c r="B499" s="202"/>
      <c r="C499" s="26" t="s">
        <v>14</v>
      </c>
      <c r="D499" s="160"/>
      <c r="E499" s="160"/>
      <c r="F499" s="160"/>
      <c r="G499" s="160"/>
      <c r="H499" s="160"/>
      <c r="I499" s="161"/>
    </row>
    <row r="500" spans="1:9" ht="15.75" customHeight="1" x14ac:dyDescent="0.2">
      <c r="A500" s="201">
        <v>100</v>
      </c>
      <c r="B500" s="202" t="str">
        <f>IFERROR(VLOOKUP(A500,'Heat Sheet'!$A:$I, 2, FALSE), "")</f>
        <v/>
      </c>
      <c r="C500" s="129" t="str" cm="1">
        <f t="array" aca="1" ref="C500" ca="1">_xlfn.LET(_xlpm.VAL, INDEX('Heat Sheet'!$A:$I, _xlfn.XMATCH(INDIRECT("A"&amp;ROW()),'Heat Sheet'!$A:$A), COLUMN()), IF(ISNA(_xlpm.VAL), "", IF(_xlpm.VAL=0, "", _xlpm.VAL)))</f>
        <v/>
      </c>
      <c r="D500" s="154" t="str" cm="1">
        <f t="array" aca="1" ref="D500" ca="1">_xlfn.LET(_xlpm.VAL, INDEX('Heat Sheet'!$A:$I, _xlfn.XMATCH(INDIRECT("A"&amp;ROW()),'Heat Sheet'!$A:$A), COLUMN()), IF(ISNA(_xlpm.VAL), "", IF(_xlpm.VAL=0, "", _xlpm.VAL)))</f>
        <v/>
      </c>
      <c r="E500" s="154" t="str" cm="1">
        <f t="array" aca="1" ref="E500" ca="1">_xlfn.LET(_xlpm.VAL, INDEX('Heat Sheet'!$A:$I, _xlfn.XMATCH(INDIRECT("A"&amp;ROW()),'Heat Sheet'!$A:$A), COLUMN()), IF(ISNA(_xlpm.VAL), "", IF(_xlpm.VAL=0, "", _xlpm.VAL)))</f>
        <v/>
      </c>
      <c r="F500" s="154" t="str" cm="1">
        <f t="array" aca="1" ref="F500" ca="1">_xlfn.LET(_xlpm.VAL, INDEX('Heat Sheet'!$A:$I, _xlfn.XMATCH(INDIRECT("A"&amp;ROW()),'Heat Sheet'!$A:$A), COLUMN()), IF(ISNA(_xlpm.VAL), "", IF(_xlpm.VAL=0, "", _xlpm.VAL)))</f>
        <v/>
      </c>
      <c r="G500" s="154" t="str" cm="1">
        <f t="array" aca="1" ref="G500" ca="1">_xlfn.LET(_xlpm.VAL, INDEX('Heat Sheet'!$A:$I, _xlfn.XMATCH(INDIRECT("A"&amp;ROW()),'Heat Sheet'!$A:$A), COLUMN()), IF(ISNA(_xlpm.VAL), "", IF(_xlpm.VAL=0, "", _xlpm.VAL)))</f>
        <v/>
      </c>
      <c r="H500" s="154" t="str" cm="1">
        <f t="array" aca="1" ref="H500" ca="1">_xlfn.LET(_xlpm.VAL, INDEX('Heat Sheet'!$A:$I, _xlfn.XMATCH(INDIRECT("A"&amp;ROW()),'Heat Sheet'!$A:$A), COLUMN()), IF(ISNA(_xlpm.VAL), "", IF(_xlpm.VAL=0, "", _xlpm.VAL)))</f>
        <v/>
      </c>
      <c r="I500" s="155" t="str" cm="1">
        <f t="array" aca="1" ref="I500" ca="1">_xlfn.LET(_xlpm.VAL, INDEX('Heat Sheet'!$A:$I, _xlfn.XMATCH(INDIRECT("A"&amp;ROW()),'Heat Sheet'!$A:$A), COLUMN()), IF(ISNA(_xlpm.VAL), "", IF(_xlpm.VAL=0, "", _xlpm.VAL)))</f>
        <v/>
      </c>
    </row>
    <row r="501" spans="1:9" ht="15.75" customHeight="1" x14ac:dyDescent="0.2">
      <c r="A501" s="201"/>
      <c r="B501" s="202"/>
      <c r="C501" s="129" t="str" cm="1">
        <f t="array" aca="1" ref="C501" ca="1">_xlfn.LET(_xlpm.VAL, INDEX('Heat Sheet'!$A:$I, _xlfn.XMATCH(INDIRECT("A"&amp;ROW()-1),'Heat Sheet'!$A:$A)+1, COLUMN()), IF(ISNA(_xlpm.VAL), "", IF(_xlpm.VAL=0, "", _xlpm.VAL)))</f>
        <v/>
      </c>
      <c r="D501" s="154" t="str" cm="1">
        <f t="array" aca="1" ref="D501" ca="1">_xlfn.LET(_xlpm.VAL, INDEX('Heat Sheet'!$A:$I, _xlfn.XMATCH(INDIRECT("A"&amp;ROW()-1),'Heat Sheet'!$A:$A)+1, COLUMN()), IF(ISNA(_xlpm.VAL), "", IF(_xlpm.VAL=0, "", _xlpm.VAL)))</f>
        <v/>
      </c>
      <c r="E501" s="154" t="str" cm="1">
        <f t="array" aca="1" ref="E501" ca="1">_xlfn.LET(_xlpm.VAL, INDEX('Heat Sheet'!$A:$I, _xlfn.XMATCH(INDIRECT("A"&amp;ROW()-1),'Heat Sheet'!$A:$A)+1, COLUMN()), IF(ISNA(_xlpm.VAL), "", IF(_xlpm.VAL=0, "", _xlpm.VAL)))</f>
        <v/>
      </c>
      <c r="F501" s="154" t="str" cm="1">
        <f t="array" aca="1" ref="F501" ca="1">_xlfn.LET(_xlpm.VAL, INDEX('Heat Sheet'!$A:$I, _xlfn.XMATCH(INDIRECT("A"&amp;ROW()-1),'Heat Sheet'!$A:$A)+1, COLUMN()), IF(ISNA(_xlpm.VAL), "", IF(_xlpm.VAL=0, "", _xlpm.VAL)))</f>
        <v/>
      </c>
      <c r="G501" s="154" t="str" cm="1">
        <f t="array" aca="1" ref="G501" ca="1">_xlfn.LET(_xlpm.VAL, INDEX('Heat Sheet'!$A:$I, _xlfn.XMATCH(INDIRECT("A"&amp;ROW()-1),'Heat Sheet'!$A:$A)+1, COLUMN()), IF(ISNA(_xlpm.VAL), "", IF(_xlpm.VAL=0, "", _xlpm.VAL)))</f>
        <v/>
      </c>
      <c r="H501" s="154" t="str" cm="1">
        <f t="array" aca="1" ref="H501" ca="1">_xlfn.LET(_xlpm.VAL, INDEX('Heat Sheet'!$A:$I, _xlfn.XMATCH(INDIRECT("A"&amp;ROW()-1),'Heat Sheet'!$A:$A)+1, COLUMN()), IF(ISNA(_xlpm.VAL), "", IF(_xlpm.VAL=0, "", _xlpm.VAL)))</f>
        <v/>
      </c>
      <c r="I501" s="155" t="str" cm="1">
        <f t="array" aca="1" ref="I501" ca="1">_xlfn.LET(_xlpm.VAL, INDEX('Heat Sheet'!$A:$I, _xlfn.XMATCH(INDIRECT("A"&amp;ROW()-1),'Heat Sheet'!$A:$A)+1, COLUMN()), IF(ISNA(_xlpm.VAL), "", IF(_xlpm.VAL=0, "", _xlpm.VAL)))</f>
        <v/>
      </c>
    </row>
    <row r="502" spans="1:9" ht="15.75" customHeight="1" x14ac:dyDescent="0.2">
      <c r="A502" s="201"/>
      <c r="B502" s="202"/>
      <c r="C502" s="122" t="s">
        <v>22</v>
      </c>
      <c r="D502" s="124"/>
      <c r="E502" s="124"/>
      <c r="F502" s="124"/>
      <c r="G502" s="124"/>
      <c r="H502" s="124"/>
      <c r="I502" s="126"/>
    </row>
    <row r="503" spans="1:9" ht="15.75" customHeight="1" x14ac:dyDescent="0.2">
      <c r="A503" s="201"/>
      <c r="B503" s="202"/>
      <c r="C503" s="122" t="s">
        <v>23</v>
      </c>
      <c r="D503" s="158"/>
      <c r="E503" s="158"/>
      <c r="F503" s="158"/>
      <c r="G503" s="158"/>
      <c r="H503" s="158"/>
      <c r="I503" s="159"/>
    </row>
    <row r="504" spans="1:9" ht="15.75" customHeight="1" x14ac:dyDescent="0.2">
      <c r="A504" s="201"/>
      <c r="B504" s="202"/>
      <c r="C504" s="26" t="s">
        <v>14</v>
      </c>
      <c r="D504" s="160"/>
      <c r="E504" s="160"/>
      <c r="F504" s="160"/>
      <c r="G504" s="160"/>
      <c r="H504" s="160"/>
      <c r="I504" s="161"/>
    </row>
    <row r="505" spans="1:9" ht="15.75" customHeight="1" x14ac:dyDescent="0.2">
      <c r="A505" s="201">
        <v>101</v>
      </c>
      <c r="B505" s="202" t="str">
        <f>IFERROR(VLOOKUP(A505,'Heat Sheet'!$A:$I, 2, FALSE), "")</f>
        <v/>
      </c>
      <c r="C505" s="129" t="str" cm="1">
        <f t="array" aca="1" ref="C505" ca="1">_xlfn.LET(_xlpm.VAL, INDEX('Heat Sheet'!$A:$I, _xlfn.XMATCH(INDIRECT("A"&amp;ROW()),'Heat Sheet'!$A:$A), COLUMN()), IF(ISNA(_xlpm.VAL), "", IF(_xlpm.VAL=0, "", _xlpm.VAL)))</f>
        <v/>
      </c>
      <c r="D505" s="154" t="str" cm="1">
        <f t="array" aca="1" ref="D505" ca="1">_xlfn.LET(_xlpm.VAL, INDEX('Heat Sheet'!$A:$I, _xlfn.XMATCH(INDIRECT("A"&amp;ROW()),'Heat Sheet'!$A:$A), COLUMN()), IF(ISNA(_xlpm.VAL), "", IF(_xlpm.VAL=0, "", _xlpm.VAL)))</f>
        <v/>
      </c>
      <c r="E505" s="154" t="str" cm="1">
        <f t="array" aca="1" ref="E505" ca="1">_xlfn.LET(_xlpm.VAL, INDEX('Heat Sheet'!$A:$I, _xlfn.XMATCH(INDIRECT("A"&amp;ROW()),'Heat Sheet'!$A:$A), COLUMN()), IF(ISNA(_xlpm.VAL), "", IF(_xlpm.VAL=0, "", _xlpm.VAL)))</f>
        <v/>
      </c>
      <c r="F505" s="154" t="str" cm="1">
        <f t="array" aca="1" ref="F505" ca="1">_xlfn.LET(_xlpm.VAL, INDEX('Heat Sheet'!$A:$I, _xlfn.XMATCH(INDIRECT("A"&amp;ROW()),'Heat Sheet'!$A:$A), COLUMN()), IF(ISNA(_xlpm.VAL), "", IF(_xlpm.VAL=0, "", _xlpm.VAL)))</f>
        <v/>
      </c>
      <c r="G505" s="154" t="str" cm="1">
        <f t="array" aca="1" ref="G505" ca="1">_xlfn.LET(_xlpm.VAL, INDEX('Heat Sheet'!$A:$I, _xlfn.XMATCH(INDIRECT("A"&amp;ROW()),'Heat Sheet'!$A:$A), COLUMN()), IF(ISNA(_xlpm.VAL), "", IF(_xlpm.VAL=0, "", _xlpm.VAL)))</f>
        <v/>
      </c>
      <c r="H505" s="154" t="str" cm="1">
        <f t="array" aca="1" ref="H505" ca="1">_xlfn.LET(_xlpm.VAL, INDEX('Heat Sheet'!$A:$I, _xlfn.XMATCH(INDIRECT("A"&amp;ROW()),'Heat Sheet'!$A:$A), COLUMN()), IF(ISNA(_xlpm.VAL), "", IF(_xlpm.VAL=0, "", _xlpm.VAL)))</f>
        <v/>
      </c>
      <c r="I505" s="155" t="str" cm="1">
        <f t="array" aca="1" ref="I505" ca="1">_xlfn.LET(_xlpm.VAL, INDEX('Heat Sheet'!$A:$I, _xlfn.XMATCH(INDIRECT("A"&amp;ROW()),'Heat Sheet'!$A:$A), COLUMN()), IF(ISNA(_xlpm.VAL), "", IF(_xlpm.VAL=0, "", _xlpm.VAL)))</f>
        <v/>
      </c>
    </row>
    <row r="506" spans="1:9" ht="15.75" customHeight="1" x14ac:dyDescent="0.2">
      <c r="A506" s="201"/>
      <c r="B506" s="202"/>
      <c r="C506" s="129" t="str" cm="1">
        <f t="array" aca="1" ref="C506" ca="1">_xlfn.LET(_xlpm.VAL, INDEX('Heat Sheet'!$A:$I, _xlfn.XMATCH(INDIRECT("A"&amp;ROW()-1),'Heat Sheet'!$A:$A)+1, COLUMN()), IF(ISNA(_xlpm.VAL), "", IF(_xlpm.VAL=0, "", _xlpm.VAL)))</f>
        <v/>
      </c>
      <c r="D506" s="154" t="str" cm="1">
        <f t="array" aca="1" ref="D506" ca="1">_xlfn.LET(_xlpm.VAL, INDEX('Heat Sheet'!$A:$I, _xlfn.XMATCH(INDIRECT("A"&amp;ROW()-1),'Heat Sheet'!$A:$A)+1, COLUMN()), IF(ISNA(_xlpm.VAL), "", IF(_xlpm.VAL=0, "", _xlpm.VAL)))</f>
        <v/>
      </c>
      <c r="E506" s="154" t="str" cm="1">
        <f t="array" aca="1" ref="E506" ca="1">_xlfn.LET(_xlpm.VAL, INDEX('Heat Sheet'!$A:$I, _xlfn.XMATCH(INDIRECT("A"&amp;ROW()-1),'Heat Sheet'!$A:$A)+1, COLUMN()), IF(ISNA(_xlpm.VAL), "", IF(_xlpm.VAL=0, "", _xlpm.VAL)))</f>
        <v/>
      </c>
      <c r="F506" s="154" t="str" cm="1">
        <f t="array" aca="1" ref="F506" ca="1">_xlfn.LET(_xlpm.VAL, INDEX('Heat Sheet'!$A:$I, _xlfn.XMATCH(INDIRECT("A"&amp;ROW()-1),'Heat Sheet'!$A:$A)+1, COLUMN()), IF(ISNA(_xlpm.VAL), "", IF(_xlpm.VAL=0, "", _xlpm.VAL)))</f>
        <v/>
      </c>
      <c r="G506" s="154" t="str" cm="1">
        <f t="array" aca="1" ref="G506" ca="1">_xlfn.LET(_xlpm.VAL, INDEX('Heat Sheet'!$A:$I, _xlfn.XMATCH(INDIRECT("A"&amp;ROW()-1),'Heat Sheet'!$A:$A)+1, COLUMN()), IF(ISNA(_xlpm.VAL), "", IF(_xlpm.VAL=0, "", _xlpm.VAL)))</f>
        <v/>
      </c>
      <c r="H506" s="154" t="str" cm="1">
        <f t="array" aca="1" ref="H506" ca="1">_xlfn.LET(_xlpm.VAL, INDEX('Heat Sheet'!$A:$I, _xlfn.XMATCH(INDIRECT("A"&amp;ROW()-1),'Heat Sheet'!$A:$A)+1, COLUMN()), IF(ISNA(_xlpm.VAL), "", IF(_xlpm.VAL=0, "", _xlpm.VAL)))</f>
        <v/>
      </c>
      <c r="I506" s="155" t="str" cm="1">
        <f t="array" aca="1" ref="I506" ca="1">_xlfn.LET(_xlpm.VAL, INDEX('Heat Sheet'!$A:$I, _xlfn.XMATCH(INDIRECT("A"&amp;ROW()-1),'Heat Sheet'!$A:$A)+1, COLUMN()), IF(ISNA(_xlpm.VAL), "", IF(_xlpm.VAL=0, "", _xlpm.VAL)))</f>
        <v/>
      </c>
    </row>
    <row r="507" spans="1:9" ht="15.75" customHeight="1" x14ac:dyDescent="0.2">
      <c r="A507" s="201"/>
      <c r="B507" s="202"/>
      <c r="C507" s="122" t="s">
        <v>22</v>
      </c>
      <c r="D507" s="124"/>
      <c r="E507" s="124"/>
      <c r="F507" s="124"/>
      <c r="G507" s="124"/>
      <c r="H507" s="124"/>
      <c r="I507" s="126"/>
    </row>
    <row r="508" spans="1:9" ht="15.75" customHeight="1" x14ac:dyDescent="0.2">
      <c r="A508" s="201"/>
      <c r="B508" s="202"/>
      <c r="C508" s="122" t="s">
        <v>23</v>
      </c>
      <c r="D508" s="158"/>
      <c r="E508" s="158"/>
      <c r="F508" s="158"/>
      <c r="G508" s="158"/>
      <c r="H508" s="158"/>
      <c r="I508" s="159"/>
    </row>
    <row r="509" spans="1:9" ht="15.75" customHeight="1" x14ac:dyDescent="0.2">
      <c r="A509" s="201"/>
      <c r="B509" s="202"/>
      <c r="C509" s="26" t="s">
        <v>14</v>
      </c>
      <c r="D509" s="160"/>
      <c r="E509" s="160"/>
      <c r="F509" s="160"/>
      <c r="G509" s="160"/>
      <c r="H509" s="160"/>
      <c r="I509" s="161"/>
    </row>
    <row r="510" spans="1:9" ht="15.75" customHeight="1" x14ac:dyDescent="0.2">
      <c r="A510" s="201">
        <v>102</v>
      </c>
      <c r="B510" s="202" t="str">
        <f>IFERROR(VLOOKUP(A510,'Heat Sheet'!$A:$I, 2, FALSE), "")</f>
        <v/>
      </c>
      <c r="C510" s="129" t="str" cm="1">
        <f t="array" aca="1" ref="C510" ca="1">_xlfn.LET(_xlpm.VAL, INDEX('Heat Sheet'!$A:$I, _xlfn.XMATCH(INDIRECT("A"&amp;ROW()),'Heat Sheet'!$A:$A), COLUMN()), IF(ISNA(_xlpm.VAL), "", IF(_xlpm.VAL=0, "", _xlpm.VAL)))</f>
        <v/>
      </c>
      <c r="D510" s="154" t="str" cm="1">
        <f t="array" aca="1" ref="D510" ca="1">_xlfn.LET(_xlpm.VAL, INDEX('Heat Sheet'!$A:$I, _xlfn.XMATCH(INDIRECT("A"&amp;ROW()),'Heat Sheet'!$A:$A), COLUMN()), IF(ISNA(_xlpm.VAL), "", IF(_xlpm.VAL=0, "", _xlpm.VAL)))</f>
        <v/>
      </c>
      <c r="E510" s="154" t="str" cm="1">
        <f t="array" aca="1" ref="E510" ca="1">_xlfn.LET(_xlpm.VAL, INDEX('Heat Sheet'!$A:$I, _xlfn.XMATCH(INDIRECT("A"&amp;ROW()),'Heat Sheet'!$A:$A), COLUMN()), IF(ISNA(_xlpm.VAL), "", IF(_xlpm.VAL=0, "", _xlpm.VAL)))</f>
        <v/>
      </c>
      <c r="F510" s="154" t="str" cm="1">
        <f t="array" aca="1" ref="F510" ca="1">_xlfn.LET(_xlpm.VAL, INDEX('Heat Sheet'!$A:$I, _xlfn.XMATCH(INDIRECT("A"&amp;ROW()),'Heat Sheet'!$A:$A), COLUMN()), IF(ISNA(_xlpm.VAL), "", IF(_xlpm.VAL=0, "", _xlpm.VAL)))</f>
        <v/>
      </c>
      <c r="G510" s="154" t="str" cm="1">
        <f t="array" aca="1" ref="G510" ca="1">_xlfn.LET(_xlpm.VAL, INDEX('Heat Sheet'!$A:$I, _xlfn.XMATCH(INDIRECT("A"&amp;ROW()),'Heat Sheet'!$A:$A), COLUMN()), IF(ISNA(_xlpm.VAL), "", IF(_xlpm.VAL=0, "", _xlpm.VAL)))</f>
        <v/>
      </c>
      <c r="H510" s="154" t="str" cm="1">
        <f t="array" aca="1" ref="H510" ca="1">_xlfn.LET(_xlpm.VAL, INDEX('Heat Sheet'!$A:$I, _xlfn.XMATCH(INDIRECT("A"&amp;ROW()),'Heat Sheet'!$A:$A), COLUMN()), IF(ISNA(_xlpm.VAL), "", IF(_xlpm.VAL=0, "", _xlpm.VAL)))</f>
        <v/>
      </c>
      <c r="I510" s="155" t="str" cm="1">
        <f t="array" aca="1" ref="I510" ca="1">_xlfn.LET(_xlpm.VAL, INDEX('Heat Sheet'!$A:$I, _xlfn.XMATCH(INDIRECT("A"&amp;ROW()),'Heat Sheet'!$A:$A), COLUMN()), IF(ISNA(_xlpm.VAL), "", IF(_xlpm.VAL=0, "", _xlpm.VAL)))</f>
        <v/>
      </c>
    </row>
    <row r="511" spans="1:9" ht="15.75" customHeight="1" x14ac:dyDescent="0.2">
      <c r="A511" s="201"/>
      <c r="B511" s="202"/>
      <c r="C511" s="129" t="str" cm="1">
        <f t="array" aca="1" ref="C511" ca="1">_xlfn.LET(_xlpm.VAL, INDEX('Heat Sheet'!$A:$I, _xlfn.XMATCH(INDIRECT("A"&amp;ROW()-1),'Heat Sheet'!$A:$A)+1, COLUMN()), IF(ISNA(_xlpm.VAL), "", IF(_xlpm.VAL=0, "", _xlpm.VAL)))</f>
        <v/>
      </c>
      <c r="D511" s="154" t="str" cm="1">
        <f t="array" aca="1" ref="D511" ca="1">_xlfn.LET(_xlpm.VAL, INDEX('Heat Sheet'!$A:$I, _xlfn.XMATCH(INDIRECT("A"&amp;ROW()-1),'Heat Sheet'!$A:$A)+1, COLUMN()), IF(ISNA(_xlpm.VAL), "", IF(_xlpm.VAL=0, "", _xlpm.VAL)))</f>
        <v/>
      </c>
      <c r="E511" s="154" t="str" cm="1">
        <f t="array" aca="1" ref="E511" ca="1">_xlfn.LET(_xlpm.VAL, INDEX('Heat Sheet'!$A:$I, _xlfn.XMATCH(INDIRECT("A"&amp;ROW()-1),'Heat Sheet'!$A:$A)+1, COLUMN()), IF(ISNA(_xlpm.VAL), "", IF(_xlpm.VAL=0, "", _xlpm.VAL)))</f>
        <v/>
      </c>
      <c r="F511" s="154" t="str" cm="1">
        <f t="array" aca="1" ref="F511" ca="1">_xlfn.LET(_xlpm.VAL, INDEX('Heat Sheet'!$A:$I, _xlfn.XMATCH(INDIRECT("A"&amp;ROW()-1),'Heat Sheet'!$A:$A)+1, COLUMN()), IF(ISNA(_xlpm.VAL), "", IF(_xlpm.VAL=0, "", _xlpm.VAL)))</f>
        <v/>
      </c>
      <c r="G511" s="154" t="str" cm="1">
        <f t="array" aca="1" ref="G511" ca="1">_xlfn.LET(_xlpm.VAL, INDEX('Heat Sheet'!$A:$I, _xlfn.XMATCH(INDIRECT("A"&amp;ROW()-1),'Heat Sheet'!$A:$A)+1, COLUMN()), IF(ISNA(_xlpm.VAL), "", IF(_xlpm.VAL=0, "", _xlpm.VAL)))</f>
        <v/>
      </c>
      <c r="H511" s="154" t="str" cm="1">
        <f t="array" aca="1" ref="H511" ca="1">_xlfn.LET(_xlpm.VAL, INDEX('Heat Sheet'!$A:$I, _xlfn.XMATCH(INDIRECT("A"&amp;ROW()-1),'Heat Sheet'!$A:$A)+1, COLUMN()), IF(ISNA(_xlpm.VAL), "", IF(_xlpm.VAL=0, "", _xlpm.VAL)))</f>
        <v/>
      </c>
      <c r="I511" s="155" t="str" cm="1">
        <f t="array" aca="1" ref="I511" ca="1">_xlfn.LET(_xlpm.VAL, INDEX('Heat Sheet'!$A:$I, _xlfn.XMATCH(INDIRECT("A"&amp;ROW()-1),'Heat Sheet'!$A:$A)+1, COLUMN()), IF(ISNA(_xlpm.VAL), "", IF(_xlpm.VAL=0, "", _xlpm.VAL)))</f>
        <v/>
      </c>
    </row>
    <row r="512" spans="1:9" ht="15.75" customHeight="1" x14ac:dyDescent="0.2">
      <c r="A512" s="201"/>
      <c r="B512" s="202"/>
      <c r="C512" s="122" t="s">
        <v>22</v>
      </c>
      <c r="D512" s="124"/>
      <c r="E512" s="124"/>
      <c r="F512" s="124"/>
      <c r="G512" s="124"/>
      <c r="H512" s="124"/>
      <c r="I512" s="126"/>
    </row>
    <row r="513" spans="1:9" ht="15.75" customHeight="1" x14ac:dyDescent="0.2">
      <c r="A513" s="201"/>
      <c r="B513" s="202"/>
      <c r="C513" s="122" t="s">
        <v>23</v>
      </c>
      <c r="D513" s="158"/>
      <c r="E513" s="158"/>
      <c r="F513" s="158"/>
      <c r="G513" s="158"/>
      <c r="H513" s="158"/>
      <c r="I513" s="159"/>
    </row>
    <row r="514" spans="1:9" ht="15.75" customHeight="1" x14ac:dyDescent="0.2">
      <c r="A514" s="201"/>
      <c r="B514" s="202"/>
      <c r="C514" s="26" t="s">
        <v>14</v>
      </c>
      <c r="D514" s="160"/>
      <c r="E514" s="160"/>
      <c r="F514" s="160"/>
      <c r="G514" s="160"/>
      <c r="H514" s="160"/>
      <c r="I514" s="161"/>
    </row>
    <row r="515" spans="1:9" ht="15.75" customHeight="1" x14ac:dyDescent="0.2">
      <c r="A515" s="201">
        <v>103</v>
      </c>
      <c r="B515" s="202" t="str">
        <f>IFERROR(VLOOKUP(A515,'Heat Sheet'!$A:$I, 2, FALSE), "")</f>
        <v/>
      </c>
      <c r="C515" s="129" t="str" cm="1">
        <f t="array" aca="1" ref="C515" ca="1">_xlfn.LET(_xlpm.VAL, INDEX('Heat Sheet'!$A:$I, _xlfn.XMATCH(INDIRECT("A"&amp;ROW()),'Heat Sheet'!$A:$A), COLUMN()), IF(ISNA(_xlpm.VAL), "", IF(_xlpm.VAL=0, "", _xlpm.VAL)))</f>
        <v/>
      </c>
      <c r="D515" s="154" t="str" cm="1">
        <f t="array" aca="1" ref="D515" ca="1">_xlfn.LET(_xlpm.VAL, INDEX('Heat Sheet'!$A:$I, _xlfn.XMATCH(INDIRECT("A"&amp;ROW()),'Heat Sheet'!$A:$A), COLUMN()), IF(ISNA(_xlpm.VAL), "", IF(_xlpm.VAL=0, "", _xlpm.VAL)))</f>
        <v/>
      </c>
      <c r="E515" s="154" t="str" cm="1">
        <f t="array" aca="1" ref="E515" ca="1">_xlfn.LET(_xlpm.VAL, INDEX('Heat Sheet'!$A:$I, _xlfn.XMATCH(INDIRECT("A"&amp;ROW()),'Heat Sheet'!$A:$A), COLUMN()), IF(ISNA(_xlpm.VAL), "", IF(_xlpm.VAL=0, "", _xlpm.VAL)))</f>
        <v/>
      </c>
      <c r="F515" s="154" t="str" cm="1">
        <f t="array" aca="1" ref="F515" ca="1">_xlfn.LET(_xlpm.VAL, INDEX('Heat Sheet'!$A:$I, _xlfn.XMATCH(INDIRECT("A"&amp;ROW()),'Heat Sheet'!$A:$A), COLUMN()), IF(ISNA(_xlpm.VAL), "", IF(_xlpm.VAL=0, "", _xlpm.VAL)))</f>
        <v/>
      </c>
      <c r="G515" s="154" t="str" cm="1">
        <f t="array" aca="1" ref="G515" ca="1">_xlfn.LET(_xlpm.VAL, INDEX('Heat Sheet'!$A:$I, _xlfn.XMATCH(INDIRECT("A"&amp;ROW()),'Heat Sheet'!$A:$A), COLUMN()), IF(ISNA(_xlpm.VAL), "", IF(_xlpm.VAL=0, "", _xlpm.VAL)))</f>
        <v/>
      </c>
      <c r="H515" s="154" t="str" cm="1">
        <f t="array" aca="1" ref="H515" ca="1">_xlfn.LET(_xlpm.VAL, INDEX('Heat Sheet'!$A:$I, _xlfn.XMATCH(INDIRECT("A"&amp;ROW()),'Heat Sheet'!$A:$A), COLUMN()), IF(ISNA(_xlpm.VAL), "", IF(_xlpm.VAL=0, "", _xlpm.VAL)))</f>
        <v/>
      </c>
      <c r="I515" s="155" t="str" cm="1">
        <f t="array" aca="1" ref="I515" ca="1">_xlfn.LET(_xlpm.VAL, INDEX('Heat Sheet'!$A:$I, _xlfn.XMATCH(INDIRECT("A"&amp;ROW()),'Heat Sheet'!$A:$A), COLUMN()), IF(ISNA(_xlpm.VAL), "", IF(_xlpm.VAL=0, "", _xlpm.VAL)))</f>
        <v/>
      </c>
    </row>
    <row r="516" spans="1:9" ht="15.75" customHeight="1" x14ac:dyDescent="0.2">
      <c r="A516" s="201"/>
      <c r="B516" s="202"/>
      <c r="C516" s="129" t="str" cm="1">
        <f t="array" aca="1" ref="C516" ca="1">_xlfn.LET(_xlpm.VAL, INDEX('Heat Sheet'!$A:$I, _xlfn.XMATCH(INDIRECT("A"&amp;ROW()-1),'Heat Sheet'!$A:$A)+1, COLUMN()), IF(ISNA(_xlpm.VAL), "", IF(_xlpm.VAL=0, "", _xlpm.VAL)))</f>
        <v/>
      </c>
      <c r="D516" s="154" t="str" cm="1">
        <f t="array" aca="1" ref="D516" ca="1">_xlfn.LET(_xlpm.VAL, INDEX('Heat Sheet'!$A:$I, _xlfn.XMATCH(INDIRECT("A"&amp;ROW()-1),'Heat Sheet'!$A:$A)+1, COLUMN()), IF(ISNA(_xlpm.VAL), "", IF(_xlpm.VAL=0, "", _xlpm.VAL)))</f>
        <v/>
      </c>
      <c r="E516" s="154" t="str" cm="1">
        <f t="array" aca="1" ref="E516" ca="1">_xlfn.LET(_xlpm.VAL, INDEX('Heat Sheet'!$A:$I, _xlfn.XMATCH(INDIRECT("A"&amp;ROW()-1),'Heat Sheet'!$A:$A)+1, COLUMN()), IF(ISNA(_xlpm.VAL), "", IF(_xlpm.VAL=0, "", _xlpm.VAL)))</f>
        <v/>
      </c>
      <c r="F516" s="154" t="str" cm="1">
        <f t="array" aca="1" ref="F516" ca="1">_xlfn.LET(_xlpm.VAL, INDEX('Heat Sheet'!$A:$I, _xlfn.XMATCH(INDIRECT("A"&amp;ROW()-1),'Heat Sheet'!$A:$A)+1, COLUMN()), IF(ISNA(_xlpm.VAL), "", IF(_xlpm.VAL=0, "", _xlpm.VAL)))</f>
        <v/>
      </c>
      <c r="G516" s="154" t="str" cm="1">
        <f t="array" aca="1" ref="G516" ca="1">_xlfn.LET(_xlpm.VAL, INDEX('Heat Sheet'!$A:$I, _xlfn.XMATCH(INDIRECT("A"&amp;ROW()-1),'Heat Sheet'!$A:$A)+1, COLUMN()), IF(ISNA(_xlpm.VAL), "", IF(_xlpm.VAL=0, "", _xlpm.VAL)))</f>
        <v/>
      </c>
      <c r="H516" s="154" t="str" cm="1">
        <f t="array" aca="1" ref="H516" ca="1">_xlfn.LET(_xlpm.VAL, INDEX('Heat Sheet'!$A:$I, _xlfn.XMATCH(INDIRECT("A"&amp;ROW()-1),'Heat Sheet'!$A:$A)+1, COLUMN()), IF(ISNA(_xlpm.VAL), "", IF(_xlpm.VAL=0, "", _xlpm.VAL)))</f>
        <v/>
      </c>
      <c r="I516" s="155" t="str" cm="1">
        <f t="array" aca="1" ref="I516" ca="1">_xlfn.LET(_xlpm.VAL, INDEX('Heat Sheet'!$A:$I, _xlfn.XMATCH(INDIRECT("A"&amp;ROW()-1),'Heat Sheet'!$A:$A)+1, COLUMN()), IF(ISNA(_xlpm.VAL), "", IF(_xlpm.VAL=0, "", _xlpm.VAL)))</f>
        <v/>
      </c>
    </row>
    <row r="517" spans="1:9" ht="15.75" customHeight="1" x14ac:dyDescent="0.2">
      <c r="A517" s="201"/>
      <c r="B517" s="202"/>
      <c r="C517" s="122" t="s">
        <v>22</v>
      </c>
      <c r="D517" s="124"/>
      <c r="E517" s="124"/>
      <c r="F517" s="124"/>
      <c r="G517" s="124"/>
      <c r="H517" s="124"/>
      <c r="I517" s="126"/>
    </row>
    <row r="518" spans="1:9" ht="15.75" customHeight="1" x14ac:dyDescent="0.2">
      <c r="A518" s="201"/>
      <c r="B518" s="202"/>
      <c r="C518" s="122" t="s">
        <v>23</v>
      </c>
      <c r="D518" s="158"/>
      <c r="E518" s="158"/>
      <c r="F518" s="158"/>
      <c r="G518" s="158"/>
      <c r="H518" s="158"/>
      <c r="I518" s="159"/>
    </row>
    <row r="519" spans="1:9" ht="15.75" customHeight="1" x14ac:dyDescent="0.2">
      <c r="A519" s="201"/>
      <c r="B519" s="202"/>
      <c r="C519" s="26" t="s">
        <v>14</v>
      </c>
      <c r="D519" s="160"/>
      <c r="E519" s="160"/>
      <c r="F519" s="160"/>
      <c r="G519" s="160"/>
      <c r="H519" s="160"/>
      <c r="I519" s="161"/>
    </row>
    <row r="520" spans="1:9" ht="15.75" customHeight="1" x14ac:dyDescent="0.2">
      <c r="A520" s="201">
        <v>104</v>
      </c>
      <c r="B520" s="202" t="str">
        <f>IFERROR(VLOOKUP(A520,'Heat Sheet'!$A:$I, 2, FALSE), "")</f>
        <v/>
      </c>
      <c r="C520" s="129" t="str" cm="1">
        <f t="array" aca="1" ref="C520" ca="1">_xlfn.LET(_xlpm.VAL, INDEX('Heat Sheet'!$A:$I, _xlfn.XMATCH(INDIRECT("A"&amp;ROW()),'Heat Sheet'!$A:$A), COLUMN()), IF(ISNA(_xlpm.VAL), "", IF(_xlpm.VAL=0, "", _xlpm.VAL)))</f>
        <v/>
      </c>
      <c r="D520" s="154" t="str" cm="1">
        <f t="array" aca="1" ref="D520" ca="1">_xlfn.LET(_xlpm.VAL, INDEX('Heat Sheet'!$A:$I, _xlfn.XMATCH(INDIRECT("A"&amp;ROW()),'Heat Sheet'!$A:$A), COLUMN()), IF(ISNA(_xlpm.VAL), "", IF(_xlpm.VAL=0, "", _xlpm.VAL)))</f>
        <v/>
      </c>
      <c r="E520" s="154" t="str" cm="1">
        <f t="array" aca="1" ref="E520" ca="1">_xlfn.LET(_xlpm.VAL, INDEX('Heat Sheet'!$A:$I, _xlfn.XMATCH(INDIRECT("A"&amp;ROW()),'Heat Sheet'!$A:$A), COLUMN()), IF(ISNA(_xlpm.VAL), "", IF(_xlpm.VAL=0, "", _xlpm.VAL)))</f>
        <v/>
      </c>
      <c r="F520" s="154" t="str" cm="1">
        <f t="array" aca="1" ref="F520" ca="1">_xlfn.LET(_xlpm.VAL, INDEX('Heat Sheet'!$A:$I, _xlfn.XMATCH(INDIRECT("A"&amp;ROW()),'Heat Sheet'!$A:$A), COLUMN()), IF(ISNA(_xlpm.VAL), "", IF(_xlpm.VAL=0, "", _xlpm.VAL)))</f>
        <v/>
      </c>
      <c r="G520" s="154" t="str" cm="1">
        <f t="array" aca="1" ref="G520" ca="1">_xlfn.LET(_xlpm.VAL, INDEX('Heat Sheet'!$A:$I, _xlfn.XMATCH(INDIRECT("A"&amp;ROW()),'Heat Sheet'!$A:$A), COLUMN()), IF(ISNA(_xlpm.VAL), "", IF(_xlpm.VAL=0, "", _xlpm.VAL)))</f>
        <v/>
      </c>
      <c r="H520" s="154" t="str" cm="1">
        <f t="array" aca="1" ref="H520" ca="1">_xlfn.LET(_xlpm.VAL, INDEX('Heat Sheet'!$A:$I, _xlfn.XMATCH(INDIRECT("A"&amp;ROW()),'Heat Sheet'!$A:$A), COLUMN()), IF(ISNA(_xlpm.VAL), "", IF(_xlpm.VAL=0, "", _xlpm.VAL)))</f>
        <v/>
      </c>
      <c r="I520" s="155" t="str" cm="1">
        <f t="array" aca="1" ref="I520" ca="1">_xlfn.LET(_xlpm.VAL, INDEX('Heat Sheet'!$A:$I, _xlfn.XMATCH(INDIRECT("A"&amp;ROW()),'Heat Sheet'!$A:$A), COLUMN()), IF(ISNA(_xlpm.VAL), "", IF(_xlpm.VAL=0, "", _xlpm.VAL)))</f>
        <v/>
      </c>
    </row>
    <row r="521" spans="1:9" ht="15.75" customHeight="1" x14ac:dyDescent="0.2">
      <c r="A521" s="201"/>
      <c r="B521" s="202"/>
      <c r="C521" s="129" t="str" cm="1">
        <f t="array" aca="1" ref="C521" ca="1">_xlfn.LET(_xlpm.VAL, INDEX('Heat Sheet'!$A:$I, _xlfn.XMATCH(INDIRECT("A"&amp;ROW()-1),'Heat Sheet'!$A:$A)+1, COLUMN()), IF(ISNA(_xlpm.VAL), "", IF(_xlpm.VAL=0, "", _xlpm.VAL)))</f>
        <v/>
      </c>
      <c r="D521" s="154" t="str" cm="1">
        <f t="array" aca="1" ref="D521" ca="1">_xlfn.LET(_xlpm.VAL, INDEX('Heat Sheet'!$A:$I, _xlfn.XMATCH(INDIRECT("A"&amp;ROW()-1),'Heat Sheet'!$A:$A)+1, COLUMN()), IF(ISNA(_xlpm.VAL), "", IF(_xlpm.VAL=0, "", _xlpm.VAL)))</f>
        <v/>
      </c>
      <c r="E521" s="154" t="str" cm="1">
        <f t="array" aca="1" ref="E521" ca="1">_xlfn.LET(_xlpm.VAL, INDEX('Heat Sheet'!$A:$I, _xlfn.XMATCH(INDIRECT("A"&amp;ROW()-1),'Heat Sheet'!$A:$A)+1, COLUMN()), IF(ISNA(_xlpm.VAL), "", IF(_xlpm.VAL=0, "", _xlpm.VAL)))</f>
        <v/>
      </c>
      <c r="F521" s="154" t="str" cm="1">
        <f t="array" aca="1" ref="F521" ca="1">_xlfn.LET(_xlpm.VAL, INDEX('Heat Sheet'!$A:$I, _xlfn.XMATCH(INDIRECT("A"&amp;ROW()-1),'Heat Sheet'!$A:$A)+1, COLUMN()), IF(ISNA(_xlpm.VAL), "", IF(_xlpm.VAL=0, "", _xlpm.VAL)))</f>
        <v/>
      </c>
      <c r="G521" s="154" t="str" cm="1">
        <f t="array" aca="1" ref="G521" ca="1">_xlfn.LET(_xlpm.VAL, INDEX('Heat Sheet'!$A:$I, _xlfn.XMATCH(INDIRECT("A"&amp;ROW()-1),'Heat Sheet'!$A:$A)+1, COLUMN()), IF(ISNA(_xlpm.VAL), "", IF(_xlpm.VAL=0, "", _xlpm.VAL)))</f>
        <v/>
      </c>
      <c r="H521" s="154" t="str" cm="1">
        <f t="array" aca="1" ref="H521" ca="1">_xlfn.LET(_xlpm.VAL, INDEX('Heat Sheet'!$A:$I, _xlfn.XMATCH(INDIRECT("A"&amp;ROW()-1),'Heat Sheet'!$A:$A)+1, COLUMN()), IF(ISNA(_xlpm.VAL), "", IF(_xlpm.VAL=0, "", _xlpm.VAL)))</f>
        <v/>
      </c>
      <c r="I521" s="155" t="str" cm="1">
        <f t="array" aca="1" ref="I521" ca="1">_xlfn.LET(_xlpm.VAL, INDEX('Heat Sheet'!$A:$I, _xlfn.XMATCH(INDIRECT("A"&amp;ROW()-1),'Heat Sheet'!$A:$A)+1, COLUMN()), IF(ISNA(_xlpm.VAL), "", IF(_xlpm.VAL=0, "", _xlpm.VAL)))</f>
        <v/>
      </c>
    </row>
    <row r="522" spans="1:9" ht="15.75" customHeight="1" x14ac:dyDescent="0.2">
      <c r="A522" s="201"/>
      <c r="B522" s="202"/>
      <c r="C522" s="122" t="s">
        <v>22</v>
      </c>
      <c r="D522" s="124"/>
      <c r="E522" s="124"/>
      <c r="F522" s="124"/>
      <c r="G522" s="124"/>
      <c r="H522" s="124"/>
      <c r="I522" s="126"/>
    </row>
    <row r="523" spans="1:9" ht="15.75" customHeight="1" x14ac:dyDescent="0.2">
      <c r="A523" s="201"/>
      <c r="B523" s="202"/>
      <c r="C523" s="122" t="s">
        <v>23</v>
      </c>
      <c r="D523" s="158"/>
      <c r="E523" s="158"/>
      <c r="F523" s="158"/>
      <c r="G523" s="158"/>
      <c r="H523" s="158"/>
      <c r="I523" s="159"/>
    </row>
    <row r="524" spans="1:9" ht="15.75" customHeight="1" x14ac:dyDescent="0.2">
      <c r="A524" s="201"/>
      <c r="B524" s="202"/>
      <c r="C524" s="26" t="s">
        <v>14</v>
      </c>
      <c r="D524" s="160"/>
      <c r="E524" s="160"/>
      <c r="F524" s="160"/>
      <c r="G524" s="160"/>
      <c r="H524" s="160"/>
      <c r="I524" s="161"/>
    </row>
    <row r="525" spans="1:9" ht="15.75" customHeight="1" x14ac:dyDescent="0.2">
      <c r="A525" s="201">
        <v>105</v>
      </c>
      <c r="B525" s="202" t="str">
        <f>IFERROR(VLOOKUP(A525,'Heat Sheet'!$A:$I, 2, FALSE), "")</f>
        <v/>
      </c>
      <c r="C525" s="129" t="str" cm="1">
        <f t="array" aca="1" ref="C525" ca="1">_xlfn.LET(_xlpm.VAL, INDEX('Heat Sheet'!$A:$I, _xlfn.XMATCH(INDIRECT("A"&amp;ROW()),'Heat Sheet'!$A:$A), COLUMN()), IF(ISNA(_xlpm.VAL), "", IF(_xlpm.VAL=0, "", _xlpm.VAL)))</f>
        <v/>
      </c>
      <c r="D525" s="154" t="str" cm="1">
        <f t="array" aca="1" ref="D525" ca="1">_xlfn.LET(_xlpm.VAL, INDEX('Heat Sheet'!$A:$I, _xlfn.XMATCH(INDIRECT("A"&amp;ROW()),'Heat Sheet'!$A:$A), COLUMN()), IF(ISNA(_xlpm.VAL), "", IF(_xlpm.VAL=0, "", _xlpm.VAL)))</f>
        <v/>
      </c>
      <c r="E525" s="154" t="str" cm="1">
        <f t="array" aca="1" ref="E525" ca="1">_xlfn.LET(_xlpm.VAL, INDEX('Heat Sheet'!$A:$I, _xlfn.XMATCH(INDIRECT("A"&amp;ROW()),'Heat Sheet'!$A:$A), COLUMN()), IF(ISNA(_xlpm.VAL), "", IF(_xlpm.VAL=0, "", _xlpm.VAL)))</f>
        <v/>
      </c>
      <c r="F525" s="154" t="str" cm="1">
        <f t="array" aca="1" ref="F525" ca="1">_xlfn.LET(_xlpm.VAL, INDEX('Heat Sheet'!$A:$I, _xlfn.XMATCH(INDIRECT("A"&amp;ROW()),'Heat Sheet'!$A:$A), COLUMN()), IF(ISNA(_xlpm.VAL), "", IF(_xlpm.VAL=0, "", _xlpm.VAL)))</f>
        <v/>
      </c>
      <c r="G525" s="154" t="str" cm="1">
        <f t="array" aca="1" ref="G525" ca="1">_xlfn.LET(_xlpm.VAL, INDEX('Heat Sheet'!$A:$I, _xlfn.XMATCH(INDIRECT("A"&amp;ROW()),'Heat Sheet'!$A:$A), COLUMN()), IF(ISNA(_xlpm.VAL), "", IF(_xlpm.VAL=0, "", _xlpm.VAL)))</f>
        <v/>
      </c>
      <c r="H525" s="154" t="str" cm="1">
        <f t="array" aca="1" ref="H525" ca="1">_xlfn.LET(_xlpm.VAL, INDEX('Heat Sheet'!$A:$I, _xlfn.XMATCH(INDIRECT("A"&amp;ROW()),'Heat Sheet'!$A:$A), COLUMN()), IF(ISNA(_xlpm.VAL), "", IF(_xlpm.VAL=0, "", _xlpm.VAL)))</f>
        <v/>
      </c>
      <c r="I525" s="155" t="str" cm="1">
        <f t="array" aca="1" ref="I525" ca="1">_xlfn.LET(_xlpm.VAL, INDEX('Heat Sheet'!$A:$I, _xlfn.XMATCH(INDIRECT("A"&amp;ROW()),'Heat Sheet'!$A:$A), COLUMN()), IF(ISNA(_xlpm.VAL), "", IF(_xlpm.VAL=0, "", _xlpm.VAL)))</f>
        <v/>
      </c>
    </row>
    <row r="526" spans="1:9" ht="15.75" customHeight="1" x14ac:dyDescent="0.2">
      <c r="A526" s="201"/>
      <c r="B526" s="202"/>
      <c r="C526" s="129" t="str" cm="1">
        <f t="array" aca="1" ref="C526" ca="1">_xlfn.LET(_xlpm.VAL, INDEX('Heat Sheet'!$A:$I, _xlfn.XMATCH(INDIRECT("A"&amp;ROW()-1),'Heat Sheet'!$A:$A)+1, COLUMN()), IF(ISNA(_xlpm.VAL), "", IF(_xlpm.VAL=0, "", _xlpm.VAL)))</f>
        <v/>
      </c>
      <c r="D526" s="154" t="str" cm="1">
        <f t="array" aca="1" ref="D526" ca="1">_xlfn.LET(_xlpm.VAL, INDEX('Heat Sheet'!$A:$I, _xlfn.XMATCH(INDIRECT("A"&amp;ROW()-1),'Heat Sheet'!$A:$A)+1, COLUMN()), IF(ISNA(_xlpm.VAL), "", IF(_xlpm.VAL=0, "", _xlpm.VAL)))</f>
        <v/>
      </c>
      <c r="E526" s="154" t="str" cm="1">
        <f t="array" aca="1" ref="E526" ca="1">_xlfn.LET(_xlpm.VAL, INDEX('Heat Sheet'!$A:$I, _xlfn.XMATCH(INDIRECT("A"&amp;ROW()-1),'Heat Sheet'!$A:$A)+1, COLUMN()), IF(ISNA(_xlpm.VAL), "", IF(_xlpm.VAL=0, "", _xlpm.VAL)))</f>
        <v/>
      </c>
      <c r="F526" s="154" t="str" cm="1">
        <f t="array" aca="1" ref="F526" ca="1">_xlfn.LET(_xlpm.VAL, INDEX('Heat Sheet'!$A:$I, _xlfn.XMATCH(INDIRECT("A"&amp;ROW()-1),'Heat Sheet'!$A:$A)+1, COLUMN()), IF(ISNA(_xlpm.VAL), "", IF(_xlpm.VAL=0, "", _xlpm.VAL)))</f>
        <v/>
      </c>
      <c r="G526" s="154" t="str" cm="1">
        <f t="array" aca="1" ref="G526" ca="1">_xlfn.LET(_xlpm.VAL, INDEX('Heat Sheet'!$A:$I, _xlfn.XMATCH(INDIRECT("A"&amp;ROW()-1),'Heat Sheet'!$A:$A)+1, COLUMN()), IF(ISNA(_xlpm.VAL), "", IF(_xlpm.VAL=0, "", _xlpm.VAL)))</f>
        <v/>
      </c>
      <c r="H526" s="154" t="str" cm="1">
        <f t="array" aca="1" ref="H526" ca="1">_xlfn.LET(_xlpm.VAL, INDEX('Heat Sheet'!$A:$I, _xlfn.XMATCH(INDIRECT("A"&amp;ROW()-1),'Heat Sheet'!$A:$A)+1, COLUMN()), IF(ISNA(_xlpm.VAL), "", IF(_xlpm.VAL=0, "", _xlpm.VAL)))</f>
        <v/>
      </c>
      <c r="I526" s="155" t="str" cm="1">
        <f t="array" aca="1" ref="I526" ca="1">_xlfn.LET(_xlpm.VAL, INDEX('Heat Sheet'!$A:$I, _xlfn.XMATCH(INDIRECT("A"&amp;ROW()-1),'Heat Sheet'!$A:$A)+1, COLUMN()), IF(ISNA(_xlpm.VAL), "", IF(_xlpm.VAL=0, "", _xlpm.VAL)))</f>
        <v/>
      </c>
    </row>
    <row r="527" spans="1:9" ht="15.75" customHeight="1" x14ac:dyDescent="0.2">
      <c r="A527" s="201"/>
      <c r="B527" s="202"/>
      <c r="C527" s="122" t="s">
        <v>22</v>
      </c>
      <c r="D527" s="124"/>
      <c r="E527" s="124"/>
      <c r="F527" s="124"/>
      <c r="G527" s="124"/>
      <c r="H527" s="124"/>
      <c r="I527" s="126"/>
    </row>
    <row r="528" spans="1:9" ht="15.75" customHeight="1" x14ac:dyDescent="0.2">
      <c r="A528" s="201"/>
      <c r="B528" s="202"/>
      <c r="C528" s="122" t="s">
        <v>23</v>
      </c>
      <c r="D528" s="158"/>
      <c r="E528" s="158"/>
      <c r="F528" s="158"/>
      <c r="G528" s="158"/>
      <c r="H528" s="158"/>
      <c r="I528" s="159"/>
    </row>
    <row r="529" spans="1:9" ht="15.75" customHeight="1" x14ac:dyDescent="0.2">
      <c r="A529" s="201"/>
      <c r="B529" s="202"/>
      <c r="C529" s="26" t="s">
        <v>14</v>
      </c>
      <c r="D529" s="160"/>
      <c r="E529" s="160"/>
      <c r="F529" s="160"/>
      <c r="G529" s="160"/>
      <c r="H529" s="160"/>
      <c r="I529" s="161"/>
    </row>
    <row r="530" spans="1:9" ht="15.75" customHeight="1" x14ac:dyDescent="0.2">
      <c r="A530" s="201">
        <v>106</v>
      </c>
      <c r="B530" s="202" t="str">
        <f>IFERROR(VLOOKUP(A530,'Heat Sheet'!$A:$I, 2, FALSE), "")</f>
        <v/>
      </c>
      <c r="C530" s="129" t="str" cm="1">
        <f t="array" aca="1" ref="C530" ca="1">_xlfn.LET(_xlpm.VAL, INDEX('Heat Sheet'!$A:$I, _xlfn.XMATCH(INDIRECT("A"&amp;ROW()),'Heat Sheet'!$A:$A), COLUMN()), IF(ISNA(_xlpm.VAL), "", IF(_xlpm.VAL=0, "", _xlpm.VAL)))</f>
        <v/>
      </c>
      <c r="D530" s="154" t="str" cm="1">
        <f t="array" aca="1" ref="D530" ca="1">_xlfn.LET(_xlpm.VAL, INDEX('Heat Sheet'!$A:$I, _xlfn.XMATCH(INDIRECT("A"&amp;ROW()),'Heat Sheet'!$A:$A), COLUMN()), IF(ISNA(_xlpm.VAL), "", IF(_xlpm.VAL=0, "", _xlpm.VAL)))</f>
        <v/>
      </c>
      <c r="E530" s="154" t="str" cm="1">
        <f t="array" aca="1" ref="E530" ca="1">_xlfn.LET(_xlpm.VAL, INDEX('Heat Sheet'!$A:$I, _xlfn.XMATCH(INDIRECT("A"&amp;ROW()),'Heat Sheet'!$A:$A), COLUMN()), IF(ISNA(_xlpm.VAL), "", IF(_xlpm.VAL=0, "", _xlpm.VAL)))</f>
        <v/>
      </c>
      <c r="F530" s="154" t="str" cm="1">
        <f t="array" aca="1" ref="F530" ca="1">_xlfn.LET(_xlpm.VAL, INDEX('Heat Sheet'!$A:$I, _xlfn.XMATCH(INDIRECT("A"&amp;ROW()),'Heat Sheet'!$A:$A), COLUMN()), IF(ISNA(_xlpm.VAL), "", IF(_xlpm.VAL=0, "", _xlpm.VAL)))</f>
        <v/>
      </c>
      <c r="G530" s="154" t="str" cm="1">
        <f t="array" aca="1" ref="G530" ca="1">_xlfn.LET(_xlpm.VAL, INDEX('Heat Sheet'!$A:$I, _xlfn.XMATCH(INDIRECT("A"&amp;ROW()),'Heat Sheet'!$A:$A), COLUMN()), IF(ISNA(_xlpm.VAL), "", IF(_xlpm.VAL=0, "", _xlpm.VAL)))</f>
        <v/>
      </c>
      <c r="H530" s="154" t="str" cm="1">
        <f t="array" aca="1" ref="H530" ca="1">_xlfn.LET(_xlpm.VAL, INDEX('Heat Sheet'!$A:$I, _xlfn.XMATCH(INDIRECT("A"&amp;ROW()),'Heat Sheet'!$A:$A), COLUMN()), IF(ISNA(_xlpm.VAL), "", IF(_xlpm.VAL=0, "", _xlpm.VAL)))</f>
        <v/>
      </c>
      <c r="I530" s="155" t="str" cm="1">
        <f t="array" aca="1" ref="I530" ca="1">_xlfn.LET(_xlpm.VAL, INDEX('Heat Sheet'!$A:$I, _xlfn.XMATCH(INDIRECT("A"&amp;ROW()),'Heat Sheet'!$A:$A), COLUMN()), IF(ISNA(_xlpm.VAL), "", IF(_xlpm.VAL=0, "", _xlpm.VAL)))</f>
        <v/>
      </c>
    </row>
    <row r="531" spans="1:9" ht="15.75" customHeight="1" x14ac:dyDescent="0.2">
      <c r="A531" s="201"/>
      <c r="B531" s="202"/>
      <c r="C531" s="129" t="str" cm="1">
        <f t="array" aca="1" ref="C531" ca="1">_xlfn.LET(_xlpm.VAL, INDEX('Heat Sheet'!$A:$I, _xlfn.XMATCH(INDIRECT("A"&amp;ROW()-1),'Heat Sheet'!$A:$A)+1, COLUMN()), IF(ISNA(_xlpm.VAL), "", IF(_xlpm.VAL=0, "", _xlpm.VAL)))</f>
        <v/>
      </c>
      <c r="D531" s="154" t="str" cm="1">
        <f t="array" aca="1" ref="D531" ca="1">_xlfn.LET(_xlpm.VAL, INDEX('Heat Sheet'!$A:$I, _xlfn.XMATCH(INDIRECT("A"&amp;ROW()-1),'Heat Sheet'!$A:$A)+1, COLUMN()), IF(ISNA(_xlpm.VAL), "", IF(_xlpm.VAL=0, "", _xlpm.VAL)))</f>
        <v/>
      </c>
      <c r="E531" s="154" t="str" cm="1">
        <f t="array" aca="1" ref="E531" ca="1">_xlfn.LET(_xlpm.VAL, INDEX('Heat Sheet'!$A:$I, _xlfn.XMATCH(INDIRECT("A"&amp;ROW()-1),'Heat Sheet'!$A:$A)+1, COLUMN()), IF(ISNA(_xlpm.VAL), "", IF(_xlpm.VAL=0, "", _xlpm.VAL)))</f>
        <v/>
      </c>
      <c r="F531" s="154" t="str" cm="1">
        <f t="array" aca="1" ref="F531" ca="1">_xlfn.LET(_xlpm.VAL, INDEX('Heat Sheet'!$A:$I, _xlfn.XMATCH(INDIRECT("A"&amp;ROW()-1),'Heat Sheet'!$A:$A)+1, COLUMN()), IF(ISNA(_xlpm.VAL), "", IF(_xlpm.VAL=0, "", _xlpm.VAL)))</f>
        <v/>
      </c>
      <c r="G531" s="154" t="str" cm="1">
        <f t="array" aca="1" ref="G531" ca="1">_xlfn.LET(_xlpm.VAL, INDEX('Heat Sheet'!$A:$I, _xlfn.XMATCH(INDIRECT("A"&amp;ROW()-1),'Heat Sheet'!$A:$A)+1, COLUMN()), IF(ISNA(_xlpm.VAL), "", IF(_xlpm.VAL=0, "", _xlpm.VAL)))</f>
        <v/>
      </c>
      <c r="H531" s="154" t="str" cm="1">
        <f t="array" aca="1" ref="H531" ca="1">_xlfn.LET(_xlpm.VAL, INDEX('Heat Sheet'!$A:$I, _xlfn.XMATCH(INDIRECT("A"&amp;ROW()-1),'Heat Sheet'!$A:$A)+1, COLUMN()), IF(ISNA(_xlpm.VAL), "", IF(_xlpm.VAL=0, "", _xlpm.VAL)))</f>
        <v/>
      </c>
      <c r="I531" s="155" t="str" cm="1">
        <f t="array" aca="1" ref="I531" ca="1">_xlfn.LET(_xlpm.VAL, INDEX('Heat Sheet'!$A:$I, _xlfn.XMATCH(INDIRECT("A"&amp;ROW()-1),'Heat Sheet'!$A:$A)+1, COLUMN()), IF(ISNA(_xlpm.VAL), "", IF(_xlpm.VAL=0, "", _xlpm.VAL)))</f>
        <v/>
      </c>
    </row>
    <row r="532" spans="1:9" ht="15.75" customHeight="1" x14ac:dyDescent="0.2">
      <c r="A532" s="201"/>
      <c r="B532" s="202"/>
      <c r="C532" s="122" t="s">
        <v>22</v>
      </c>
      <c r="D532" s="124"/>
      <c r="E532" s="124"/>
      <c r="F532" s="124"/>
      <c r="G532" s="124"/>
      <c r="H532" s="124"/>
      <c r="I532" s="126"/>
    </row>
    <row r="533" spans="1:9" ht="15.75" customHeight="1" x14ac:dyDescent="0.2">
      <c r="A533" s="201"/>
      <c r="B533" s="202"/>
      <c r="C533" s="122" t="s">
        <v>23</v>
      </c>
      <c r="D533" s="158"/>
      <c r="E533" s="158"/>
      <c r="F533" s="158"/>
      <c r="G533" s="158"/>
      <c r="H533" s="158"/>
      <c r="I533" s="159"/>
    </row>
    <row r="534" spans="1:9" ht="15.75" customHeight="1" x14ac:dyDescent="0.2">
      <c r="A534" s="201"/>
      <c r="B534" s="202"/>
      <c r="C534" s="26" t="s">
        <v>14</v>
      </c>
      <c r="D534" s="160"/>
      <c r="E534" s="160"/>
      <c r="F534" s="160"/>
      <c r="G534" s="160"/>
      <c r="H534" s="160"/>
      <c r="I534" s="161"/>
    </row>
    <row r="535" spans="1:9" ht="15.75" customHeight="1" x14ac:dyDescent="0.2">
      <c r="A535" s="201">
        <v>107</v>
      </c>
      <c r="B535" s="202" t="str">
        <f>IFERROR(VLOOKUP(A535,'Heat Sheet'!$A:$I, 2, FALSE), "")</f>
        <v/>
      </c>
      <c r="C535" s="129" t="str" cm="1">
        <f t="array" aca="1" ref="C535" ca="1">_xlfn.LET(_xlpm.VAL, INDEX('Heat Sheet'!$A:$I, _xlfn.XMATCH(INDIRECT("A"&amp;ROW()),'Heat Sheet'!$A:$A), COLUMN()), IF(ISNA(_xlpm.VAL), "", IF(_xlpm.VAL=0, "", _xlpm.VAL)))</f>
        <v/>
      </c>
      <c r="D535" s="154" t="str" cm="1">
        <f t="array" aca="1" ref="D535" ca="1">_xlfn.LET(_xlpm.VAL, INDEX('Heat Sheet'!$A:$I, _xlfn.XMATCH(INDIRECT("A"&amp;ROW()),'Heat Sheet'!$A:$A), COLUMN()), IF(ISNA(_xlpm.VAL), "", IF(_xlpm.VAL=0, "", _xlpm.VAL)))</f>
        <v/>
      </c>
      <c r="E535" s="154" t="str" cm="1">
        <f t="array" aca="1" ref="E535" ca="1">_xlfn.LET(_xlpm.VAL, INDEX('Heat Sheet'!$A:$I, _xlfn.XMATCH(INDIRECT("A"&amp;ROW()),'Heat Sheet'!$A:$A), COLUMN()), IF(ISNA(_xlpm.VAL), "", IF(_xlpm.VAL=0, "", _xlpm.VAL)))</f>
        <v/>
      </c>
      <c r="F535" s="154" t="str" cm="1">
        <f t="array" aca="1" ref="F535" ca="1">_xlfn.LET(_xlpm.VAL, INDEX('Heat Sheet'!$A:$I, _xlfn.XMATCH(INDIRECT("A"&amp;ROW()),'Heat Sheet'!$A:$A), COLUMN()), IF(ISNA(_xlpm.VAL), "", IF(_xlpm.VAL=0, "", _xlpm.VAL)))</f>
        <v/>
      </c>
      <c r="G535" s="154" t="str" cm="1">
        <f t="array" aca="1" ref="G535" ca="1">_xlfn.LET(_xlpm.VAL, INDEX('Heat Sheet'!$A:$I, _xlfn.XMATCH(INDIRECT("A"&amp;ROW()),'Heat Sheet'!$A:$A), COLUMN()), IF(ISNA(_xlpm.VAL), "", IF(_xlpm.VAL=0, "", _xlpm.VAL)))</f>
        <v/>
      </c>
      <c r="H535" s="154" t="str" cm="1">
        <f t="array" aca="1" ref="H535" ca="1">_xlfn.LET(_xlpm.VAL, INDEX('Heat Sheet'!$A:$I, _xlfn.XMATCH(INDIRECT("A"&amp;ROW()),'Heat Sheet'!$A:$A), COLUMN()), IF(ISNA(_xlpm.VAL), "", IF(_xlpm.VAL=0, "", _xlpm.VAL)))</f>
        <v/>
      </c>
      <c r="I535" s="155" t="str" cm="1">
        <f t="array" aca="1" ref="I535" ca="1">_xlfn.LET(_xlpm.VAL, INDEX('Heat Sheet'!$A:$I, _xlfn.XMATCH(INDIRECT("A"&amp;ROW()),'Heat Sheet'!$A:$A), COLUMN()), IF(ISNA(_xlpm.VAL), "", IF(_xlpm.VAL=0, "", _xlpm.VAL)))</f>
        <v/>
      </c>
    </row>
    <row r="536" spans="1:9" ht="15.75" customHeight="1" x14ac:dyDescent="0.2">
      <c r="A536" s="201"/>
      <c r="B536" s="202"/>
      <c r="C536" s="129" t="str" cm="1">
        <f t="array" aca="1" ref="C536" ca="1">_xlfn.LET(_xlpm.VAL, INDEX('Heat Sheet'!$A:$I, _xlfn.XMATCH(INDIRECT("A"&amp;ROW()-1),'Heat Sheet'!$A:$A)+1, COLUMN()), IF(ISNA(_xlpm.VAL), "", IF(_xlpm.VAL=0, "", _xlpm.VAL)))</f>
        <v/>
      </c>
      <c r="D536" s="154" t="str" cm="1">
        <f t="array" aca="1" ref="D536" ca="1">_xlfn.LET(_xlpm.VAL, INDEX('Heat Sheet'!$A:$I, _xlfn.XMATCH(INDIRECT("A"&amp;ROW()-1),'Heat Sheet'!$A:$A)+1, COLUMN()), IF(ISNA(_xlpm.VAL), "", IF(_xlpm.VAL=0, "", _xlpm.VAL)))</f>
        <v/>
      </c>
      <c r="E536" s="154" t="str" cm="1">
        <f t="array" aca="1" ref="E536" ca="1">_xlfn.LET(_xlpm.VAL, INDEX('Heat Sheet'!$A:$I, _xlfn.XMATCH(INDIRECT("A"&amp;ROW()-1),'Heat Sheet'!$A:$A)+1, COLUMN()), IF(ISNA(_xlpm.VAL), "", IF(_xlpm.VAL=0, "", _xlpm.VAL)))</f>
        <v/>
      </c>
      <c r="F536" s="154" t="str" cm="1">
        <f t="array" aca="1" ref="F536" ca="1">_xlfn.LET(_xlpm.VAL, INDEX('Heat Sheet'!$A:$I, _xlfn.XMATCH(INDIRECT("A"&amp;ROW()-1),'Heat Sheet'!$A:$A)+1, COLUMN()), IF(ISNA(_xlpm.VAL), "", IF(_xlpm.VAL=0, "", _xlpm.VAL)))</f>
        <v/>
      </c>
      <c r="G536" s="154" t="str" cm="1">
        <f t="array" aca="1" ref="G536" ca="1">_xlfn.LET(_xlpm.VAL, INDEX('Heat Sheet'!$A:$I, _xlfn.XMATCH(INDIRECT("A"&amp;ROW()-1),'Heat Sheet'!$A:$A)+1, COLUMN()), IF(ISNA(_xlpm.VAL), "", IF(_xlpm.VAL=0, "", _xlpm.VAL)))</f>
        <v/>
      </c>
      <c r="H536" s="154" t="str" cm="1">
        <f t="array" aca="1" ref="H536" ca="1">_xlfn.LET(_xlpm.VAL, INDEX('Heat Sheet'!$A:$I, _xlfn.XMATCH(INDIRECT("A"&amp;ROW()-1),'Heat Sheet'!$A:$A)+1, COLUMN()), IF(ISNA(_xlpm.VAL), "", IF(_xlpm.VAL=0, "", _xlpm.VAL)))</f>
        <v/>
      </c>
      <c r="I536" s="155" t="str" cm="1">
        <f t="array" aca="1" ref="I536" ca="1">_xlfn.LET(_xlpm.VAL, INDEX('Heat Sheet'!$A:$I, _xlfn.XMATCH(INDIRECT("A"&amp;ROW()-1),'Heat Sheet'!$A:$A)+1, COLUMN()), IF(ISNA(_xlpm.VAL), "", IF(_xlpm.VAL=0, "", _xlpm.VAL)))</f>
        <v/>
      </c>
    </row>
    <row r="537" spans="1:9" ht="15.75" customHeight="1" x14ac:dyDescent="0.2">
      <c r="A537" s="201"/>
      <c r="B537" s="202"/>
      <c r="C537" s="122" t="s">
        <v>22</v>
      </c>
      <c r="D537" s="124"/>
      <c r="E537" s="124"/>
      <c r="F537" s="124"/>
      <c r="G537" s="124"/>
      <c r="H537" s="124"/>
      <c r="I537" s="126"/>
    </row>
    <row r="538" spans="1:9" ht="15.75" customHeight="1" x14ac:dyDescent="0.2">
      <c r="A538" s="201"/>
      <c r="B538" s="202"/>
      <c r="C538" s="122" t="s">
        <v>23</v>
      </c>
      <c r="D538" s="158"/>
      <c r="E538" s="158"/>
      <c r="F538" s="158"/>
      <c r="G538" s="158"/>
      <c r="H538" s="158"/>
      <c r="I538" s="159"/>
    </row>
    <row r="539" spans="1:9" ht="15.75" customHeight="1" x14ac:dyDescent="0.2">
      <c r="A539" s="201"/>
      <c r="B539" s="202"/>
      <c r="C539" s="26" t="s">
        <v>14</v>
      </c>
      <c r="D539" s="160"/>
      <c r="E539" s="160"/>
      <c r="F539" s="160"/>
      <c r="G539" s="160"/>
      <c r="H539" s="160"/>
      <c r="I539" s="161"/>
    </row>
    <row r="540" spans="1:9" ht="15.75" customHeight="1" x14ac:dyDescent="0.2">
      <c r="A540" s="201">
        <v>108</v>
      </c>
      <c r="B540" s="202" t="str">
        <f>IFERROR(VLOOKUP(A540,'Heat Sheet'!$A:$I, 2, FALSE), "")</f>
        <v/>
      </c>
      <c r="C540" s="129" t="str" cm="1">
        <f t="array" aca="1" ref="C540" ca="1">_xlfn.LET(_xlpm.VAL, INDEX('Heat Sheet'!$A:$I, _xlfn.XMATCH(INDIRECT("A"&amp;ROW()),'Heat Sheet'!$A:$A), COLUMN()), IF(ISNA(_xlpm.VAL), "", IF(_xlpm.VAL=0, "", _xlpm.VAL)))</f>
        <v/>
      </c>
      <c r="D540" s="154" t="str" cm="1">
        <f t="array" aca="1" ref="D540" ca="1">_xlfn.LET(_xlpm.VAL, INDEX('Heat Sheet'!$A:$I, _xlfn.XMATCH(INDIRECT("A"&amp;ROW()),'Heat Sheet'!$A:$A), COLUMN()), IF(ISNA(_xlpm.VAL), "", IF(_xlpm.VAL=0, "", _xlpm.VAL)))</f>
        <v/>
      </c>
      <c r="E540" s="154" t="str" cm="1">
        <f t="array" aca="1" ref="E540" ca="1">_xlfn.LET(_xlpm.VAL, INDEX('Heat Sheet'!$A:$I, _xlfn.XMATCH(INDIRECT("A"&amp;ROW()),'Heat Sheet'!$A:$A), COLUMN()), IF(ISNA(_xlpm.VAL), "", IF(_xlpm.VAL=0, "", _xlpm.VAL)))</f>
        <v/>
      </c>
      <c r="F540" s="154" t="str" cm="1">
        <f t="array" aca="1" ref="F540" ca="1">_xlfn.LET(_xlpm.VAL, INDEX('Heat Sheet'!$A:$I, _xlfn.XMATCH(INDIRECT("A"&amp;ROW()),'Heat Sheet'!$A:$A), COLUMN()), IF(ISNA(_xlpm.VAL), "", IF(_xlpm.VAL=0, "", _xlpm.VAL)))</f>
        <v/>
      </c>
      <c r="G540" s="154" t="str" cm="1">
        <f t="array" aca="1" ref="G540" ca="1">_xlfn.LET(_xlpm.VAL, INDEX('Heat Sheet'!$A:$I, _xlfn.XMATCH(INDIRECT("A"&amp;ROW()),'Heat Sheet'!$A:$A), COLUMN()), IF(ISNA(_xlpm.VAL), "", IF(_xlpm.VAL=0, "", _xlpm.VAL)))</f>
        <v/>
      </c>
      <c r="H540" s="154" t="str" cm="1">
        <f t="array" aca="1" ref="H540" ca="1">_xlfn.LET(_xlpm.VAL, INDEX('Heat Sheet'!$A:$I, _xlfn.XMATCH(INDIRECT("A"&amp;ROW()),'Heat Sheet'!$A:$A), COLUMN()), IF(ISNA(_xlpm.VAL), "", IF(_xlpm.VAL=0, "", _xlpm.VAL)))</f>
        <v/>
      </c>
      <c r="I540" s="155" t="str" cm="1">
        <f t="array" aca="1" ref="I540" ca="1">_xlfn.LET(_xlpm.VAL, INDEX('Heat Sheet'!$A:$I, _xlfn.XMATCH(INDIRECT("A"&amp;ROW()),'Heat Sheet'!$A:$A), COLUMN()), IF(ISNA(_xlpm.VAL), "", IF(_xlpm.VAL=0, "", _xlpm.VAL)))</f>
        <v/>
      </c>
    </row>
    <row r="541" spans="1:9" ht="15.75" customHeight="1" x14ac:dyDescent="0.2">
      <c r="A541" s="201"/>
      <c r="B541" s="202"/>
      <c r="C541" s="129" t="str" cm="1">
        <f t="array" aca="1" ref="C541" ca="1">_xlfn.LET(_xlpm.VAL, INDEX('Heat Sheet'!$A:$I, _xlfn.XMATCH(INDIRECT("A"&amp;ROW()-1),'Heat Sheet'!$A:$A)+1, COLUMN()), IF(ISNA(_xlpm.VAL), "", IF(_xlpm.VAL=0, "", _xlpm.VAL)))</f>
        <v/>
      </c>
      <c r="D541" s="154" t="str" cm="1">
        <f t="array" aca="1" ref="D541" ca="1">_xlfn.LET(_xlpm.VAL, INDEX('Heat Sheet'!$A:$I, _xlfn.XMATCH(INDIRECT("A"&amp;ROW()-1),'Heat Sheet'!$A:$A)+1, COLUMN()), IF(ISNA(_xlpm.VAL), "", IF(_xlpm.VAL=0, "", _xlpm.VAL)))</f>
        <v/>
      </c>
      <c r="E541" s="154" t="str" cm="1">
        <f t="array" aca="1" ref="E541" ca="1">_xlfn.LET(_xlpm.VAL, INDEX('Heat Sheet'!$A:$I, _xlfn.XMATCH(INDIRECT("A"&amp;ROW()-1),'Heat Sheet'!$A:$A)+1, COLUMN()), IF(ISNA(_xlpm.VAL), "", IF(_xlpm.VAL=0, "", _xlpm.VAL)))</f>
        <v/>
      </c>
      <c r="F541" s="154" t="str" cm="1">
        <f t="array" aca="1" ref="F541" ca="1">_xlfn.LET(_xlpm.VAL, INDEX('Heat Sheet'!$A:$I, _xlfn.XMATCH(INDIRECT("A"&amp;ROW()-1),'Heat Sheet'!$A:$A)+1, COLUMN()), IF(ISNA(_xlpm.VAL), "", IF(_xlpm.VAL=0, "", _xlpm.VAL)))</f>
        <v/>
      </c>
      <c r="G541" s="154" t="str" cm="1">
        <f t="array" aca="1" ref="G541" ca="1">_xlfn.LET(_xlpm.VAL, INDEX('Heat Sheet'!$A:$I, _xlfn.XMATCH(INDIRECT("A"&amp;ROW()-1),'Heat Sheet'!$A:$A)+1, COLUMN()), IF(ISNA(_xlpm.VAL), "", IF(_xlpm.VAL=0, "", _xlpm.VAL)))</f>
        <v/>
      </c>
      <c r="H541" s="154" t="str" cm="1">
        <f t="array" aca="1" ref="H541" ca="1">_xlfn.LET(_xlpm.VAL, INDEX('Heat Sheet'!$A:$I, _xlfn.XMATCH(INDIRECT("A"&amp;ROW()-1),'Heat Sheet'!$A:$A)+1, COLUMN()), IF(ISNA(_xlpm.VAL), "", IF(_xlpm.VAL=0, "", _xlpm.VAL)))</f>
        <v/>
      </c>
      <c r="I541" s="155" t="str" cm="1">
        <f t="array" aca="1" ref="I541" ca="1">_xlfn.LET(_xlpm.VAL, INDEX('Heat Sheet'!$A:$I, _xlfn.XMATCH(INDIRECT("A"&amp;ROW()-1),'Heat Sheet'!$A:$A)+1, COLUMN()), IF(ISNA(_xlpm.VAL), "", IF(_xlpm.VAL=0, "", _xlpm.VAL)))</f>
        <v/>
      </c>
    </row>
    <row r="542" spans="1:9" ht="15.75" customHeight="1" x14ac:dyDescent="0.2">
      <c r="A542" s="201"/>
      <c r="B542" s="202"/>
      <c r="C542" s="122" t="s">
        <v>22</v>
      </c>
      <c r="D542" s="124"/>
      <c r="E542" s="124"/>
      <c r="F542" s="124"/>
      <c r="G542" s="124"/>
      <c r="H542" s="124"/>
      <c r="I542" s="126"/>
    </row>
    <row r="543" spans="1:9" ht="15.75" customHeight="1" x14ac:dyDescent="0.2">
      <c r="A543" s="201"/>
      <c r="B543" s="202"/>
      <c r="C543" s="122" t="s">
        <v>23</v>
      </c>
      <c r="D543" s="158"/>
      <c r="E543" s="158"/>
      <c r="F543" s="158"/>
      <c r="G543" s="158"/>
      <c r="H543" s="158"/>
      <c r="I543" s="159"/>
    </row>
    <row r="544" spans="1:9" ht="15.75" customHeight="1" x14ac:dyDescent="0.2">
      <c r="A544" s="201"/>
      <c r="B544" s="202"/>
      <c r="C544" s="26" t="s">
        <v>14</v>
      </c>
      <c r="D544" s="160"/>
      <c r="E544" s="160"/>
      <c r="F544" s="160"/>
      <c r="G544" s="160"/>
      <c r="H544" s="160"/>
      <c r="I544" s="161"/>
    </row>
    <row r="545" spans="1:9" ht="15.75" customHeight="1" x14ac:dyDescent="0.2">
      <c r="A545" s="201">
        <v>109</v>
      </c>
      <c r="B545" s="202" t="str">
        <f>IFERROR(VLOOKUP(A545,'Heat Sheet'!$A:$I, 2, FALSE), "")</f>
        <v/>
      </c>
      <c r="C545" s="129" t="str" cm="1">
        <f t="array" aca="1" ref="C545" ca="1">_xlfn.LET(_xlpm.VAL, INDEX('Heat Sheet'!$A:$I, _xlfn.XMATCH(INDIRECT("A"&amp;ROW()),'Heat Sheet'!$A:$A), COLUMN()), IF(ISNA(_xlpm.VAL), "", IF(_xlpm.VAL=0, "", _xlpm.VAL)))</f>
        <v/>
      </c>
      <c r="D545" s="154" t="str" cm="1">
        <f t="array" aca="1" ref="D545" ca="1">_xlfn.LET(_xlpm.VAL, INDEX('Heat Sheet'!$A:$I, _xlfn.XMATCH(INDIRECT("A"&amp;ROW()),'Heat Sheet'!$A:$A), COLUMN()), IF(ISNA(_xlpm.VAL), "", IF(_xlpm.VAL=0, "", _xlpm.VAL)))</f>
        <v/>
      </c>
      <c r="E545" s="154" t="str" cm="1">
        <f t="array" aca="1" ref="E545" ca="1">_xlfn.LET(_xlpm.VAL, INDEX('Heat Sheet'!$A:$I, _xlfn.XMATCH(INDIRECT("A"&amp;ROW()),'Heat Sheet'!$A:$A), COLUMN()), IF(ISNA(_xlpm.VAL), "", IF(_xlpm.VAL=0, "", _xlpm.VAL)))</f>
        <v/>
      </c>
      <c r="F545" s="154" t="str" cm="1">
        <f t="array" aca="1" ref="F545" ca="1">_xlfn.LET(_xlpm.VAL, INDEX('Heat Sheet'!$A:$I, _xlfn.XMATCH(INDIRECT("A"&amp;ROW()),'Heat Sheet'!$A:$A), COLUMN()), IF(ISNA(_xlpm.VAL), "", IF(_xlpm.VAL=0, "", _xlpm.VAL)))</f>
        <v/>
      </c>
      <c r="G545" s="154" t="str" cm="1">
        <f t="array" aca="1" ref="G545" ca="1">_xlfn.LET(_xlpm.VAL, INDEX('Heat Sheet'!$A:$I, _xlfn.XMATCH(INDIRECT("A"&amp;ROW()),'Heat Sheet'!$A:$A), COLUMN()), IF(ISNA(_xlpm.VAL), "", IF(_xlpm.VAL=0, "", _xlpm.VAL)))</f>
        <v/>
      </c>
      <c r="H545" s="154" t="str" cm="1">
        <f t="array" aca="1" ref="H545" ca="1">_xlfn.LET(_xlpm.VAL, INDEX('Heat Sheet'!$A:$I, _xlfn.XMATCH(INDIRECT("A"&amp;ROW()),'Heat Sheet'!$A:$A), COLUMN()), IF(ISNA(_xlpm.VAL), "", IF(_xlpm.VAL=0, "", _xlpm.VAL)))</f>
        <v/>
      </c>
      <c r="I545" s="155" t="str" cm="1">
        <f t="array" aca="1" ref="I545" ca="1">_xlfn.LET(_xlpm.VAL, INDEX('Heat Sheet'!$A:$I, _xlfn.XMATCH(INDIRECT("A"&amp;ROW()),'Heat Sheet'!$A:$A), COLUMN()), IF(ISNA(_xlpm.VAL), "", IF(_xlpm.VAL=0, "", _xlpm.VAL)))</f>
        <v/>
      </c>
    </row>
    <row r="546" spans="1:9" ht="15.75" customHeight="1" x14ac:dyDescent="0.2">
      <c r="A546" s="201"/>
      <c r="B546" s="202"/>
      <c r="C546" s="129" t="str" cm="1">
        <f t="array" aca="1" ref="C546" ca="1">_xlfn.LET(_xlpm.VAL, INDEX('Heat Sheet'!$A:$I, _xlfn.XMATCH(INDIRECT("A"&amp;ROW()-1),'Heat Sheet'!$A:$A)+1, COLUMN()), IF(ISNA(_xlpm.VAL), "", IF(_xlpm.VAL=0, "", _xlpm.VAL)))</f>
        <v/>
      </c>
      <c r="D546" s="154" t="str" cm="1">
        <f t="array" aca="1" ref="D546" ca="1">_xlfn.LET(_xlpm.VAL, INDEX('Heat Sheet'!$A:$I, _xlfn.XMATCH(INDIRECT("A"&amp;ROW()-1),'Heat Sheet'!$A:$A)+1, COLUMN()), IF(ISNA(_xlpm.VAL), "", IF(_xlpm.VAL=0, "", _xlpm.VAL)))</f>
        <v/>
      </c>
      <c r="E546" s="154" t="str" cm="1">
        <f t="array" aca="1" ref="E546" ca="1">_xlfn.LET(_xlpm.VAL, INDEX('Heat Sheet'!$A:$I, _xlfn.XMATCH(INDIRECT("A"&amp;ROW()-1),'Heat Sheet'!$A:$A)+1, COLUMN()), IF(ISNA(_xlpm.VAL), "", IF(_xlpm.VAL=0, "", _xlpm.VAL)))</f>
        <v/>
      </c>
      <c r="F546" s="154" t="str" cm="1">
        <f t="array" aca="1" ref="F546" ca="1">_xlfn.LET(_xlpm.VAL, INDEX('Heat Sheet'!$A:$I, _xlfn.XMATCH(INDIRECT("A"&amp;ROW()-1),'Heat Sheet'!$A:$A)+1, COLUMN()), IF(ISNA(_xlpm.VAL), "", IF(_xlpm.VAL=0, "", _xlpm.VAL)))</f>
        <v/>
      </c>
      <c r="G546" s="154" t="str" cm="1">
        <f t="array" aca="1" ref="G546" ca="1">_xlfn.LET(_xlpm.VAL, INDEX('Heat Sheet'!$A:$I, _xlfn.XMATCH(INDIRECT("A"&amp;ROW()-1),'Heat Sheet'!$A:$A)+1, COLUMN()), IF(ISNA(_xlpm.VAL), "", IF(_xlpm.VAL=0, "", _xlpm.VAL)))</f>
        <v/>
      </c>
      <c r="H546" s="154" t="str" cm="1">
        <f t="array" aca="1" ref="H546" ca="1">_xlfn.LET(_xlpm.VAL, INDEX('Heat Sheet'!$A:$I, _xlfn.XMATCH(INDIRECT("A"&amp;ROW()-1),'Heat Sheet'!$A:$A)+1, COLUMN()), IF(ISNA(_xlpm.VAL), "", IF(_xlpm.VAL=0, "", _xlpm.VAL)))</f>
        <v/>
      </c>
      <c r="I546" s="155" t="str" cm="1">
        <f t="array" aca="1" ref="I546" ca="1">_xlfn.LET(_xlpm.VAL, INDEX('Heat Sheet'!$A:$I, _xlfn.XMATCH(INDIRECT("A"&amp;ROW()-1),'Heat Sheet'!$A:$A)+1, COLUMN()), IF(ISNA(_xlpm.VAL), "", IF(_xlpm.VAL=0, "", _xlpm.VAL)))</f>
        <v/>
      </c>
    </row>
    <row r="547" spans="1:9" ht="15.75" customHeight="1" x14ac:dyDescent="0.2">
      <c r="A547" s="201"/>
      <c r="B547" s="202"/>
      <c r="C547" s="122" t="s">
        <v>22</v>
      </c>
      <c r="D547" s="124"/>
      <c r="E547" s="124"/>
      <c r="F547" s="124"/>
      <c r="G547" s="124"/>
      <c r="H547" s="124"/>
      <c r="I547" s="126"/>
    </row>
    <row r="548" spans="1:9" ht="15.75" customHeight="1" x14ac:dyDescent="0.2">
      <c r="A548" s="201"/>
      <c r="B548" s="202"/>
      <c r="C548" s="122" t="s">
        <v>23</v>
      </c>
      <c r="D548" s="158"/>
      <c r="E548" s="158"/>
      <c r="F548" s="158"/>
      <c r="G548" s="158"/>
      <c r="H548" s="158"/>
      <c r="I548" s="159"/>
    </row>
    <row r="549" spans="1:9" ht="15.75" customHeight="1" x14ac:dyDescent="0.2">
      <c r="A549" s="201"/>
      <c r="B549" s="202"/>
      <c r="C549" s="26" t="s">
        <v>14</v>
      </c>
      <c r="D549" s="160"/>
      <c r="E549" s="160"/>
      <c r="F549" s="160"/>
      <c r="G549" s="160"/>
      <c r="H549" s="160"/>
      <c r="I549" s="161"/>
    </row>
    <row r="550" spans="1:9" ht="15.75" customHeight="1" x14ac:dyDescent="0.2">
      <c r="A550" s="201">
        <v>110</v>
      </c>
      <c r="B550" s="202" t="str">
        <f>IFERROR(VLOOKUP(A550,'Heat Sheet'!$A:$I, 2, FALSE), "")</f>
        <v/>
      </c>
      <c r="C550" s="129" t="str" cm="1">
        <f t="array" aca="1" ref="C550" ca="1">_xlfn.LET(_xlpm.VAL, INDEX('Heat Sheet'!$A:$I, _xlfn.XMATCH(INDIRECT("A"&amp;ROW()),'Heat Sheet'!$A:$A), COLUMN()), IF(ISNA(_xlpm.VAL), "", IF(_xlpm.VAL=0, "", _xlpm.VAL)))</f>
        <v/>
      </c>
      <c r="D550" s="154" t="str" cm="1">
        <f t="array" aca="1" ref="D550" ca="1">_xlfn.LET(_xlpm.VAL, INDEX('Heat Sheet'!$A:$I, _xlfn.XMATCH(INDIRECT("A"&amp;ROW()),'Heat Sheet'!$A:$A), COLUMN()), IF(ISNA(_xlpm.VAL), "", IF(_xlpm.VAL=0, "", _xlpm.VAL)))</f>
        <v/>
      </c>
      <c r="E550" s="154" t="str" cm="1">
        <f t="array" aca="1" ref="E550" ca="1">_xlfn.LET(_xlpm.VAL, INDEX('Heat Sheet'!$A:$I, _xlfn.XMATCH(INDIRECT("A"&amp;ROW()),'Heat Sheet'!$A:$A), COLUMN()), IF(ISNA(_xlpm.VAL), "", IF(_xlpm.VAL=0, "", _xlpm.VAL)))</f>
        <v/>
      </c>
      <c r="F550" s="154" t="str" cm="1">
        <f t="array" aca="1" ref="F550" ca="1">_xlfn.LET(_xlpm.VAL, INDEX('Heat Sheet'!$A:$I, _xlfn.XMATCH(INDIRECT("A"&amp;ROW()),'Heat Sheet'!$A:$A), COLUMN()), IF(ISNA(_xlpm.VAL), "", IF(_xlpm.VAL=0, "", _xlpm.VAL)))</f>
        <v/>
      </c>
      <c r="G550" s="154" t="str" cm="1">
        <f t="array" aca="1" ref="G550" ca="1">_xlfn.LET(_xlpm.VAL, INDEX('Heat Sheet'!$A:$I, _xlfn.XMATCH(INDIRECT("A"&amp;ROW()),'Heat Sheet'!$A:$A), COLUMN()), IF(ISNA(_xlpm.VAL), "", IF(_xlpm.VAL=0, "", _xlpm.VAL)))</f>
        <v/>
      </c>
      <c r="H550" s="154" t="str" cm="1">
        <f t="array" aca="1" ref="H550" ca="1">_xlfn.LET(_xlpm.VAL, INDEX('Heat Sheet'!$A:$I, _xlfn.XMATCH(INDIRECT("A"&amp;ROW()),'Heat Sheet'!$A:$A), COLUMN()), IF(ISNA(_xlpm.VAL), "", IF(_xlpm.VAL=0, "", _xlpm.VAL)))</f>
        <v/>
      </c>
      <c r="I550" s="155" t="str" cm="1">
        <f t="array" aca="1" ref="I550" ca="1">_xlfn.LET(_xlpm.VAL, INDEX('Heat Sheet'!$A:$I, _xlfn.XMATCH(INDIRECT("A"&amp;ROW()),'Heat Sheet'!$A:$A), COLUMN()), IF(ISNA(_xlpm.VAL), "", IF(_xlpm.VAL=0, "", _xlpm.VAL)))</f>
        <v/>
      </c>
    </row>
    <row r="551" spans="1:9" ht="15.75" customHeight="1" x14ac:dyDescent="0.2">
      <c r="A551" s="201"/>
      <c r="B551" s="202"/>
      <c r="C551" s="129" t="str" cm="1">
        <f t="array" aca="1" ref="C551" ca="1">_xlfn.LET(_xlpm.VAL, INDEX('Heat Sheet'!$A:$I, _xlfn.XMATCH(INDIRECT("A"&amp;ROW()-1),'Heat Sheet'!$A:$A)+1, COLUMN()), IF(ISNA(_xlpm.VAL), "", IF(_xlpm.VAL=0, "", _xlpm.VAL)))</f>
        <v/>
      </c>
      <c r="D551" s="154" t="str" cm="1">
        <f t="array" aca="1" ref="D551" ca="1">_xlfn.LET(_xlpm.VAL, INDEX('Heat Sheet'!$A:$I, _xlfn.XMATCH(INDIRECT("A"&amp;ROW()-1),'Heat Sheet'!$A:$A)+1, COLUMN()), IF(ISNA(_xlpm.VAL), "", IF(_xlpm.VAL=0, "", _xlpm.VAL)))</f>
        <v/>
      </c>
      <c r="E551" s="154" t="str" cm="1">
        <f t="array" aca="1" ref="E551" ca="1">_xlfn.LET(_xlpm.VAL, INDEX('Heat Sheet'!$A:$I, _xlfn.XMATCH(INDIRECT("A"&amp;ROW()-1),'Heat Sheet'!$A:$A)+1, COLUMN()), IF(ISNA(_xlpm.VAL), "", IF(_xlpm.VAL=0, "", _xlpm.VAL)))</f>
        <v/>
      </c>
      <c r="F551" s="154" t="str" cm="1">
        <f t="array" aca="1" ref="F551" ca="1">_xlfn.LET(_xlpm.VAL, INDEX('Heat Sheet'!$A:$I, _xlfn.XMATCH(INDIRECT("A"&amp;ROW()-1),'Heat Sheet'!$A:$A)+1, COLUMN()), IF(ISNA(_xlpm.VAL), "", IF(_xlpm.VAL=0, "", _xlpm.VAL)))</f>
        <v/>
      </c>
      <c r="G551" s="154" t="str" cm="1">
        <f t="array" aca="1" ref="G551" ca="1">_xlfn.LET(_xlpm.VAL, INDEX('Heat Sheet'!$A:$I, _xlfn.XMATCH(INDIRECT("A"&amp;ROW()-1),'Heat Sheet'!$A:$A)+1, COLUMN()), IF(ISNA(_xlpm.VAL), "", IF(_xlpm.VAL=0, "", _xlpm.VAL)))</f>
        <v/>
      </c>
      <c r="H551" s="154" t="str" cm="1">
        <f t="array" aca="1" ref="H551" ca="1">_xlfn.LET(_xlpm.VAL, INDEX('Heat Sheet'!$A:$I, _xlfn.XMATCH(INDIRECT("A"&amp;ROW()-1),'Heat Sheet'!$A:$A)+1, COLUMN()), IF(ISNA(_xlpm.VAL), "", IF(_xlpm.VAL=0, "", _xlpm.VAL)))</f>
        <v/>
      </c>
      <c r="I551" s="155" t="str" cm="1">
        <f t="array" aca="1" ref="I551" ca="1">_xlfn.LET(_xlpm.VAL, INDEX('Heat Sheet'!$A:$I, _xlfn.XMATCH(INDIRECT("A"&amp;ROW()-1),'Heat Sheet'!$A:$A)+1, COLUMN()), IF(ISNA(_xlpm.VAL), "", IF(_xlpm.VAL=0, "", _xlpm.VAL)))</f>
        <v/>
      </c>
    </row>
    <row r="552" spans="1:9" ht="15.75" customHeight="1" x14ac:dyDescent="0.2">
      <c r="A552" s="201"/>
      <c r="B552" s="202"/>
      <c r="C552" s="122" t="s">
        <v>22</v>
      </c>
      <c r="D552" s="124"/>
      <c r="E552" s="124"/>
      <c r="F552" s="124"/>
      <c r="G552" s="124"/>
      <c r="H552" s="124"/>
      <c r="I552" s="126"/>
    </row>
    <row r="553" spans="1:9" ht="15.75" customHeight="1" x14ac:dyDescent="0.2">
      <c r="A553" s="201"/>
      <c r="B553" s="202"/>
      <c r="C553" s="122" t="s">
        <v>23</v>
      </c>
      <c r="D553" s="158"/>
      <c r="E553" s="158"/>
      <c r="F553" s="158"/>
      <c r="G553" s="158"/>
      <c r="H553" s="158"/>
      <c r="I553" s="159"/>
    </row>
    <row r="554" spans="1:9" ht="15.75" customHeight="1" x14ac:dyDescent="0.2">
      <c r="A554" s="201"/>
      <c r="B554" s="202"/>
      <c r="C554" s="26" t="s">
        <v>14</v>
      </c>
      <c r="D554" s="160"/>
      <c r="E554" s="160"/>
      <c r="F554" s="160"/>
      <c r="G554" s="160"/>
      <c r="H554" s="160"/>
      <c r="I554" s="161"/>
    </row>
    <row r="555" spans="1:9" ht="15.75" customHeight="1" x14ac:dyDescent="0.2">
      <c r="A555" s="201">
        <v>111</v>
      </c>
      <c r="B555" s="202" t="str">
        <f>IFERROR(VLOOKUP(A555,'Heat Sheet'!$A:$I, 2, FALSE), "")</f>
        <v/>
      </c>
      <c r="C555" s="129" t="str" cm="1">
        <f t="array" aca="1" ref="C555" ca="1">_xlfn.LET(_xlpm.VAL, INDEX('Heat Sheet'!$A:$I, _xlfn.XMATCH(INDIRECT("A"&amp;ROW()),'Heat Sheet'!$A:$A), COLUMN()), IF(ISNA(_xlpm.VAL), "", IF(_xlpm.VAL=0, "", _xlpm.VAL)))</f>
        <v/>
      </c>
      <c r="D555" s="154" t="str" cm="1">
        <f t="array" aca="1" ref="D555" ca="1">_xlfn.LET(_xlpm.VAL, INDEX('Heat Sheet'!$A:$I, _xlfn.XMATCH(INDIRECT("A"&amp;ROW()),'Heat Sheet'!$A:$A), COLUMN()), IF(ISNA(_xlpm.VAL), "", IF(_xlpm.VAL=0, "", _xlpm.VAL)))</f>
        <v/>
      </c>
      <c r="E555" s="154" t="str" cm="1">
        <f t="array" aca="1" ref="E555" ca="1">_xlfn.LET(_xlpm.VAL, INDEX('Heat Sheet'!$A:$I, _xlfn.XMATCH(INDIRECT("A"&amp;ROW()),'Heat Sheet'!$A:$A), COLUMN()), IF(ISNA(_xlpm.VAL), "", IF(_xlpm.VAL=0, "", _xlpm.VAL)))</f>
        <v/>
      </c>
      <c r="F555" s="154" t="str" cm="1">
        <f t="array" aca="1" ref="F555" ca="1">_xlfn.LET(_xlpm.VAL, INDEX('Heat Sheet'!$A:$I, _xlfn.XMATCH(INDIRECT("A"&amp;ROW()),'Heat Sheet'!$A:$A), COLUMN()), IF(ISNA(_xlpm.VAL), "", IF(_xlpm.VAL=0, "", _xlpm.VAL)))</f>
        <v/>
      </c>
      <c r="G555" s="154" t="str" cm="1">
        <f t="array" aca="1" ref="G555" ca="1">_xlfn.LET(_xlpm.VAL, INDEX('Heat Sheet'!$A:$I, _xlfn.XMATCH(INDIRECT("A"&amp;ROW()),'Heat Sheet'!$A:$A), COLUMN()), IF(ISNA(_xlpm.VAL), "", IF(_xlpm.VAL=0, "", _xlpm.VAL)))</f>
        <v/>
      </c>
      <c r="H555" s="154" t="str" cm="1">
        <f t="array" aca="1" ref="H555" ca="1">_xlfn.LET(_xlpm.VAL, INDEX('Heat Sheet'!$A:$I, _xlfn.XMATCH(INDIRECT("A"&amp;ROW()),'Heat Sheet'!$A:$A), COLUMN()), IF(ISNA(_xlpm.VAL), "", IF(_xlpm.VAL=0, "", _xlpm.VAL)))</f>
        <v/>
      </c>
      <c r="I555" s="155" t="str" cm="1">
        <f t="array" aca="1" ref="I555" ca="1">_xlfn.LET(_xlpm.VAL, INDEX('Heat Sheet'!$A:$I, _xlfn.XMATCH(INDIRECT("A"&amp;ROW()),'Heat Sheet'!$A:$A), COLUMN()), IF(ISNA(_xlpm.VAL), "", IF(_xlpm.VAL=0, "", _xlpm.VAL)))</f>
        <v/>
      </c>
    </row>
    <row r="556" spans="1:9" ht="15.75" customHeight="1" x14ac:dyDescent="0.2">
      <c r="A556" s="201"/>
      <c r="B556" s="202"/>
      <c r="C556" s="129" t="str" cm="1">
        <f t="array" aca="1" ref="C556" ca="1">_xlfn.LET(_xlpm.VAL, INDEX('Heat Sheet'!$A:$I, _xlfn.XMATCH(INDIRECT("A"&amp;ROW()-1),'Heat Sheet'!$A:$A)+1, COLUMN()), IF(ISNA(_xlpm.VAL), "", IF(_xlpm.VAL=0, "", _xlpm.VAL)))</f>
        <v/>
      </c>
      <c r="D556" s="154" t="str" cm="1">
        <f t="array" aca="1" ref="D556" ca="1">_xlfn.LET(_xlpm.VAL, INDEX('Heat Sheet'!$A:$I, _xlfn.XMATCH(INDIRECT("A"&amp;ROW()-1),'Heat Sheet'!$A:$A)+1, COLUMN()), IF(ISNA(_xlpm.VAL), "", IF(_xlpm.VAL=0, "", _xlpm.VAL)))</f>
        <v/>
      </c>
      <c r="E556" s="154" t="str" cm="1">
        <f t="array" aca="1" ref="E556" ca="1">_xlfn.LET(_xlpm.VAL, INDEX('Heat Sheet'!$A:$I, _xlfn.XMATCH(INDIRECT("A"&amp;ROW()-1),'Heat Sheet'!$A:$A)+1, COLUMN()), IF(ISNA(_xlpm.VAL), "", IF(_xlpm.VAL=0, "", _xlpm.VAL)))</f>
        <v/>
      </c>
      <c r="F556" s="154" t="str" cm="1">
        <f t="array" aca="1" ref="F556" ca="1">_xlfn.LET(_xlpm.VAL, INDEX('Heat Sheet'!$A:$I, _xlfn.XMATCH(INDIRECT("A"&amp;ROW()-1),'Heat Sheet'!$A:$A)+1, COLUMN()), IF(ISNA(_xlpm.VAL), "", IF(_xlpm.VAL=0, "", _xlpm.VAL)))</f>
        <v/>
      </c>
      <c r="G556" s="154" t="str" cm="1">
        <f t="array" aca="1" ref="G556" ca="1">_xlfn.LET(_xlpm.VAL, INDEX('Heat Sheet'!$A:$I, _xlfn.XMATCH(INDIRECT("A"&amp;ROW()-1),'Heat Sheet'!$A:$A)+1, COLUMN()), IF(ISNA(_xlpm.VAL), "", IF(_xlpm.VAL=0, "", _xlpm.VAL)))</f>
        <v/>
      </c>
      <c r="H556" s="154" t="str" cm="1">
        <f t="array" aca="1" ref="H556" ca="1">_xlfn.LET(_xlpm.VAL, INDEX('Heat Sheet'!$A:$I, _xlfn.XMATCH(INDIRECT("A"&amp;ROW()-1),'Heat Sheet'!$A:$A)+1, COLUMN()), IF(ISNA(_xlpm.VAL), "", IF(_xlpm.VAL=0, "", _xlpm.VAL)))</f>
        <v/>
      </c>
      <c r="I556" s="155" t="str" cm="1">
        <f t="array" aca="1" ref="I556" ca="1">_xlfn.LET(_xlpm.VAL, INDEX('Heat Sheet'!$A:$I, _xlfn.XMATCH(INDIRECT("A"&amp;ROW()-1),'Heat Sheet'!$A:$A)+1, COLUMN()), IF(ISNA(_xlpm.VAL), "", IF(_xlpm.VAL=0, "", _xlpm.VAL)))</f>
        <v/>
      </c>
    </row>
    <row r="557" spans="1:9" ht="15.75" customHeight="1" x14ac:dyDescent="0.2">
      <c r="A557" s="201"/>
      <c r="B557" s="202"/>
      <c r="C557" s="122" t="s">
        <v>22</v>
      </c>
      <c r="D557" s="124"/>
      <c r="E557" s="124"/>
      <c r="F557" s="124"/>
      <c r="G557" s="124"/>
      <c r="H557" s="124"/>
      <c r="I557" s="126"/>
    </row>
    <row r="558" spans="1:9" ht="15.75" customHeight="1" x14ac:dyDescent="0.2">
      <c r="A558" s="201"/>
      <c r="B558" s="202"/>
      <c r="C558" s="122" t="s">
        <v>23</v>
      </c>
      <c r="D558" s="158"/>
      <c r="E558" s="158"/>
      <c r="F558" s="158"/>
      <c r="G558" s="158"/>
      <c r="H558" s="158"/>
      <c r="I558" s="159"/>
    </row>
    <row r="559" spans="1:9" ht="15.75" customHeight="1" x14ac:dyDescent="0.2">
      <c r="A559" s="201"/>
      <c r="B559" s="202"/>
      <c r="C559" s="26" t="s">
        <v>14</v>
      </c>
      <c r="D559" s="160"/>
      <c r="E559" s="160"/>
      <c r="F559" s="160"/>
      <c r="G559" s="160"/>
      <c r="H559" s="160"/>
      <c r="I559" s="161"/>
    </row>
    <row r="560" spans="1:9" ht="15.75" customHeight="1" x14ac:dyDescent="0.2">
      <c r="A560" s="201">
        <v>112</v>
      </c>
      <c r="B560" s="202" t="str">
        <f>IFERROR(VLOOKUP(A560,'Heat Sheet'!$A:$I, 2, FALSE), "")</f>
        <v/>
      </c>
      <c r="C560" s="129" t="str" cm="1">
        <f t="array" aca="1" ref="C560" ca="1">_xlfn.LET(_xlpm.VAL, INDEX('Heat Sheet'!$A:$I, _xlfn.XMATCH(INDIRECT("A"&amp;ROW()),'Heat Sheet'!$A:$A), COLUMN()), IF(ISNA(_xlpm.VAL), "", IF(_xlpm.VAL=0, "", _xlpm.VAL)))</f>
        <v/>
      </c>
      <c r="D560" s="154" t="str" cm="1">
        <f t="array" aca="1" ref="D560" ca="1">_xlfn.LET(_xlpm.VAL, INDEX('Heat Sheet'!$A:$I, _xlfn.XMATCH(INDIRECT("A"&amp;ROW()),'Heat Sheet'!$A:$A), COLUMN()), IF(ISNA(_xlpm.VAL), "", IF(_xlpm.VAL=0, "", _xlpm.VAL)))</f>
        <v/>
      </c>
      <c r="E560" s="154" t="str" cm="1">
        <f t="array" aca="1" ref="E560" ca="1">_xlfn.LET(_xlpm.VAL, INDEX('Heat Sheet'!$A:$I, _xlfn.XMATCH(INDIRECT("A"&amp;ROW()),'Heat Sheet'!$A:$A), COLUMN()), IF(ISNA(_xlpm.VAL), "", IF(_xlpm.VAL=0, "", _xlpm.VAL)))</f>
        <v/>
      </c>
      <c r="F560" s="154" t="str" cm="1">
        <f t="array" aca="1" ref="F560" ca="1">_xlfn.LET(_xlpm.VAL, INDEX('Heat Sheet'!$A:$I, _xlfn.XMATCH(INDIRECT("A"&amp;ROW()),'Heat Sheet'!$A:$A), COLUMN()), IF(ISNA(_xlpm.VAL), "", IF(_xlpm.VAL=0, "", _xlpm.VAL)))</f>
        <v/>
      </c>
      <c r="G560" s="154" t="str" cm="1">
        <f t="array" aca="1" ref="G560" ca="1">_xlfn.LET(_xlpm.VAL, INDEX('Heat Sheet'!$A:$I, _xlfn.XMATCH(INDIRECT("A"&amp;ROW()),'Heat Sheet'!$A:$A), COLUMN()), IF(ISNA(_xlpm.VAL), "", IF(_xlpm.VAL=0, "", _xlpm.VAL)))</f>
        <v/>
      </c>
      <c r="H560" s="154" t="str" cm="1">
        <f t="array" aca="1" ref="H560" ca="1">_xlfn.LET(_xlpm.VAL, INDEX('Heat Sheet'!$A:$I, _xlfn.XMATCH(INDIRECT("A"&amp;ROW()),'Heat Sheet'!$A:$A), COLUMN()), IF(ISNA(_xlpm.VAL), "", IF(_xlpm.VAL=0, "", _xlpm.VAL)))</f>
        <v/>
      </c>
      <c r="I560" s="155" t="str" cm="1">
        <f t="array" aca="1" ref="I560" ca="1">_xlfn.LET(_xlpm.VAL, INDEX('Heat Sheet'!$A:$I, _xlfn.XMATCH(INDIRECT("A"&amp;ROW()),'Heat Sheet'!$A:$A), COLUMN()), IF(ISNA(_xlpm.VAL), "", IF(_xlpm.VAL=0, "", _xlpm.VAL)))</f>
        <v/>
      </c>
    </row>
    <row r="561" spans="1:9" ht="15.75" customHeight="1" x14ac:dyDescent="0.2">
      <c r="A561" s="201"/>
      <c r="B561" s="202"/>
      <c r="C561" s="129" t="str" cm="1">
        <f t="array" aca="1" ref="C561" ca="1">_xlfn.LET(_xlpm.VAL, INDEX('Heat Sheet'!$A:$I, _xlfn.XMATCH(INDIRECT("A"&amp;ROW()-1),'Heat Sheet'!$A:$A)+1, COLUMN()), IF(ISNA(_xlpm.VAL), "", IF(_xlpm.VAL=0, "", _xlpm.VAL)))</f>
        <v/>
      </c>
      <c r="D561" s="154" t="str" cm="1">
        <f t="array" aca="1" ref="D561" ca="1">_xlfn.LET(_xlpm.VAL, INDEX('Heat Sheet'!$A:$I, _xlfn.XMATCH(INDIRECT("A"&amp;ROW()-1),'Heat Sheet'!$A:$A)+1, COLUMN()), IF(ISNA(_xlpm.VAL), "", IF(_xlpm.VAL=0, "", _xlpm.VAL)))</f>
        <v/>
      </c>
      <c r="E561" s="154" t="str" cm="1">
        <f t="array" aca="1" ref="E561" ca="1">_xlfn.LET(_xlpm.VAL, INDEX('Heat Sheet'!$A:$I, _xlfn.XMATCH(INDIRECT("A"&amp;ROW()-1),'Heat Sheet'!$A:$A)+1, COLUMN()), IF(ISNA(_xlpm.VAL), "", IF(_xlpm.VAL=0, "", _xlpm.VAL)))</f>
        <v/>
      </c>
      <c r="F561" s="154" t="str" cm="1">
        <f t="array" aca="1" ref="F561" ca="1">_xlfn.LET(_xlpm.VAL, INDEX('Heat Sheet'!$A:$I, _xlfn.XMATCH(INDIRECT("A"&amp;ROW()-1),'Heat Sheet'!$A:$A)+1, COLUMN()), IF(ISNA(_xlpm.VAL), "", IF(_xlpm.VAL=0, "", _xlpm.VAL)))</f>
        <v/>
      </c>
      <c r="G561" s="154" t="str" cm="1">
        <f t="array" aca="1" ref="G561" ca="1">_xlfn.LET(_xlpm.VAL, INDEX('Heat Sheet'!$A:$I, _xlfn.XMATCH(INDIRECT("A"&amp;ROW()-1),'Heat Sheet'!$A:$A)+1, COLUMN()), IF(ISNA(_xlpm.VAL), "", IF(_xlpm.VAL=0, "", _xlpm.VAL)))</f>
        <v/>
      </c>
      <c r="H561" s="154" t="str" cm="1">
        <f t="array" aca="1" ref="H561" ca="1">_xlfn.LET(_xlpm.VAL, INDEX('Heat Sheet'!$A:$I, _xlfn.XMATCH(INDIRECT("A"&amp;ROW()-1),'Heat Sheet'!$A:$A)+1, COLUMN()), IF(ISNA(_xlpm.VAL), "", IF(_xlpm.VAL=0, "", _xlpm.VAL)))</f>
        <v/>
      </c>
      <c r="I561" s="155" t="str" cm="1">
        <f t="array" aca="1" ref="I561" ca="1">_xlfn.LET(_xlpm.VAL, INDEX('Heat Sheet'!$A:$I, _xlfn.XMATCH(INDIRECT("A"&amp;ROW()-1),'Heat Sheet'!$A:$A)+1, COLUMN()), IF(ISNA(_xlpm.VAL), "", IF(_xlpm.VAL=0, "", _xlpm.VAL)))</f>
        <v/>
      </c>
    </row>
    <row r="562" spans="1:9" ht="15.75" customHeight="1" x14ac:dyDescent="0.2">
      <c r="A562" s="201"/>
      <c r="B562" s="202"/>
      <c r="C562" s="122" t="s">
        <v>22</v>
      </c>
      <c r="D562" s="124"/>
      <c r="E562" s="124"/>
      <c r="F562" s="124"/>
      <c r="G562" s="124"/>
      <c r="H562" s="124"/>
      <c r="I562" s="126"/>
    </row>
    <row r="563" spans="1:9" ht="15.75" customHeight="1" x14ac:dyDescent="0.2">
      <c r="A563" s="201"/>
      <c r="B563" s="202"/>
      <c r="C563" s="122" t="s">
        <v>23</v>
      </c>
      <c r="D563" s="158"/>
      <c r="E563" s="158"/>
      <c r="F563" s="158"/>
      <c r="G563" s="158"/>
      <c r="H563" s="158"/>
      <c r="I563" s="159"/>
    </row>
    <row r="564" spans="1:9" ht="15.75" customHeight="1" x14ac:dyDescent="0.2">
      <c r="A564" s="201"/>
      <c r="B564" s="202"/>
      <c r="C564" s="26" t="s">
        <v>14</v>
      </c>
      <c r="D564" s="160"/>
      <c r="E564" s="160"/>
      <c r="F564" s="160"/>
      <c r="G564" s="160"/>
      <c r="H564" s="160"/>
      <c r="I564" s="161"/>
    </row>
    <row r="565" spans="1:9" ht="15.75" customHeight="1" x14ac:dyDescent="0.2">
      <c r="A565" s="201">
        <v>113</v>
      </c>
      <c r="B565" s="202" t="str">
        <f>IFERROR(VLOOKUP(A565,'Heat Sheet'!$A:$I, 2, FALSE), "")</f>
        <v/>
      </c>
      <c r="C565" s="129" t="str" cm="1">
        <f t="array" aca="1" ref="C565" ca="1">_xlfn.LET(_xlpm.VAL, INDEX('Heat Sheet'!$A:$I, _xlfn.XMATCH(INDIRECT("A"&amp;ROW()),'Heat Sheet'!$A:$A), COLUMN()), IF(ISNA(_xlpm.VAL), "", IF(_xlpm.VAL=0, "", _xlpm.VAL)))</f>
        <v/>
      </c>
      <c r="D565" s="154" t="str" cm="1">
        <f t="array" aca="1" ref="D565" ca="1">_xlfn.LET(_xlpm.VAL, INDEX('Heat Sheet'!$A:$I, _xlfn.XMATCH(INDIRECT("A"&amp;ROW()),'Heat Sheet'!$A:$A), COLUMN()), IF(ISNA(_xlpm.VAL), "", IF(_xlpm.VAL=0, "", _xlpm.VAL)))</f>
        <v/>
      </c>
      <c r="E565" s="154" t="str" cm="1">
        <f t="array" aca="1" ref="E565" ca="1">_xlfn.LET(_xlpm.VAL, INDEX('Heat Sheet'!$A:$I, _xlfn.XMATCH(INDIRECT("A"&amp;ROW()),'Heat Sheet'!$A:$A), COLUMN()), IF(ISNA(_xlpm.VAL), "", IF(_xlpm.VAL=0, "", _xlpm.VAL)))</f>
        <v/>
      </c>
      <c r="F565" s="154" t="str" cm="1">
        <f t="array" aca="1" ref="F565" ca="1">_xlfn.LET(_xlpm.VAL, INDEX('Heat Sheet'!$A:$I, _xlfn.XMATCH(INDIRECT("A"&amp;ROW()),'Heat Sheet'!$A:$A), COLUMN()), IF(ISNA(_xlpm.VAL), "", IF(_xlpm.VAL=0, "", _xlpm.VAL)))</f>
        <v/>
      </c>
      <c r="G565" s="154" t="str" cm="1">
        <f t="array" aca="1" ref="G565" ca="1">_xlfn.LET(_xlpm.VAL, INDEX('Heat Sheet'!$A:$I, _xlfn.XMATCH(INDIRECT("A"&amp;ROW()),'Heat Sheet'!$A:$A), COLUMN()), IF(ISNA(_xlpm.VAL), "", IF(_xlpm.VAL=0, "", _xlpm.VAL)))</f>
        <v/>
      </c>
      <c r="H565" s="154" t="str" cm="1">
        <f t="array" aca="1" ref="H565" ca="1">_xlfn.LET(_xlpm.VAL, INDEX('Heat Sheet'!$A:$I, _xlfn.XMATCH(INDIRECT("A"&amp;ROW()),'Heat Sheet'!$A:$A), COLUMN()), IF(ISNA(_xlpm.VAL), "", IF(_xlpm.VAL=0, "", _xlpm.VAL)))</f>
        <v/>
      </c>
      <c r="I565" s="155" t="str" cm="1">
        <f t="array" aca="1" ref="I565" ca="1">_xlfn.LET(_xlpm.VAL, INDEX('Heat Sheet'!$A:$I, _xlfn.XMATCH(INDIRECT("A"&amp;ROW()),'Heat Sheet'!$A:$A), COLUMN()), IF(ISNA(_xlpm.VAL), "", IF(_xlpm.VAL=0, "", _xlpm.VAL)))</f>
        <v/>
      </c>
    </row>
    <row r="566" spans="1:9" ht="15.75" customHeight="1" x14ac:dyDescent="0.2">
      <c r="A566" s="201"/>
      <c r="B566" s="202"/>
      <c r="C566" s="129" t="str" cm="1">
        <f t="array" aca="1" ref="C566" ca="1">_xlfn.LET(_xlpm.VAL, INDEX('Heat Sheet'!$A:$I, _xlfn.XMATCH(INDIRECT("A"&amp;ROW()-1),'Heat Sheet'!$A:$A)+1, COLUMN()), IF(ISNA(_xlpm.VAL), "", IF(_xlpm.VAL=0, "", _xlpm.VAL)))</f>
        <v/>
      </c>
      <c r="D566" s="154" t="str" cm="1">
        <f t="array" aca="1" ref="D566" ca="1">_xlfn.LET(_xlpm.VAL, INDEX('Heat Sheet'!$A:$I, _xlfn.XMATCH(INDIRECT("A"&amp;ROW()-1),'Heat Sheet'!$A:$A)+1, COLUMN()), IF(ISNA(_xlpm.VAL), "", IF(_xlpm.VAL=0, "", _xlpm.VAL)))</f>
        <v/>
      </c>
      <c r="E566" s="154" t="str" cm="1">
        <f t="array" aca="1" ref="E566" ca="1">_xlfn.LET(_xlpm.VAL, INDEX('Heat Sheet'!$A:$I, _xlfn.XMATCH(INDIRECT("A"&amp;ROW()-1),'Heat Sheet'!$A:$A)+1, COLUMN()), IF(ISNA(_xlpm.VAL), "", IF(_xlpm.VAL=0, "", _xlpm.VAL)))</f>
        <v/>
      </c>
      <c r="F566" s="154" t="str" cm="1">
        <f t="array" aca="1" ref="F566" ca="1">_xlfn.LET(_xlpm.VAL, INDEX('Heat Sheet'!$A:$I, _xlfn.XMATCH(INDIRECT("A"&amp;ROW()-1),'Heat Sheet'!$A:$A)+1, COLUMN()), IF(ISNA(_xlpm.VAL), "", IF(_xlpm.VAL=0, "", _xlpm.VAL)))</f>
        <v/>
      </c>
      <c r="G566" s="154" t="str" cm="1">
        <f t="array" aca="1" ref="G566" ca="1">_xlfn.LET(_xlpm.VAL, INDEX('Heat Sheet'!$A:$I, _xlfn.XMATCH(INDIRECT("A"&amp;ROW()-1),'Heat Sheet'!$A:$A)+1, COLUMN()), IF(ISNA(_xlpm.VAL), "", IF(_xlpm.VAL=0, "", _xlpm.VAL)))</f>
        <v/>
      </c>
      <c r="H566" s="154" t="str" cm="1">
        <f t="array" aca="1" ref="H566" ca="1">_xlfn.LET(_xlpm.VAL, INDEX('Heat Sheet'!$A:$I, _xlfn.XMATCH(INDIRECT("A"&amp;ROW()-1),'Heat Sheet'!$A:$A)+1, COLUMN()), IF(ISNA(_xlpm.VAL), "", IF(_xlpm.VAL=0, "", _xlpm.VAL)))</f>
        <v/>
      </c>
      <c r="I566" s="155" t="str" cm="1">
        <f t="array" aca="1" ref="I566" ca="1">_xlfn.LET(_xlpm.VAL, INDEX('Heat Sheet'!$A:$I, _xlfn.XMATCH(INDIRECT("A"&amp;ROW()-1),'Heat Sheet'!$A:$A)+1, COLUMN()), IF(ISNA(_xlpm.VAL), "", IF(_xlpm.VAL=0, "", _xlpm.VAL)))</f>
        <v/>
      </c>
    </row>
    <row r="567" spans="1:9" ht="15.75" customHeight="1" x14ac:dyDescent="0.2">
      <c r="A567" s="201"/>
      <c r="B567" s="202"/>
      <c r="C567" s="122" t="s">
        <v>22</v>
      </c>
      <c r="D567" s="124"/>
      <c r="E567" s="124"/>
      <c r="F567" s="124"/>
      <c r="G567" s="124"/>
      <c r="H567" s="124"/>
      <c r="I567" s="126"/>
    </row>
    <row r="568" spans="1:9" ht="15.75" customHeight="1" x14ac:dyDescent="0.2">
      <c r="A568" s="201"/>
      <c r="B568" s="202"/>
      <c r="C568" s="122" t="s">
        <v>23</v>
      </c>
      <c r="D568" s="158"/>
      <c r="E568" s="158"/>
      <c r="F568" s="158"/>
      <c r="G568" s="158"/>
      <c r="H568" s="158"/>
      <c r="I568" s="159"/>
    </row>
    <row r="569" spans="1:9" ht="15.75" customHeight="1" x14ac:dyDescent="0.2">
      <c r="A569" s="201"/>
      <c r="B569" s="202"/>
      <c r="C569" s="26" t="s">
        <v>14</v>
      </c>
      <c r="D569" s="160"/>
      <c r="E569" s="160"/>
      <c r="F569" s="160"/>
      <c r="G569" s="160"/>
      <c r="H569" s="160"/>
      <c r="I569" s="161"/>
    </row>
    <row r="570" spans="1:9" ht="15.75" customHeight="1" x14ac:dyDescent="0.2">
      <c r="A570" s="201">
        <v>114</v>
      </c>
      <c r="B570" s="202" t="str">
        <f>IFERROR(VLOOKUP(A570,'Heat Sheet'!$A:$I, 2, FALSE), "")</f>
        <v/>
      </c>
      <c r="C570" s="129" t="str" cm="1">
        <f t="array" aca="1" ref="C570" ca="1">_xlfn.LET(_xlpm.VAL, INDEX('Heat Sheet'!$A:$I, _xlfn.XMATCH(INDIRECT("A"&amp;ROW()),'Heat Sheet'!$A:$A), COLUMN()), IF(ISNA(_xlpm.VAL), "", IF(_xlpm.VAL=0, "", _xlpm.VAL)))</f>
        <v/>
      </c>
      <c r="D570" s="154" t="str" cm="1">
        <f t="array" aca="1" ref="D570" ca="1">_xlfn.LET(_xlpm.VAL, INDEX('Heat Sheet'!$A:$I, _xlfn.XMATCH(INDIRECT("A"&amp;ROW()),'Heat Sheet'!$A:$A), COLUMN()), IF(ISNA(_xlpm.VAL), "", IF(_xlpm.VAL=0, "", _xlpm.VAL)))</f>
        <v/>
      </c>
      <c r="E570" s="154" t="str" cm="1">
        <f t="array" aca="1" ref="E570" ca="1">_xlfn.LET(_xlpm.VAL, INDEX('Heat Sheet'!$A:$I, _xlfn.XMATCH(INDIRECT("A"&amp;ROW()),'Heat Sheet'!$A:$A), COLUMN()), IF(ISNA(_xlpm.VAL), "", IF(_xlpm.VAL=0, "", _xlpm.VAL)))</f>
        <v/>
      </c>
      <c r="F570" s="154" t="str" cm="1">
        <f t="array" aca="1" ref="F570" ca="1">_xlfn.LET(_xlpm.VAL, INDEX('Heat Sheet'!$A:$I, _xlfn.XMATCH(INDIRECT("A"&amp;ROW()),'Heat Sheet'!$A:$A), COLUMN()), IF(ISNA(_xlpm.VAL), "", IF(_xlpm.VAL=0, "", _xlpm.VAL)))</f>
        <v/>
      </c>
      <c r="G570" s="154" t="str" cm="1">
        <f t="array" aca="1" ref="G570" ca="1">_xlfn.LET(_xlpm.VAL, INDEX('Heat Sheet'!$A:$I, _xlfn.XMATCH(INDIRECT("A"&amp;ROW()),'Heat Sheet'!$A:$A), COLUMN()), IF(ISNA(_xlpm.VAL), "", IF(_xlpm.VAL=0, "", _xlpm.VAL)))</f>
        <v/>
      </c>
      <c r="H570" s="154" t="str" cm="1">
        <f t="array" aca="1" ref="H570" ca="1">_xlfn.LET(_xlpm.VAL, INDEX('Heat Sheet'!$A:$I, _xlfn.XMATCH(INDIRECT("A"&amp;ROW()),'Heat Sheet'!$A:$A), COLUMN()), IF(ISNA(_xlpm.VAL), "", IF(_xlpm.VAL=0, "", _xlpm.VAL)))</f>
        <v/>
      </c>
      <c r="I570" s="155" t="str" cm="1">
        <f t="array" aca="1" ref="I570" ca="1">_xlfn.LET(_xlpm.VAL, INDEX('Heat Sheet'!$A:$I, _xlfn.XMATCH(INDIRECT("A"&amp;ROW()),'Heat Sheet'!$A:$A), COLUMN()), IF(ISNA(_xlpm.VAL), "", IF(_xlpm.VAL=0, "", _xlpm.VAL)))</f>
        <v/>
      </c>
    </row>
    <row r="571" spans="1:9" ht="15.75" customHeight="1" x14ac:dyDescent="0.2">
      <c r="A571" s="201"/>
      <c r="B571" s="202"/>
      <c r="C571" s="129" t="str" cm="1">
        <f t="array" aca="1" ref="C571" ca="1">_xlfn.LET(_xlpm.VAL, INDEX('Heat Sheet'!$A:$I, _xlfn.XMATCH(INDIRECT("A"&amp;ROW()-1),'Heat Sheet'!$A:$A)+1, COLUMN()), IF(ISNA(_xlpm.VAL), "", IF(_xlpm.VAL=0, "", _xlpm.VAL)))</f>
        <v/>
      </c>
      <c r="D571" s="154" t="str" cm="1">
        <f t="array" aca="1" ref="D571" ca="1">_xlfn.LET(_xlpm.VAL, INDEX('Heat Sheet'!$A:$I, _xlfn.XMATCH(INDIRECT("A"&amp;ROW()-1),'Heat Sheet'!$A:$A)+1, COLUMN()), IF(ISNA(_xlpm.VAL), "", IF(_xlpm.VAL=0, "", _xlpm.VAL)))</f>
        <v/>
      </c>
      <c r="E571" s="154" t="str" cm="1">
        <f t="array" aca="1" ref="E571" ca="1">_xlfn.LET(_xlpm.VAL, INDEX('Heat Sheet'!$A:$I, _xlfn.XMATCH(INDIRECT("A"&amp;ROW()-1),'Heat Sheet'!$A:$A)+1, COLUMN()), IF(ISNA(_xlpm.VAL), "", IF(_xlpm.VAL=0, "", _xlpm.VAL)))</f>
        <v/>
      </c>
      <c r="F571" s="154" t="str" cm="1">
        <f t="array" aca="1" ref="F571" ca="1">_xlfn.LET(_xlpm.VAL, INDEX('Heat Sheet'!$A:$I, _xlfn.XMATCH(INDIRECT("A"&amp;ROW()-1),'Heat Sheet'!$A:$A)+1, COLUMN()), IF(ISNA(_xlpm.VAL), "", IF(_xlpm.VAL=0, "", _xlpm.VAL)))</f>
        <v/>
      </c>
      <c r="G571" s="154" t="str" cm="1">
        <f t="array" aca="1" ref="G571" ca="1">_xlfn.LET(_xlpm.VAL, INDEX('Heat Sheet'!$A:$I, _xlfn.XMATCH(INDIRECT("A"&amp;ROW()-1),'Heat Sheet'!$A:$A)+1, COLUMN()), IF(ISNA(_xlpm.VAL), "", IF(_xlpm.VAL=0, "", _xlpm.VAL)))</f>
        <v/>
      </c>
      <c r="H571" s="154" t="str" cm="1">
        <f t="array" aca="1" ref="H571" ca="1">_xlfn.LET(_xlpm.VAL, INDEX('Heat Sheet'!$A:$I, _xlfn.XMATCH(INDIRECT("A"&amp;ROW()-1),'Heat Sheet'!$A:$A)+1, COLUMN()), IF(ISNA(_xlpm.VAL), "", IF(_xlpm.VAL=0, "", _xlpm.VAL)))</f>
        <v/>
      </c>
      <c r="I571" s="155" t="str" cm="1">
        <f t="array" aca="1" ref="I571" ca="1">_xlfn.LET(_xlpm.VAL, INDEX('Heat Sheet'!$A:$I, _xlfn.XMATCH(INDIRECT("A"&amp;ROW()-1),'Heat Sheet'!$A:$A)+1, COLUMN()), IF(ISNA(_xlpm.VAL), "", IF(_xlpm.VAL=0, "", _xlpm.VAL)))</f>
        <v/>
      </c>
    </row>
    <row r="572" spans="1:9" ht="15.75" customHeight="1" x14ac:dyDescent="0.2">
      <c r="A572" s="201"/>
      <c r="B572" s="202"/>
      <c r="C572" s="122" t="s">
        <v>22</v>
      </c>
      <c r="D572" s="124"/>
      <c r="E572" s="124"/>
      <c r="F572" s="124"/>
      <c r="G572" s="124"/>
      <c r="H572" s="124"/>
      <c r="I572" s="126"/>
    </row>
    <row r="573" spans="1:9" ht="15.75" customHeight="1" x14ac:dyDescent="0.2">
      <c r="A573" s="201"/>
      <c r="B573" s="202"/>
      <c r="C573" s="122" t="s">
        <v>23</v>
      </c>
      <c r="D573" s="158"/>
      <c r="E573" s="158"/>
      <c r="F573" s="158"/>
      <c r="G573" s="158"/>
      <c r="H573" s="158"/>
      <c r="I573" s="159"/>
    </row>
    <row r="574" spans="1:9" ht="15.75" customHeight="1" x14ac:dyDescent="0.2">
      <c r="A574" s="201"/>
      <c r="B574" s="202"/>
      <c r="C574" s="26" t="s">
        <v>14</v>
      </c>
      <c r="D574" s="160"/>
      <c r="E574" s="160"/>
      <c r="F574" s="160"/>
      <c r="G574" s="160"/>
      <c r="H574" s="160"/>
      <c r="I574" s="161"/>
    </row>
    <row r="575" spans="1:9" ht="15.75" customHeight="1" x14ac:dyDescent="0.2">
      <c r="A575" s="201">
        <v>115</v>
      </c>
      <c r="B575" s="202" t="str">
        <f>IFERROR(VLOOKUP(A575,'Heat Sheet'!$A:$I, 2, FALSE), "")</f>
        <v/>
      </c>
      <c r="C575" s="129" t="str" cm="1">
        <f t="array" aca="1" ref="C575" ca="1">_xlfn.LET(_xlpm.VAL, INDEX('Heat Sheet'!$A:$I, _xlfn.XMATCH(INDIRECT("A"&amp;ROW()),'Heat Sheet'!$A:$A), COLUMN()), IF(ISNA(_xlpm.VAL), "", IF(_xlpm.VAL=0, "", _xlpm.VAL)))</f>
        <v/>
      </c>
      <c r="D575" s="154" t="str" cm="1">
        <f t="array" aca="1" ref="D575" ca="1">_xlfn.LET(_xlpm.VAL, INDEX('Heat Sheet'!$A:$I, _xlfn.XMATCH(INDIRECT("A"&amp;ROW()),'Heat Sheet'!$A:$A), COLUMN()), IF(ISNA(_xlpm.VAL), "", IF(_xlpm.VAL=0, "", _xlpm.VAL)))</f>
        <v/>
      </c>
      <c r="E575" s="154" t="str" cm="1">
        <f t="array" aca="1" ref="E575" ca="1">_xlfn.LET(_xlpm.VAL, INDEX('Heat Sheet'!$A:$I, _xlfn.XMATCH(INDIRECT("A"&amp;ROW()),'Heat Sheet'!$A:$A), COLUMN()), IF(ISNA(_xlpm.VAL), "", IF(_xlpm.VAL=0, "", _xlpm.VAL)))</f>
        <v/>
      </c>
      <c r="F575" s="154" t="str" cm="1">
        <f t="array" aca="1" ref="F575" ca="1">_xlfn.LET(_xlpm.VAL, INDEX('Heat Sheet'!$A:$I, _xlfn.XMATCH(INDIRECT("A"&amp;ROW()),'Heat Sheet'!$A:$A), COLUMN()), IF(ISNA(_xlpm.VAL), "", IF(_xlpm.VAL=0, "", _xlpm.VAL)))</f>
        <v/>
      </c>
      <c r="G575" s="154" t="str" cm="1">
        <f t="array" aca="1" ref="G575" ca="1">_xlfn.LET(_xlpm.VAL, INDEX('Heat Sheet'!$A:$I, _xlfn.XMATCH(INDIRECT("A"&amp;ROW()),'Heat Sheet'!$A:$A), COLUMN()), IF(ISNA(_xlpm.VAL), "", IF(_xlpm.VAL=0, "", _xlpm.VAL)))</f>
        <v/>
      </c>
      <c r="H575" s="154" t="str" cm="1">
        <f t="array" aca="1" ref="H575" ca="1">_xlfn.LET(_xlpm.VAL, INDEX('Heat Sheet'!$A:$I, _xlfn.XMATCH(INDIRECT("A"&amp;ROW()),'Heat Sheet'!$A:$A), COLUMN()), IF(ISNA(_xlpm.VAL), "", IF(_xlpm.VAL=0, "", _xlpm.VAL)))</f>
        <v/>
      </c>
      <c r="I575" s="155" t="str" cm="1">
        <f t="array" aca="1" ref="I575" ca="1">_xlfn.LET(_xlpm.VAL, INDEX('Heat Sheet'!$A:$I, _xlfn.XMATCH(INDIRECT("A"&amp;ROW()),'Heat Sheet'!$A:$A), COLUMN()), IF(ISNA(_xlpm.VAL), "", IF(_xlpm.VAL=0, "", _xlpm.VAL)))</f>
        <v/>
      </c>
    </row>
    <row r="576" spans="1:9" ht="15.75" customHeight="1" x14ac:dyDescent="0.2">
      <c r="A576" s="201"/>
      <c r="B576" s="202"/>
      <c r="C576" s="129" t="str" cm="1">
        <f t="array" aca="1" ref="C576" ca="1">_xlfn.LET(_xlpm.VAL, INDEX('Heat Sheet'!$A:$I, _xlfn.XMATCH(INDIRECT("A"&amp;ROW()-1),'Heat Sheet'!$A:$A)+1, COLUMN()), IF(ISNA(_xlpm.VAL), "", IF(_xlpm.VAL=0, "", _xlpm.VAL)))</f>
        <v/>
      </c>
      <c r="D576" s="154" t="str" cm="1">
        <f t="array" aca="1" ref="D576" ca="1">_xlfn.LET(_xlpm.VAL, INDEX('Heat Sheet'!$A:$I, _xlfn.XMATCH(INDIRECT("A"&amp;ROW()-1),'Heat Sheet'!$A:$A)+1, COLUMN()), IF(ISNA(_xlpm.VAL), "", IF(_xlpm.VAL=0, "", _xlpm.VAL)))</f>
        <v/>
      </c>
      <c r="E576" s="154" t="str" cm="1">
        <f t="array" aca="1" ref="E576" ca="1">_xlfn.LET(_xlpm.VAL, INDEX('Heat Sheet'!$A:$I, _xlfn.XMATCH(INDIRECT("A"&amp;ROW()-1),'Heat Sheet'!$A:$A)+1, COLUMN()), IF(ISNA(_xlpm.VAL), "", IF(_xlpm.VAL=0, "", _xlpm.VAL)))</f>
        <v/>
      </c>
      <c r="F576" s="154" t="str" cm="1">
        <f t="array" aca="1" ref="F576" ca="1">_xlfn.LET(_xlpm.VAL, INDEX('Heat Sheet'!$A:$I, _xlfn.XMATCH(INDIRECT("A"&amp;ROW()-1),'Heat Sheet'!$A:$A)+1, COLUMN()), IF(ISNA(_xlpm.VAL), "", IF(_xlpm.VAL=0, "", _xlpm.VAL)))</f>
        <v/>
      </c>
      <c r="G576" s="154" t="str" cm="1">
        <f t="array" aca="1" ref="G576" ca="1">_xlfn.LET(_xlpm.VAL, INDEX('Heat Sheet'!$A:$I, _xlfn.XMATCH(INDIRECT("A"&amp;ROW()-1),'Heat Sheet'!$A:$A)+1, COLUMN()), IF(ISNA(_xlpm.VAL), "", IF(_xlpm.VAL=0, "", _xlpm.VAL)))</f>
        <v/>
      </c>
      <c r="H576" s="154" t="str" cm="1">
        <f t="array" aca="1" ref="H576" ca="1">_xlfn.LET(_xlpm.VAL, INDEX('Heat Sheet'!$A:$I, _xlfn.XMATCH(INDIRECT("A"&amp;ROW()-1),'Heat Sheet'!$A:$A)+1, COLUMN()), IF(ISNA(_xlpm.VAL), "", IF(_xlpm.VAL=0, "", _xlpm.VAL)))</f>
        <v/>
      </c>
      <c r="I576" s="155" t="str" cm="1">
        <f t="array" aca="1" ref="I576" ca="1">_xlfn.LET(_xlpm.VAL, INDEX('Heat Sheet'!$A:$I, _xlfn.XMATCH(INDIRECT("A"&amp;ROW()-1),'Heat Sheet'!$A:$A)+1, COLUMN()), IF(ISNA(_xlpm.VAL), "", IF(_xlpm.VAL=0, "", _xlpm.VAL)))</f>
        <v/>
      </c>
    </row>
    <row r="577" spans="1:9" ht="15.75" customHeight="1" x14ac:dyDescent="0.2">
      <c r="A577" s="201"/>
      <c r="B577" s="202"/>
      <c r="C577" s="122" t="s">
        <v>22</v>
      </c>
      <c r="D577" s="124"/>
      <c r="E577" s="124"/>
      <c r="F577" s="124"/>
      <c r="G577" s="124"/>
      <c r="H577" s="124"/>
      <c r="I577" s="126"/>
    </row>
    <row r="578" spans="1:9" ht="15.75" customHeight="1" x14ac:dyDescent="0.2">
      <c r="A578" s="201"/>
      <c r="B578" s="202"/>
      <c r="C578" s="122" t="s">
        <v>23</v>
      </c>
      <c r="D578" s="158"/>
      <c r="E578" s="158"/>
      <c r="F578" s="158"/>
      <c r="G578" s="158"/>
      <c r="H578" s="158"/>
      <c r="I578" s="159"/>
    </row>
    <row r="579" spans="1:9" ht="15.75" customHeight="1" x14ac:dyDescent="0.2">
      <c r="A579" s="201"/>
      <c r="B579" s="202"/>
      <c r="C579" s="26" t="s">
        <v>14</v>
      </c>
      <c r="D579" s="160"/>
      <c r="E579" s="160"/>
      <c r="F579" s="160"/>
      <c r="G579" s="160"/>
      <c r="H579" s="160"/>
      <c r="I579" s="161"/>
    </row>
    <row r="580" spans="1:9" ht="15.75" customHeight="1" x14ac:dyDescent="0.2">
      <c r="A580" s="201">
        <v>116</v>
      </c>
      <c r="B580" s="202" t="str">
        <f>IFERROR(VLOOKUP(A580,'Heat Sheet'!$A:$I, 2, FALSE), "")</f>
        <v/>
      </c>
      <c r="C580" s="129" t="str" cm="1">
        <f t="array" aca="1" ref="C580" ca="1">_xlfn.LET(_xlpm.VAL, INDEX('Heat Sheet'!$A:$I, _xlfn.XMATCH(INDIRECT("A"&amp;ROW()),'Heat Sheet'!$A:$A), COLUMN()), IF(ISNA(_xlpm.VAL), "", IF(_xlpm.VAL=0, "", _xlpm.VAL)))</f>
        <v/>
      </c>
      <c r="D580" s="154" t="str" cm="1">
        <f t="array" aca="1" ref="D580" ca="1">_xlfn.LET(_xlpm.VAL, INDEX('Heat Sheet'!$A:$I, _xlfn.XMATCH(INDIRECT("A"&amp;ROW()),'Heat Sheet'!$A:$A), COLUMN()), IF(ISNA(_xlpm.VAL), "", IF(_xlpm.VAL=0, "", _xlpm.VAL)))</f>
        <v/>
      </c>
      <c r="E580" s="154" t="str" cm="1">
        <f t="array" aca="1" ref="E580" ca="1">_xlfn.LET(_xlpm.VAL, INDEX('Heat Sheet'!$A:$I, _xlfn.XMATCH(INDIRECT("A"&amp;ROW()),'Heat Sheet'!$A:$A), COLUMN()), IF(ISNA(_xlpm.VAL), "", IF(_xlpm.VAL=0, "", _xlpm.VAL)))</f>
        <v/>
      </c>
      <c r="F580" s="154" t="str" cm="1">
        <f t="array" aca="1" ref="F580" ca="1">_xlfn.LET(_xlpm.VAL, INDEX('Heat Sheet'!$A:$I, _xlfn.XMATCH(INDIRECT("A"&amp;ROW()),'Heat Sheet'!$A:$A), COLUMN()), IF(ISNA(_xlpm.VAL), "", IF(_xlpm.VAL=0, "", _xlpm.VAL)))</f>
        <v/>
      </c>
      <c r="G580" s="154" t="str" cm="1">
        <f t="array" aca="1" ref="G580" ca="1">_xlfn.LET(_xlpm.VAL, INDEX('Heat Sheet'!$A:$I, _xlfn.XMATCH(INDIRECT("A"&amp;ROW()),'Heat Sheet'!$A:$A), COLUMN()), IF(ISNA(_xlpm.VAL), "", IF(_xlpm.VAL=0, "", _xlpm.VAL)))</f>
        <v/>
      </c>
      <c r="H580" s="154" t="str" cm="1">
        <f t="array" aca="1" ref="H580" ca="1">_xlfn.LET(_xlpm.VAL, INDEX('Heat Sheet'!$A:$I, _xlfn.XMATCH(INDIRECT("A"&amp;ROW()),'Heat Sheet'!$A:$A), COLUMN()), IF(ISNA(_xlpm.VAL), "", IF(_xlpm.VAL=0, "", _xlpm.VAL)))</f>
        <v/>
      </c>
      <c r="I580" s="155" t="str" cm="1">
        <f t="array" aca="1" ref="I580" ca="1">_xlfn.LET(_xlpm.VAL, INDEX('Heat Sheet'!$A:$I, _xlfn.XMATCH(INDIRECT("A"&amp;ROW()),'Heat Sheet'!$A:$A), COLUMN()), IF(ISNA(_xlpm.VAL), "", IF(_xlpm.VAL=0, "", _xlpm.VAL)))</f>
        <v/>
      </c>
    </row>
    <row r="581" spans="1:9" ht="15.75" customHeight="1" x14ac:dyDescent="0.2">
      <c r="A581" s="201"/>
      <c r="B581" s="202"/>
      <c r="C581" s="129" t="str" cm="1">
        <f t="array" aca="1" ref="C581" ca="1">_xlfn.LET(_xlpm.VAL, INDEX('Heat Sheet'!$A:$I, _xlfn.XMATCH(INDIRECT("A"&amp;ROW()-1),'Heat Sheet'!$A:$A)+1, COLUMN()), IF(ISNA(_xlpm.VAL), "", IF(_xlpm.VAL=0, "", _xlpm.VAL)))</f>
        <v/>
      </c>
      <c r="D581" s="154" t="str" cm="1">
        <f t="array" aca="1" ref="D581" ca="1">_xlfn.LET(_xlpm.VAL, INDEX('Heat Sheet'!$A:$I, _xlfn.XMATCH(INDIRECT("A"&amp;ROW()-1),'Heat Sheet'!$A:$A)+1, COLUMN()), IF(ISNA(_xlpm.VAL), "", IF(_xlpm.VAL=0, "", _xlpm.VAL)))</f>
        <v/>
      </c>
      <c r="E581" s="154" t="str" cm="1">
        <f t="array" aca="1" ref="E581" ca="1">_xlfn.LET(_xlpm.VAL, INDEX('Heat Sheet'!$A:$I, _xlfn.XMATCH(INDIRECT("A"&amp;ROW()-1),'Heat Sheet'!$A:$A)+1, COLUMN()), IF(ISNA(_xlpm.VAL), "", IF(_xlpm.VAL=0, "", _xlpm.VAL)))</f>
        <v/>
      </c>
      <c r="F581" s="154" t="str" cm="1">
        <f t="array" aca="1" ref="F581" ca="1">_xlfn.LET(_xlpm.VAL, INDEX('Heat Sheet'!$A:$I, _xlfn.XMATCH(INDIRECT("A"&amp;ROW()-1),'Heat Sheet'!$A:$A)+1, COLUMN()), IF(ISNA(_xlpm.VAL), "", IF(_xlpm.VAL=0, "", _xlpm.VAL)))</f>
        <v/>
      </c>
      <c r="G581" s="154" t="str" cm="1">
        <f t="array" aca="1" ref="G581" ca="1">_xlfn.LET(_xlpm.VAL, INDEX('Heat Sheet'!$A:$I, _xlfn.XMATCH(INDIRECT("A"&amp;ROW()-1),'Heat Sheet'!$A:$A)+1, COLUMN()), IF(ISNA(_xlpm.VAL), "", IF(_xlpm.VAL=0, "", _xlpm.VAL)))</f>
        <v/>
      </c>
      <c r="H581" s="154" t="str" cm="1">
        <f t="array" aca="1" ref="H581" ca="1">_xlfn.LET(_xlpm.VAL, INDEX('Heat Sheet'!$A:$I, _xlfn.XMATCH(INDIRECT("A"&amp;ROW()-1),'Heat Sheet'!$A:$A)+1, COLUMN()), IF(ISNA(_xlpm.VAL), "", IF(_xlpm.VAL=0, "", _xlpm.VAL)))</f>
        <v/>
      </c>
      <c r="I581" s="155" t="str" cm="1">
        <f t="array" aca="1" ref="I581" ca="1">_xlfn.LET(_xlpm.VAL, INDEX('Heat Sheet'!$A:$I, _xlfn.XMATCH(INDIRECT("A"&amp;ROW()-1),'Heat Sheet'!$A:$A)+1, COLUMN()), IF(ISNA(_xlpm.VAL), "", IF(_xlpm.VAL=0, "", _xlpm.VAL)))</f>
        <v/>
      </c>
    </row>
    <row r="582" spans="1:9" ht="15.75" customHeight="1" x14ac:dyDescent="0.2">
      <c r="A582" s="201"/>
      <c r="B582" s="202"/>
      <c r="C582" s="122" t="s">
        <v>22</v>
      </c>
      <c r="D582" s="124"/>
      <c r="E582" s="124"/>
      <c r="F582" s="124"/>
      <c r="G582" s="124"/>
      <c r="H582" s="124"/>
      <c r="I582" s="126"/>
    </row>
    <row r="583" spans="1:9" ht="15.75" customHeight="1" x14ac:dyDescent="0.2">
      <c r="A583" s="201"/>
      <c r="B583" s="202"/>
      <c r="C583" s="122" t="s">
        <v>23</v>
      </c>
      <c r="D583" s="158"/>
      <c r="E583" s="158"/>
      <c r="F583" s="158"/>
      <c r="G583" s="158"/>
      <c r="H583" s="158"/>
      <c r="I583" s="159"/>
    </row>
    <row r="584" spans="1:9" ht="15.75" customHeight="1" x14ac:dyDescent="0.2">
      <c r="A584" s="201"/>
      <c r="B584" s="202"/>
      <c r="C584" s="26" t="s">
        <v>14</v>
      </c>
      <c r="D584" s="160"/>
      <c r="E584" s="160"/>
      <c r="F584" s="160"/>
      <c r="G584" s="160"/>
      <c r="H584" s="160"/>
      <c r="I584" s="161"/>
    </row>
    <row r="585" spans="1:9" ht="15.75" customHeight="1" x14ac:dyDescent="0.2">
      <c r="A585" s="201">
        <v>117</v>
      </c>
      <c r="B585" s="202" t="str">
        <f>IFERROR(VLOOKUP(A585,'Heat Sheet'!$A:$I, 2, FALSE), "")</f>
        <v/>
      </c>
      <c r="C585" s="129" t="str" cm="1">
        <f t="array" aca="1" ref="C585" ca="1">_xlfn.LET(_xlpm.VAL, INDEX('Heat Sheet'!$A:$I, _xlfn.XMATCH(INDIRECT("A"&amp;ROW()),'Heat Sheet'!$A:$A), COLUMN()), IF(ISNA(_xlpm.VAL), "", IF(_xlpm.VAL=0, "", _xlpm.VAL)))</f>
        <v/>
      </c>
      <c r="D585" s="154" t="str" cm="1">
        <f t="array" aca="1" ref="D585" ca="1">_xlfn.LET(_xlpm.VAL, INDEX('Heat Sheet'!$A:$I, _xlfn.XMATCH(INDIRECT("A"&amp;ROW()),'Heat Sheet'!$A:$A), COLUMN()), IF(ISNA(_xlpm.VAL), "", IF(_xlpm.VAL=0, "", _xlpm.VAL)))</f>
        <v/>
      </c>
      <c r="E585" s="154" t="str" cm="1">
        <f t="array" aca="1" ref="E585" ca="1">_xlfn.LET(_xlpm.VAL, INDEX('Heat Sheet'!$A:$I, _xlfn.XMATCH(INDIRECT("A"&amp;ROW()),'Heat Sheet'!$A:$A), COLUMN()), IF(ISNA(_xlpm.VAL), "", IF(_xlpm.VAL=0, "", _xlpm.VAL)))</f>
        <v/>
      </c>
      <c r="F585" s="154" t="str" cm="1">
        <f t="array" aca="1" ref="F585" ca="1">_xlfn.LET(_xlpm.VAL, INDEX('Heat Sheet'!$A:$I, _xlfn.XMATCH(INDIRECT("A"&amp;ROW()),'Heat Sheet'!$A:$A), COLUMN()), IF(ISNA(_xlpm.VAL), "", IF(_xlpm.VAL=0, "", _xlpm.VAL)))</f>
        <v/>
      </c>
      <c r="G585" s="154" t="str" cm="1">
        <f t="array" aca="1" ref="G585" ca="1">_xlfn.LET(_xlpm.VAL, INDEX('Heat Sheet'!$A:$I, _xlfn.XMATCH(INDIRECT("A"&amp;ROW()),'Heat Sheet'!$A:$A), COLUMN()), IF(ISNA(_xlpm.VAL), "", IF(_xlpm.VAL=0, "", _xlpm.VAL)))</f>
        <v/>
      </c>
      <c r="H585" s="154" t="str" cm="1">
        <f t="array" aca="1" ref="H585" ca="1">_xlfn.LET(_xlpm.VAL, INDEX('Heat Sheet'!$A:$I, _xlfn.XMATCH(INDIRECT("A"&amp;ROW()),'Heat Sheet'!$A:$A), COLUMN()), IF(ISNA(_xlpm.VAL), "", IF(_xlpm.VAL=0, "", _xlpm.VAL)))</f>
        <v/>
      </c>
      <c r="I585" s="155" t="str" cm="1">
        <f t="array" aca="1" ref="I585" ca="1">_xlfn.LET(_xlpm.VAL, INDEX('Heat Sheet'!$A:$I, _xlfn.XMATCH(INDIRECT("A"&amp;ROW()),'Heat Sheet'!$A:$A), COLUMN()), IF(ISNA(_xlpm.VAL), "", IF(_xlpm.VAL=0, "", _xlpm.VAL)))</f>
        <v/>
      </c>
    </row>
    <row r="586" spans="1:9" ht="15.75" customHeight="1" x14ac:dyDescent="0.2">
      <c r="A586" s="201"/>
      <c r="B586" s="202"/>
      <c r="C586" s="129" t="str" cm="1">
        <f t="array" aca="1" ref="C586" ca="1">_xlfn.LET(_xlpm.VAL, INDEX('Heat Sheet'!$A:$I, _xlfn.XMATCH(INDIRECT("A"&amp;ROW()-1),'Heat Sheet'!$A:$A)+1, COLUMN()), IF(ISNA(_xlpm.VAL), "", IF(_xlpm.VAL=0, "", _xlpm.VAL)))</f>
        <v/>
      </c>
      <c r="D586" s="154" t="str" cm="1">
        <f t="array" aca="1" ref="D586" ca="1">_xlfn.LET(_xlpm.VAL, INDEX('Heat Sheet'!$A:$I, _xlfn.XMATCH(INDIRECT("A"&amp;ROW()-1),'Heat Sheet'!$A:$A)+1, COLUMN()), IF(ISNA(_xlpm.VAL), "", IF(_xlpm.VAL=0, "", _xlpm.VAL)))</f>
        <v/>
      </c>
      <c r="E586" s="154" t="str" cm="1">
        <f t="array" aca="1" ref="E586" ca="1">_xlfn.LET(_xlpm.VAL, INDEX('Heat Sheet'!$A:$I, _xlfn.XMATCH(INDIRECT("A"&amp;ROW()-1),'Heat Sheet'!$A:$A)+1, COLUMN()), IF(ISNA(_xlpm.VAL), "", IF(_xlpm.VAL=0, "", _xlpm.VAL)))</f>
        <v/>
      </c>
      <c r="F586" s="154" t="str" cm="1">
        <f t="array" aca="1" ref="F586" ca="1">_xlfn.LET(_xlpm.VAL, INDEX('Heat Sheet'!$A:$I, _xlfn.XMATCH(INDIRECT("A"&amp;ROW()-1),'Heat Sheet'!$A:$A)+1, COLUMN()), IF(ISNA(_xlpm.VAL), "", IF(_xlpm.VAL=0, "", _xlpm.VAL)))</f>
        <v/>
      </c>
      <c r="G586" s="154" t="str" cm="1">
        <f t="array" aca="1" ref="G586" ca="1">_xlfn.LET(_xlpm.VAL, INDEX('Heat Sheet'!$A:$I, _xlfn.XMATCH(INDIRECT("A"&amp;ROW()-1),'Heat Sheet'!$A:$A)+1, COLUMN()), IF(ISNA(_xlpm.VAL), "", IF(_xlpm.VAL=0, "", _xlpm.VAL)))</f>
        <v/>
      </c>
      <c r="H586" s="154" t="str" cm="1">
        <f t="array" aca="1" ref="H586" ca="1">_xlfn.LET(_xlpm.VAL, INDEX('Heat Sheet'!$A:$I, _xlfn.XMATCH(INDIRECT("A"&amp;ROW()-1),'Heat Sheet'!$A:$A)+1, COLUMN()), IF(ISNA(_xlpm.VAL), "", IF(_xlpm.VAL=0, "", _xlpm.VAL)))</f>
        <v/>
      </c>
      <c r="I586" s="155" t="str" cm="1">
        <f t="array" aca="1" ref="I586" ca="1">_xlfn.LET(_xlpm.VAL, INDEX('Heat Sheet'!$A:$I, _xlfn.XMATCH(INDIRECT("A"&amp;ROW()-1),'Heat Sheet'!$A:$A)+1, COLUMN()), IF(ISNA(_xlpm.VAL), "", IF(_xlpm.VAL=0, "", _xlpm.VAL)))</f>
        <v/>
      </c>
    </row>
    <row r="587" spans="1:9" ht="15.75" customHeight="1" x14ac:dyDescent="0.2">
      <c r="A587" s="201"/>
      <c r="B587" s="202"/>
      <c r="C587" s="122" t="s">
        <v>22</v>
      </c>
      <c r="D587" s="124"/>
      <c r="E587" s="124"/>
      <c r="F587" s="124"/>
      <c r="G587" s="124"/>
      <c r="H587" s="124"/>
      <c r="I587" s="126"/>
    </row>
    <row r="588" spans="1:9" ht="15.75" customHeight="1" x14ac:dyDescent="0.2">
      <c r="A588" s="201"/>
      <c r="B588" s="202"/>
      <c r="C588" s="122" t="s">
        <v>23</v>
      </c>
      <c r="D588" s="158"/>
      <c r="E588" s="158"/>
      <c r="F588" s="158"/>
      <c r="G588" s="158"/>
      <c r="H588" s="158"/>
      <c r="I588" s="159"/>
    </row>
    <row r="589" spans="1:9" ht="15.75" customHeight="1" x14ac:dyDescent="0.2">
      <c r="A589" s="201"/>
      <c r="B589" s="202"/>
      <c r="C589" s="26" t="s">
        <v>14</v>
      </c>
      <c r="D589" s="160"/>
      <c r="E589" s="160"/>
      <c r="F589" s="160"/>
      <c r="G589" s="160"/>
      <c r="H589" s="160"/>
      <c r="I589" s="161"/>
    </row>
    <row r="590" spans="1:9" ht="15.75" customHeight="1" x14ac:dyDescent="0.2">
      <c r="A590" s="201">
        <v>118</v>
      </c>
      <c r="B590" s="202" t="str">
        <f>IFERROR(VLOOKUP(A590,'Heat Sheet'!$A:$I, 2, FALSE), "")</f>
        <v/>
      </c>
      <c r="C590" s="129" t="str" cm="1">
        <f t="array" aca="1" ref="C590" ca="1">_xlfn.LET(_xlpm.VAL, INDEX('Heat Sheet'!$A:$I, _xlfn.XMATCH(INDIRECT("A"&amp;ROW()),'Heat Sheet'!$A:$A), COLUMN()), IF(ISNA(_xlpm.VAL), "", IF(_xlpm.VAL=0, "", _xlpm.VAL)))</f>
        <v/>
      </c>
      <c r="D590" s="154" t="str" cm="1">
        <f t="array" aca="1" ref="D590" ca="1">_xlfn.LET(_xlpm.VAL, INDEX('Heat Sheet'!$A:$I, _xlfn.XMATCH(INDIRECT("A"&amp;ROW()),'Heat Sheet'!$A:$A), COLUMN()), IF(ISNA(_xlpm.VAL), "", IF(_xlpm.VAL=0, "", _xlpm.VAL)))</f>
        <v/>
      </c>
      <c r="E590" s="154" t="str" cm="1">
        <f t="array" aca="1" ref="E590" ca="1">_xlfn.LET(_xlpm.VAL, INDEX('Heat Sheet'!$A:$I, _xlfn.XMATCH(INDIRECT("A"&amp;ROW()),'Heat Sheet'!$A:$A), COLUMN()), IF(ISNA(_xlpm.VAL), "", IF(_xlpm.VAL=0, "", _xlpm.VAL)))</f>
        <v/>
      </c>
      <c r="F590" s="154" t="str" cm="1">
        <f t="array" aca="1" ref="F590" ca="1">_xlfn.LET(_xlpm.VAL, INDEX('Heat Sheet'!$A:$I, _xlfn.XMATCH(INDIRECT("A"&amp;ROW()),'Heat Sheet'!$A:$A), COLUMN()), IF(ISNA(_xlpm.VAL), "", IF(_xlpm.VAL=0, "", _xlpm.VAL)))</f>
        <v/>
      </c>
      <c r="G590" s="154" t="str" cm="1">
        <f t="array" aca="1" ref="G590" ca="1">_xlfn.LET(_xlpm.VAL, INDEX('Heat Sheet'!$A:$I, _xlfn.XMATCH(INDIRECT("A"&amp;ROW()),'Heat Sheet'!$A:$A), COLUMN()), IF(ISNA(_xlpm.VAL), "", IF(_xlpm.VAL=0, "", _xlpm.VAL)))</f>
        <v/>
      </c>
      <c r="H590" s="154" t="str" cm="1">
        <f t="array" aca="1" ref="H590" ca="1">_xlfn.LET(_xlpm.VAL, INDEX('Heat Sheet'!$A:$I, _xlfn.XMATCH(INDIRECT("A"&amp;ROW()),'Heat Sheet'!$A:$A), COLUMN()), IF(ISNA(_xlpm.VAL), "", IF(_xlpm.VAL=0, "", _xlpm.VAL)))</f>
        <v/>
      </c>
      <c r="I590" s="155" t="str" cm="1">
        <f t="array" aca="1" ref="I590" ca="1">_xlfn.LET(_xlpm.VAL, INDEX('Heat Sheet'!$A:$I, _xlfn.XMATCH(INDIRECT("A"&amp;ROW()),'Heat Sheet'!$A:$A), COLUMN()), IF(ISNA(_xlpm.VAL), "", IF(_xlpm.VAL=0, "", _xlpm.VAL)))</f>
        <v/>
      </c>
    </row>
    <row r="591" spans="1:9" ht="15.75" customHeight="1" x14ac:dyDescent="0.2">
      <c r="A591" s="201"/>
      <c r="B591" s="202"/>
      <c r="C591" s="129" t="str" cm="1">
        <f t="array" aca="1" ref="C591" ca="1">_xlfn.LET(_xlpm.VAL, INDEX('Heat Sheet'!$A:$I, _xlfn.XMATCH(INDIRECT("A"&amp;ROW()-1),'Heat Sheet'!$A:$A)+1, COLUMN()), IF(ISNA(_xlpm.VAL), "", IF(_xlpm.VAL=0, "", _xlpm.VAL)))</f>
        <v/>
      </c>
      <c r="D591" s="154" t="str" cm="1">
        <f t="array" aca="1" ref="D591" ca="1">_xlfn.LET(_xlpm.VAL, INDEX('Heat Sheet'!$A:$I, _xlfn.XMATCH(INDIRECT("A"&amp;ROW()-1),'Heat Sheet'!$A:$A)+1, COLUMN()), IF(ISNA(_xlpm.VAL), "", IF(_xlpm.VAL=0, "", _xlpm.VAL)))</f>
        <v/>
      </c>
      <c r="E591" s="154" t="str" cm="1">
        <f t="array" aca="1" ref="E591" ca="1">_xlfn.LET(_xlpm.VAL, INDEX('Heat Sheet'!$A:$I, _xlfn.XMATCH(INDIRECT("A"&amp;ROW()-1),'Heat Sheet'!$A:$A)+1, COLUMN()), IF(ISNA(_xlpm.VAL), "", IF(_xlpm.VAL=0, "", _xlpm.VAL)))</f>
        <v/>
      </c>
      <c r="F591" s="154" t="str" cm="1">
        <f t="array" aca="1" ref="F591" ca="1">_xlfn.LET(_xlpm.VAL, INDEX('Heat Sheet'!$A:$I, _xlfn.XMATCH(INDIRECT("A"&amp;ROW()-1),'Heat Sheet'!$A:$A)+1, COLUMN()), IF(ISNA(_xlpm.VAL), "", IF(_xlpm.VAL=0, "", _xlpm.VAL)))</f>
        <v/>
      </c>
      <c r="G591" s="154" t="str" cm="1">
        <f t="array" aca="1" ref="G591" ca="1">_xlfn.LET(_xlpm.VAL, INDEX('Heat Sheet'!$A:$I, _xlfn.XMATCH(INDIRECT("A"&amp;ROW()-1),'Heat Sheet'!$A:$A)+1, COLUMN()), IF(ISNA(_xlpm.VAL), "", IF(_xlpm.VAL=0, "", _xlpm.VAL)))</f>
        <v/>
      </c>
      <c r="H591" s="154" t="str" cm="1">
        <f t="array" aca="1" ref="H591" ca="1">_xlfn.LET(_xlpm.VAL, INDEX('Heat Sheet'!$A:$I, _xlfn.XMATCH(INDIRECT("A"&amp;ROW()-1),'Heat Sheet'!$A:$A)+1, COLUMN()), IF(ISNA(_xlpm.VAL), "", IF(_xlpm.VAL=0, "", _xlpm.VAL)))</f>
        <v/>
      </c>
      <c r="I591" s="155" t="str" cm="1">
        <f t="array" aca="1" ref="I591" ca="1">_xlfn.LET(_xlpm.VAL, INDEX('Heat Sheet'!$A:$I, _xlfn.XMATCH(INDIRECT("A"&amp;ROW()-1),'Heat Sheet'!$A:$A)+1, COLUMN()), IF(ISNA(_xlpm.VAL), "", IF(_xlpm.VAL=0, "", _xlpm.VAL)))</f>
        <v/>
      </c>
    </row>
    <row r="592" spans="1:9" ht="15.75" customHeight="1" x14ac:dyDescent="0.2">
      <c r="A592" s="201"/>
      <c r="B592" s="202"/>
      <c r="C592" s="122" t="s">
        <v>22</v>
      </c>
      <c r="D592" s="124"/>
      <c r="E592" s="124"/>
      <c r="F592" s="124"/>
      <c r="G592" s="124"/>
      <c r="H592" s="124"/>
      <c r="I592" s="126"/>
    </row>
    <row r="593" spans="1:9" ht="15.75" customHeight="1" x14ac:dyDescent="0.2">
      <c r="A593" s="201"/>
      <c r="B593" s="202"/>
      <c r="C593" s="122" t="s">
        <v>23</v>
      </c>
      <c r="D593" s="158"/>
      <c r="E593" s="158"/>
      <c r="F593" s="158"/>
      <c r="G593" s="158"/>
      <c r="H593" s="158"/>
      <c r="I593" s="159"/>
    </row>
    <row r="594" spans="1:9" ht="15.75" customHeight="1" x14ac:dyDescent="0.2">
      <c r="A594" s="201"/>
      <c r="B594" s="202"/>
      <c r="C594" s="26" t="s">
        <v>14</v>
      </c>
      <c r="D594" s="160"/>
      <c r="E594" s="160"/>
      <c r="F594" s="160"/>
      <c r="G594" s="160"/>
      <c r="H594" s="160"/>
      <c r="I594" s="161"/>
    </row>
    <row r="595" spans="1:9" ht="15.75" customHeight="1" x14ac:dyDescent="0.2">
      <c r="A595" s="201">
        <v>119</v>
      </c>
      <c r="B595" s="202" t="str">
        <f>IFERROR(VLOOKUP(A595,'Heat Sheet'!$A:$I, 2, FALSE), "")</f>
        <v/>
      </c>
      <c r="C595" s="129" t="str" cm="1">
        <f t="array" aca="1" ref="C595" ca="1">_xlfn.LET(_xlpm.VAL, INDEX('Heat Sheet'!$A:$I, _xlfn.XMATCH(INDIRECT("A"&amp;ROW()),'Heat Sheet'!$A:$A), COLUMN()), IF(ISNA(_xlpm.VAL), "", IF(_xlpm.VAL=0, "", _xlpm.VAL)))</f>
        <v/>
      </c>
      <c r="D595" s="154" t="str" cm="1">
        <f t="array" aca="1" ref="D595" ca="1">_xlfn.LET(_xlpm.VAL, INDEX('Heat Sheet'!$A:$I, _xlfn.XMATCH(INDIRECT("A"&amp;ROW()),'Heat Sheet'!$A:$A), COLUMN()), IF(ISNA(_xlpm.VAL), "", IF(_xlpm.VAL=0, "", _xlpm.VAL)))</f>
        <v/>
      </c>
      <c r="E595" s="154" t="str" cm="1">
        <f t="array" aca="1" ref="E595" ca="1">_xlfn.LET(_xlpm.VAL, INDEX('Heat Sheet'!$A:$I, _xlfn.XMATCH(INDIRECT("A"&amp;ROW()),'Heat Sheet'!$A:$A), COLUMN()), IF(ISNA(_xlpm.VAL), "", IF(_xlpm.VAL=0, "", _xlpm.VAL)))</f>
        <v/>
      </c>
      <c r="F595" s="154" t="str" cm="1">
        <f t="array" aca="1" ref="F595" ca="1">_xlfn.LET(_xlpm.VAL, INDEX('Heat Sheet'!$A:$I, _xlfn.XMATCH(INDIRECT("A"&amp;ROW()),'Heat Sheet'!$A:$A), COLUMN()), IF(ISNA(_xlpm.VAL), "", IF(_xlpm.VAL=0, "", _xlpm.VAL)))</f>
        <v/>
      </c>
      <c r="G595" s="154" t="str" cm="1">
        <f t="array" aca="1" ref="G595" ca="1">_xlfn.LET(_xlpm.VAL, INDEX('Heat Sheet'!$A:$I, _xlfn.XMATCH(INDIRECT("A"&amp;ROW()),'Heat Sheet'!$A:$A), COLUMN()), IF(ISNA(_xlpm.VAL), "", IF(_xlpm.VAL=0, "", _xlpm.VAL)))</f>
        <v/>
      </c>
      <c r="H595" s="154" t="str" cm="1">
        <f t="array" aca="1" ref="H595" ca="1">_xlfn.LET(_xlpm.VAL, INDEX('Heat Sheet'!$A:$I, _xlfn.XMATCH(INDIRECT("A"&amp;ROW()),'Heat Sheet'!$A:$A), COLUMN()), IF(ISNA(_xlpm.VAL), "", IF(_xlpm.VAL=0, "", _xlpm.VAL)))</f>
        <v/>
      </c>
      <c r="I595" s="155" t="str" cm="1">
        <f t="array" aca="1" ref="I595" ca="1">_xlfn.LET(_xlpm.VAL, INDEX('Heat Sheet'!$A:$I, _xlfn.XMATCH(INDIRECT("A"&amp;ROW()),'Heat Sheet'!$A:$A), COLUMN()), IF(ISNA(_xlpm.VAL), "", IF(_xlpm.VAL=0, "", _xlpm.VAL)))</f>
        <v/>
      </c>
    </row>
    <row r="596" spans="1:9" ht="15.75" customHeight="1" x14ac:dyDescent="0.2">
      <c r="A596" s="201"/>
      <c r="B596" s="202"/>
      <c r="C596" s="129" t="str" cm="1">
        <f t="array" aca="1" ref="C596" ca="1">_xlfn.LET(_xlpm.VAL, INDEX('Heat Sheet'!$A:$I, _xlfn.XMATCH(INDIRECT("A"&amp;ROW()-1),'Heat Sheet'!$A:$A)+1, COLUMN()), IF(ISNA(_xlpm.VAL), "", IF(_xlpm.VAL=0, "", _xlpm.VAL)))</f>
        <v/>
      </c>
      <c r="D596" s="154" t="str" cm="1">
        <f t="array" aca="1" ref="D596" ca="1">_xlfn.LET(_xlpm.VAL, INDEX('Heat Sheet'!$A:$I, _xlfn.XMATCH(INDIRECT("A"&amp;ROW()-1),'Heat Sheet'!$A:$A)+1, COLUMN()), IF(ISNA(_xlpm.VAL), "", IF(_xlpm.VAL=0, "", _xlpm.VAL)))</f>
        <v/>
      </c>
      <c r="E596" s="154" t="str" cm="1">
        <f t="array" aca="1" ref="E596" ca="1">_xlfn.LET(_xlpm.VAL, INDEX('Heat Sheet'!$A:$I, _xlfn.XMATCH(INDIRECT("A"&amp;ROW()-1),'Heat Sheet'!$A:$A)+1, COLUMN()), IF(ISNA(_xlpm.VAL), "", IF(_xlpm.VAL=0, "", _xlpm.VAL)))</f>
        <v/>
      </c>
      <c r="F596" s="154" t="str" cm="1">
        <f t="array" aca="1" ref="F596" ca="1">_xlfn.LET(_xlpm.VAL, INDEX('Heat Sheet'!$A:$I, _xlfn.XMATCH(INDIRECT("A"&amp;ROW()-1),'Heat Sheet'!$A:$A)+1, COLUMN()), IF(ISNA(_xlpm.VAL), "", IF(_xlpm.VAL=0, "", _xlpm.VAL)))</f>
        <v/>
      </c>
      <c r="G596" s="154" t="str" cm="1">
        <f t="array" aca="1" ref="G596" ca="1">_xlfn.LET(_xlpm.VAL, INDEX('Heat Sheet'!$A:$I, _xlfn.XMATCH(INDIRECT("A"&amp;ROW()-1),'Heat Sheet'!$A:$A)+1, COLUMN()), IF(ISNA(_xlpm.VAL), "", IF(_xlpm.VAL=0, "", _xlpm.VAL)))</f>
        <v/>
      </c>
      <c r="H596" s="154" t="str" cm="1">
        <f t="array" aca="1" ref="H596" ca="1">_xlfn.LET(_xlpm.VAL, INDEX('Heat Sheet'!$A:$I, _xlfn.XMATCH(INDIRECT("A"&amp;ROW()-1),'Heat Sheet'!$A:$A)+1, COLUMN()), IF(ISNA(_xlpm.VAL), "", IF(_xlpm.VAL=0, "", _xlpm.VAL)))</f>
        <v/>
      </c>
      <c r="I596" s="155" t="str" cm="1">
        <f t="array" aca="1" ref="I596" ca="1">_xlfn.LET(_xlpm.VAL, INDEX('Heat Sheet'!$A:$I, _xlfn.XMATCH(INDIRECT("A"&amp;ROW()-1),'Heat Sheet'!$A:$A)+1, COLUMN()), IF(ISNA(_xlpm.VAL), "", IF(_xlpm.VAL=0, "", _xlpm.VAL)))</f>
        <v/>
      </c>
    </row>
    <row r="597" spans="1:9" ht="15.75" customHeight="1" x14ac:dyDescent="0.2">
      <c r="A597" s="201"/>
      <c r="B597" s="202"/>
      <c r="C597" s="122" t="s">
        <v>22</v>
      </c>
      <c r="D597" s="124"/>
      <c r="E597" s="124"/>
      <c r="F597" s="124"/>
      <c r="G597" s="124"/>
      <c r="H597" s="124"/>
      <c r="I597" s="126"/>
    </row>
    <row r="598" spans="1:9" ht="15.75" customHeight="1" x14ac:dyDescent="0.2">
      <c r="A598" s="201"/>
      <c r="B598" s="202"/>
      <c r="C598" s="122" t="s">
        <v>23</v>
      </c>
      <c r="D598" s="158"/>
      <c r="E598" s="158"/>
      <c r="F598" s="158"/>
      <c r="G598" s="158"/>
      <c r="H598" s="158"/>
      <c r="I598" s="159"/>
    </row>
    <row r="599" spans="1:9" ht="15.75" customHeight="1" x14ac:dyDescent="0.2">
      <c r="A599" s="201"/>
      <c r="B599" s="202"/>
      <c r="C599" s="26" t="s">
        <v>14</v>
      </c>
      <c r="D599" s="160"/>
      <c r="E599" s="160"/>
      <c r="F599" s="160"/>
      <c r="G599" s="160"/>
      <c r="H599" s="160"/>
      <c r="I599" s="161"/>
    </row>
    <row r="600" spans="1:9" ht="15.75" customHeight="1" x14ac:dyDescent="0.2">
      <c r="A600" s="201">
        <v>120</v>
      </c>
      <c r="B600" s="202" t="str">
        <f>IFERROR(VLOOKUP(A600,'Heat Sheet'!$A:$I, 2, FALSE), "")</f>
        <v/>
      </c>
      <c r="C600" s="129" t="str" cm="1">
        <f t="array" aca="1" ref="C600" ca="1">_xlfn.LET(_xlpm.VAL, INDEX('Heat Sheet'!$A:$I, _xlfn.XMATCH(INDIRECT("A"&amp;ROW()),'Heat Sheet'!$A:$A), COLUMN()), IF(ISNA(_xlpm.VAL), "", IF(_xlpm.VAL=0, "", _xlpm.VAL)))</f>
        <v/>
      </c>
      <c r="D600" s="154" t="str" cm="1">
        <f t="array" aca="1" ref="D600" ca="1">_xlfn.LET(_xlpm.VAL, INDEX('Heat Sheet'!$A:$I, _xlfn.XMATCH(INDIRECT("A"&amp;ROW()),'Heat Sheet'!$A:$A), COLUMN()), IF(ISNA(_xlpm.VAL), "", IF(_xlpm.VAL=0, "", _xlpm.VAL)))</f>
        <v/>
      </c>
      <c r="E600" s="154" t="str" cm="1">
        <f t="array" aca="1" ref="E600" ca="1">_xlfn.LET(_xlpm.VAL, INDEX('Heat Sheet'!$A:$I, _xlfn.XMATCH(INDIRECT("A"&amp;ROW()),'Heat Sheet'!$A:$A), COLUMN()), IF(ISNA(_xlpm.VAL), "", IF(_xlpm.VAL=0, "", _xlpm.VAL)))</f>
        <v/>
      </c>
      <c r="F600" s="154" t="str" cm="1">
        <f t="array" aca="1" ref="F600" ca="1">_xlfn.LET(_xlpm.VAL, INDEX('Heat Sheet'!$A:$I, _xlfn.XMATCH(INDIRECT("A"&amp;ROW()),'Heat Sheet'!$A:$A), COLUMN()), IF(ISNA(_xlpm.VAL), "", IF(_xlpm.VAL=0, "", _xlpm.VAL)))</f>
        <v/>
      </c>
      <c r="G600" s="154" t="str" cm="1">
        <f t="array" aca="1" ref="G600" ca="1">_xlfn.LET(_xlpm.VAL, INDEX('Heat Sheet'!$A:$I, _xlfn.XMATCH(INDIRECT("A"&amp;ROW()),'Heat Sheet'!$A:$A), COLUMN()), IF(ISNA(_xlpm.VAL), "", IF(_xlpm.VAL=0, "", _xlpm.VAL)))</f>
        <v/>
      </c>
      <c r="H600" s="154" t="str" cm="1">
        <f t="array" aca="1" ref="H600" ca="1">_xlfn.LET(_xlpm.VAL, INDEX('Heat Sheet'!$A:$I, _xlfn.XMATCH(INDIRECT("A"&amp;ROW()),'Heat Sheet'!$A:$A), COLUMN()), IF(ISNA(_xlpm.VAL), "", IF(_xlpm.VAL=0, "", _xlpm.VAL)))</f>
        <v/>
      </c>
      <c r="I600" s="155" t="str" cm="1">
        <f t="array" aca="1" ref="I600" ca="1">_xlfn.LET(_xlpm.VAL, INDEX('Heat Sheet'!$A:$I, _xlfn.XMATCH(INDIRECT("A"&amp;ROW()),'Heat Sheet'!$A:$A), COLUMN()), IF(ISNA(_xlpm.VAL), "", IF(_xlpm.VAL=0, "", _xlpm.VAL)))</f>
        <v/>
      </c>
    </row>
    <row r="601" spans="1:9" ht="15.75" customHeight="1" x14ac:dyDescent="0.2">
      <c r="A601" s="201"/>
      <c r="B601" s="202"/>
      <c r="C601" s="129" t="str" cm="1">
        <f t="array" aca="1" ref="C601" ca="1">_xlfn.LET(_xlpm.VAL, INDEX('Heat Sheet'!$A:$I, _xlfn.XMATCH(INDIRECT("A"&amp;ROW()-1),'Heat Sheet'!$A:$A)+1, COLUMN()), IF(ISNA(_xlpm.VAL), "", IF(_xlpm.VAL=0, "", _xlpm.VAL)))</f>
        <v/>
      </c>
      <c r="D601" s="154" t="str" cm="1">
        <f t="array" aca="1" ref="D601" ca="1">_xlfn.LET(_xlpm.VAL, INDEX('Heat Sheet'!$A:$I, _xlfn.XMATCH(INDIRECT("A"&amp;ROW()-1),'Heat Sheet'!$A:$A)+1, COLUMN()), IF(ISNA(_xlpm.VAL), "", IF(_xlpm.VAL=0, "", _xlpm.VAL)))</f>
        <v/>
      </c>
      <c r="E601" s="154" t="str" cm="1">
        <f t="array" aca="1" ref="E601" ca="1">_xlfn.LET(_xlpm.VAL, INDEX('Heat Sheet'!$A:$I, _xlfn.XMATCH(INDIRECT("A"&amp;ROW()-1),'Heat Sheet'!$A:$A)+1, COLUMN()), IF(ISNA(_xlpm.VAL), "", IF(_xlpm.VAL=0, "", _xlpm.VAL)))</f>
        <v/>
      </c>
      <c r="F601" s="154" t="str" cm="1">
        <f t="array" aca="1" ref="F601" ca="1">_xlfn.LET(_xlpm.VAL, INDEX('Heat Sheet'!$A:$I, _xlfn.XMATCH(INDIRECT("A"&amp;ROW()-1),'Heat Sheet'!$A:$A)+1, COLUMN()), IF(ISNA(_xlpm.VAL), "", IF(_xlpm.VAL=0, "", _xlpm.VAL)))</f>
        <v/>
      </c>
      <c r="G601" s="154" t="str" cm="1">
        <f t="array" aca="1" ref="G601" ca="1">_xlfn.LET(_xlpm.VAL, INDEX('Heat Sheet'!$A:$I, _xlfn.XMATCH(INDIRECT("A"&amp;ROW()-1),'Heat Sheet'!$A:$A)+1, COLUMN()), IF(ISNA(_xlpm.VAL), "", IF(_xlpm.VAL=0, "", _xlpm.VAL)))</f>
        <v/>
      </c>
      <c r="H601" s="154" t="str" cm="1">
        <f t="array" aca="1" ref="H601" ca="1">_xlfn.LET(_xlpm.VAL, INDEX('Heat Sheet'!$A:$I, _xlfn.XMATCH(INDIRECT("A"&amp;ROW()-1),'Heat Sheet'!$A:$A)+1, COLUMN()), IF(ISNA(_xlpm.VAL), "", IF(_xlpm.VAL=0, "", _xlpm.VAL)))</f>
        <v/>
      </c>
      <c r="I601" s="155" t="str" cm="1">
        <f t="array" aca="1" ref="I601" ca="1">_xlfn.LET(_xlpm.VAL, INDEX('Heat Sheet'!$A:$I, _xlfn.XMATCH(INDIRECT("A"&amp;ROW()-1),'Heat Sheet'!$A:$A)+1, COLUMN()), IF(ISNA(_xlpm.VAL), "", IF(_xlpm.VAL=0, "", _xlpm.VAL)))</f>
        <v/>
      </c>
    </row>
    <row r="602" spans="1:9" ht="15.75" customHeight="1" x14ac:dyDescent="0.2">
      <c r="A602" s="201"/>
      <c r="B602" s="202"/>
      <c r="C602" s="122" t="s">
        <v>22</v>
      </c>
      <c r="D602" s="124"/>
      <c r="E602" s="124"/>
      <c r="F602" s="124"/>
      <c r="G602" s="124"/>
      <c r="H602" s="124"/>
      <c r="I602" s="126"/>
    </row>
    <row r="603" spans="1:9" ht="15.75" customHeight="1" x14ac:dyDescent="0.2">
      <c r="A603" s="201"/>
      <c r="B603" s="202"/>
      <c r="C603" s="122" t="s">
        <v>23</v>
      </c>
      <c r="D603" s="158"/>
      <c r="E603" s="158"/>
      <c r="F603" s="158"/>
      <c r="G603" s="158"/>
      <c r="H603" s="158"/>
      <c r="I603" s="159"/>
    </row>
    <row r="604" spans="1:9" ht="15.75" customHeight="1" x14ac:dyDescent="0.2">
      <c r="A604" s="203"/>
      <c r="B604" s="204"/>
      <c r="C604" s="171" t="s">
        <v>14</v>
      </c>
      <c r="D604" s="172"/>
      <c r="E604" s="172"/>
      <c r="F604" s="172"/>
      <c r="G604" s="172"/>
      <c r="H604" s="172"/>
      <c r="I604" s="173"/>
    </row>
    <row r="605" spans="1:9" ht="15.75" customHeight="1" x14ac:dyDescent="0.2">
      <c r="A605" s="199"/>
      <c r="B605" s="200"/>
      <c r="C605" s="165"/>
      <c r="D605" s="166"/>
      <c r="E605" s="166"/>
      <c r="F605" s="166"/>
      <c r="G605" s="166"/>
      <c r="H605" s="166"/>
      <c r="I605" s="166"/>
    </row>
    <row r="606" spans="1:9" ht="15.75" customHeight="1" x14ac:dyDescent="0.2">
      <c r="A606" s="199"/>
      <c r="B606" s="200"/>
      <c r="C606" s="165"/>
      <c r="D606" s="166"/>
      <c r="E606" s="166"/>
      <c r="F606" s="166"/>
      <c r="G606" s="166"/>
      <c r="H606" s="166"/>
      <c r="I606" s="166"/>
    </row>
    <row r="607" spans="1:9" ht="15.75" customHeight="1" x14ac:dyDescent="0.2">
      <c r="A607" s="199"/>
      <c r="B607" s="200"/>
      <c r="C607" s="9"/>
      <c r="D607" s="167"/>
      <c r="E607" s="167"/>
      <c r="F607" s="167"/>
      <c r="G607" s="167"/>
      <c r="H607" s="167"/>
      <c r="I607" s="168"/>
    </row>
    <row r="608" spans="1:9" ht="15.75" customHeight="1" x14ac:dyDescent="0.2">
      <c r="A608" s="199"/>
      <c r="B608" s="200"/>
      <c r="C608" s="9"/>
      <c r="D608" s="169"/>
      <c r="E608" s="169"/>
      <c r="F608" s="169"/>
      <c r="G608" s="169"/>
      <c r="H608" s="169"/>
      <c r="I608" s="170"/>
    </row>
    <row r="609" spans="1:9" ht="15.75" customHeight="1" x14ac:dyDescent="0.2">
      <c r="A609" s="199"/>
      <c r="B609" s="200"/>
      <c r="C609" s="165"/>
      <c r="D609" s="169"/>
      <c r="E609" s="169"/>
      <c r="F609" s="169"/>
      <c r="G609" s="169"/>
      <c r="H609" s="169"/>
      <c r="I609" s="170"/>
    </row>
    <row r="610" spans="1:9" ht="15.75" customHeight="1" x14ac:dyDescent="0.2">
      <c r="A610" s="199"/>
      <c r="B610" s="200"/>
      <c r="C610" s="165"/>
      <c r="D610" s="166"/>
      <c r="E610" s="166"/>
      <c r="F610" s="166"/>
      <c r="G610" s="166"/>
      <c r="H610" s="166"/>
      <c r="I610" s="166"/>
    </row>
    <row r="611" spans="1:9" ht="15.75" customHeight="1" x14ac:dyDescent="0.2">
      <c r="A611" s="199"/>
      <c r="B611" s="200"/>
      <c r="C611" s="165"/>
      <c r="D611" s="166"/>
      <c r="E611" s="166"/>
      <c r="F611" s="166"/>
      <c r="G611" s="166"/>
      <c r="H611" s="166"/>
      <c r="I611" s="166"/>
    </row>
    <row r="612" spans="1:9" ht="15.75" customHeight="1" x14ac:dyDescent="0.2">
      <c r="A612" s="199"/>
      <c r="B612" s="200"/>
      <c r="C612" s="9"/>
      <c r="D612" s="167"/>
      <c r="E612" s="167"/>
      <c r="F612" s="167"/>
      <c r="G612" s="167"/>
      <c r="H612" s="167"/>
      <c r="I612" s="168"/>
    </row>
    <row r="613" spans="1:9" ht="15.75" customHeight="1" x14ac:dyDescent="0.2">
      <c r="A613" s="199"/>
      <c r="B613" s="200"/>
      <c r="C613" s="9"/>
      <c r="D613" s="169"/>
      <c r="E613" s="169"/>
      <c r="F613" s="169"/>
      <c r="G613" s="169"/>
      <c r="H613" s="169"/>
      <c r="I613" s="170"/>
    </row>
    <row r="614" spans="1:9" ht="15.75" customHeight="1" x14ac:dyDescent="0.2">
      <c r="A614" s="199"/>
      <c r="B614" s="200"/>
      <c r="C614" s="165"/>
      <c r="D614" s="169"/>
      <c r="E614" s="169"/>
      <c r="F614" s="169"/>
      <c r="G614" s="169"/>
      <c r="H614" s="169"/>
      <c r="I614" s="170"/>
    </row>
    <row r="615" spans="1:9" ht="15.75" customHeight="1" x14ac:dyDescent="0.2">
      <c r="A615" s="199"/>
      <c r="B615" s="200"/>
      <c r="C615" s="165"/>
      <c r="D615" s="166"/>
      <c r="E615" s="166"/>
      <c r="F615" s="166"/>
      <c r="G615" s="166"/>
      <c r="H615" s="166"/>
      <c r="I615" s="166"/>
    </row>
    <row r="616" spans="1:9" ht="15.75" customHeight="1" x14ac:dyDescent="0.2">
      <c r="A616" s="199"/>
      <c r="B616" s="200"/>
      <c r="C616" s="165"/>
      <c r="D616" s="166"/>
      <c r="E616" s="166"/>
      <c r="F616" s="166"/>
      <c r="G616" s="166"/>
      <c r="H616" s="166"/>
      <c r="I616" s="166"/>
    </row>
    <row r="617" spans="1:9" ht="15.75" customHeight="1" x14ac:dyDescent="0.2">
      <c r="A617" s="199"/>
      <c r="B617" s="200"/>
      <c r="C617" s="9"/>
      <c r="D617" s="167"/>
      <c r="E617" s="167"/>
      <c r="F617" s="167"/>
      <c r="G617" s="167"/>
      <c r="H617" s="167"/>
      <c r="I617" s="168"/>
    </row>
    <row r="618" spans="1:9" ht="15.75" customHeight="1" x14ac:dyDescent="0.2">
      <c r="A618" s="199"/>
      <c r="B618" s="200"/>
      <c r="C618" s="9"/>
      <c r="D618" s="169"/>
      <c r="E618" s="169"/>
      <c r="F618" s="169"/>
      <c r="G618" s="169"/>
      <c r="H618" s="169"/>
      <c r="I618" s="170"/>
    </row>
    <row r="619" spans="1:9" ht="15.75" customHeight="1" x14ac:dyDescent="0.2">
      <c r="A619" s="199"/>
      <c r="B619" s="200"/>
      <c r="C619" s="165"/>
      <c r="D619" s="169"/>
      <c r="E619" s="169"/>
      <c r="F619" s="169"/>
      <c r="G619" s="169"/>
      <c r="H619" s="169"/>
      <c r="I619" s="170"/>
    </row>
    <row r="620" spans="1:9" ht="15.75" customHeight="1" x14ac:dyDescent="0.2">
      <c r="A620" s="199"/>
      <c r="B620" s="200"/>
      <c r="C620" s="165"/>
      <c r="D620" s="166"/>
      <c r="E620" s="166"/>
      <c r="F620" s="166"/>
      <c r="G620" s="166"/>
      <c r="H620" s="166"/>
      <c r="I620" s="166"/>
    </row>
    <row r="621" spans="1:9" ht="15.75" customHeight="1" x14ac:dyDescent="0.2">
      <c r="A621" s="199"/>
      <c r="B621" s="200"/>
      <c r="C621" s="165"/>
      <c r="D621" s="166"/>
      <c r="E621" s="166"/>
      <c r="F621" s="166"/>
      <c r="G621" s="166"/>
      <c r="H621" s="166"/>
      <c r="I621" s="166"/>
    </row>
    <row r="622" spans="1:9" ht="15.75" customHeight="1" x14ac:dyDescent="0.2">
      <c r="A622" s="199"/>
      <c r="B622" s="200"/>
      <c r="C622" s="9"/>
      <c r="D622" s="167"/>
      <c r="E622" s="167"/>
      <c r="F622" s="167"/>
      <c r="G622" s="167"/>
      <c r="H622" s="167"/>
      <c r="I622" s="168"/>
    </row>
    <row r="623" spans="1:9" ht="15.75" customHeight="1" x14ac:dyDescent="0.2">
      <c r="A623" s="199"/>
      <c r="B623" s="200"/>
      <c r="C623" s="9"/>
      <c r="D623" s="169"/>
      <c r="E623" s="169"/>
      <c r="F623" s="169"/>
      <c r="G623" s="169"/>
      <c r="H623" s="169"/>
      <c r="I623" s="170"/>
    </row>
    <row r="624" spans="1:9" ht="15.75" customHeight="1" x14ac:dyDescent="0.2">
      <c r="A624" s="199"/>
      <c r="B624" s="200"/>
      <c r="C624" s="165"/>
      <c r="D624" s="169"/>
      <c r="E624" s="169"/>
      <c r="F624" s="169"/>
      <c r="G624" s="169"/>
      <c r="H624" s="169"/>
      <c r="I624" s="170"/>
    </row>
    <row r="625" spans="1:9" ht="15.75" customHeight="1" x14ac:dyDescent="0.2">
      <c r="A625" s="199"/>
      <c r="B625" s="200"/>
      <c r="C625" s="165"/>
      <c r="D625" s="166"/>
      <c r="E625" s="166"/>
      <c r="F625" s="166"/>
      <c r="G625" s="166"/>
      <c r="H625" s="166"/>
      <c r="I625" s="166"/>
    </row>
    <row r="626" spans="1:9" ht="15.75" customHeight="1" x14ac:dyDescent="0.2">
      <c r="A626" s="199"/>
      <c r="B626" s="200"/>
      <c r="C626" s="165"/>
      <c r="D626" s="166"/>
      <c r="E626" s="166"/>
      <c r="F626" s="166"/>
      <c r="G626" s="166"/>
      <c r="H626" s="166"/>
      <c r="I626" s="166"/>
    </row>
    <row r="627" spans="1:9" ht="15.75" customHeight="1" x14ac:dyDescent="0.2">
      <c r="A627" s="199"/>
      <c r="B627" s="200"/>
      <c r="C627" s="9"/>
      <c r="D627" s="167"/>
      <c r="E627" s="167"/>
      <c r="F627" s="167"/>
      <c r="G627" s="167"/>
      <c r="H627" s="167"/>
      <c r="I627" s="168"/>
    </row>
    <row r="628" spans="1:9" ht="15.75" customHeight="1" x14ac:dyDescent="0.2">
      <c r="A628" s="199"/>
      <c r="B628" s="200"/>
      <c r="C628" s="9"/>
      <c r="D628" s="169"/>
      <c r="E628" s="169"/>
      <c r="F628" s="169"/>
      <c r="G628" s="169"/>
      <c r="H628" s="169"/>
      <c r="I628" s="170"/>
    </row>
    <row r="629" spans="1:9" ht="15.75" customHeight="1" x14ac:dyDescent="0.2">
      <c r="A629" s="199"/>
      <c r="B629" s="200"/>
      <c r="C629" s="165"/>
      <c r="D629" s="169"/>
      <c r="E629" s="169"/>
      <c r="F629" s="169"/>
      <c r="G629" s="169"/>
      <c r="H629" s="169"/>
      <c r="I629" s="170"/>
    </row>
    <row r="630" spans="1:9" ht="15.75" customHeight="1" x14ac:dyDescent="0.2">
      <c r="A630" s="199"/>
      <c r="B630" s="200"/>
      <c r="C630" s="165"/>
      <c r="D630" s="166"/>
      <c r="E630" s="166"/>
      <c r="F630" s="166"/>
      <c r="G630" s="166"/>
      <c r="H630" s="166"/>
      <c r="I630" s="166"/>
    </row>
    <row r="631" spans="1:9" ht="15.75" customHeight="1" x14ac:dyDescent="0.2">
      <c r="A631" s="199"/>
      <c r="B631" s="200"/>
      <c r="C631" s="165"/>
      <c r="D631" s="166"/>
      <c r="E631" s="166"/>
      <c r="F631" s="166"/>
      <c r="G631" s="166"/>
      <c r="H631" s="166"/>
      <c r="I631" s="166"/>
    </row>
    <row r="632" spans="1:9" ht="15.75" customHeight="1" x14ac:dyDescent="0.2">
      <c r="A632" s="199"/>
      <c r="B632" s="200"/>
      <c r="C632" s="9"/>
      <c r="D632" s="167"/>
      <c r="E632" s="167"/>
      <c r="F632" s="167"/>
      <c r="G632" s="167"/>
      <c r="H632" s="167"/>
      <c r="I632" s="168"/>
    </row>
    <row r="633" spans="1:9" ht="15.75" customHeight="1" x14ac:dyDescent="0.2">
      <c r="A633" s="199"/>
      <c r="B633" s="200"/>
      <c r="C633" s="9"/>
      <c r="D633" s="169"/>
      <c r="E633" s="169"/>
      <c r="F633" s="169"/>
      <c r="G633" s="169"/>
      <c r="H633" s="169"/>
      <c r="I633" s="170"/>
    </row>
    <row r="634" spans="1:9" ht="15.75" customHeight="1" x14ac:dyDescent="0.2">
      <c r="A634" s="199"/>
      <c r="B634" s="200"/>
      <c r="C634" s="165"/>
      <c r="D634" s="169"/>
      <c r="E634" s="169"/>
      <c r="F634" s="169"/>
      <c r="G634" s="169"/>
      <c r="H634" s="169"/>
      <c r="I634" s="170"/>
    </row>
    <row r="635" spans="1:9" ht="15.75" customHeight="1" x14ac:dyDescent="0.2">
      <c r="A635" s="199"/>
      <c r="B635" s="200"/>
      <c r="C635" s="165"/>
      <c r="D635" s="166"/>
      <c r="E635" s="166"/>
      <c r="F635" s="166"/>
      <c r="G635" s="166"/>
      <c r="H635" s="166"/>
      <c r="I635" s="166"/>
    </row>
    <row r="636" spans="1:9" ht="15.75" customHeight="1" x14ac:dyDescent="0.2">
      <c r="A636" s="199"/>
      <c r="B636" s="200"/>
      <c r="C636" s="165"/>
      <c r="D636" s="166"/>
      <c r="E636" s="166"/>
      <c r="F636" s="166"/>
      <c r="G636" s="166"/>
      <c r="H636" s="166"/>
      <c r="I636" s="166"/>
    </row>
    <row r="637" spans="1:9" ht="15.75" customHeight="1" x14ac:dyDescent="0.2">
      <c r="A637" s="199"/>
      <c r="B637" s="200"/>
      <c r="C637" s="9"/>
      <c r="D637" s="167"/>
      <c r="E637" s="167"/>
      <c r="F637" s="167"/>
      <c r="G637" s="167"/>
      <c r="H637" s="167"/>
      <c r="I637" s="168"/>
    </row>
    <row r="638" spans="1:9" ht="15.75" customHeight="1" x14ac:dyDescent="0.2">
      <c r="A638" s="199"/>
      <c r="B638" s="200"/>
      <c r="C638" s="9"/>
      <c r="D638" s="169"/>
      <c r="E638" s="169"/>
      <c r="F638" s="169"/>
      <c r="G638" s="169"/>
      <c r="H638" s="169"/>
      <c r="I638" s="170"/>
    </row>
    <row r="639" spans="1:9" ht="15.75" customHeight="1" x14ac:dyDescent="0.2">
      <c r="A639" s="199"/>
      <c r="B639" s="200"/>
      <c r="C639" s="165"/>
      <c r="D639" s="169"/>
      <c r="E639" s="169"/>
      <c r="F639" s="169"/>
      <c r="G639" s="169"/>
      <c r="H639" s="169"/>
      <c r="I639" s="170"/>
    </row>
    <row r="640" spans="1:9" ht="15.75" customHeight="1" x14ac:dyDescent="0.2">
      <c r="A640" s="199"/>
      <c r="B640" s="200"/>
      <c r="C640" s="165"/>
      <c r="D640" s="166"/>
      <c r="E640" s="166"/>
      <c r="F640" s="166"/>
      <c r="G640" s="166"/>
      <c r="H640" s="166"/>
      <c r="I640" s="166"/>
    </row>
    <row r="641" spans="1:9" ht="15.75" customHeight="1" x14ac:dyDescent="0.2">
      <c r="A641" s="199"/>
      <c r="B641" s="200"/>
      <c r="C641" s="165"/>
      <c r="D641" s="166"/>
      <c r="E641" s="166"/>
      <c r="F641" s="166"/>
      <c r="G641" s="166"/>
      <c r="H641" s="166"/>
      <c r="I641" s="166"/>
    </row>
    <row r="642" spans="1:9" ht="15.75" customHeight="1" x14ac:dyDescent="0.2">
      <c r="A642" s="199"/>
      <c r="B642" s="200"/>
      <c r="C642" s="9"/>
      <c r="D642" s="167"/>
      <c r="E642" s="167"/>
      <c r="F642" s="167"/>
      <c r="G642" s="167"/>
      <c r="H642" s="167"/>
      <c r="I642" s="168"/>
    </row>
    <row r="643" spans="1:9" ht="15.75" customHeight="1" x14ac:dyDescent="0.2">
      <c r="A643" s="199"/>
      <c r="B643" s="200"/>
      <c r="C643" s="9"/>
      <c r="D643" s="169"/>
      <c r="E643" s="169"/>
      <c r="F643" s="169"/>
      <c r="G643" s="169"/>
      <c r="H643" s="169"/>
      <c r="I643" s="170"/>
    </row>
    <row r="644" spans="1:9" ht="15.75" customHeight="1" x14ac:dyDescent="0.2">
      <c r="A644" s="199"/>
      <c r="B644" s="200"/>
      <c r="C644" s="165"/>
      <c r="D644" s="169"/>
      <c r="E644" s="169"/>
      <c r="F644" s="169"/>
      <c r="G644" s="169"/>
      <c r="H644" s="169"/>
      <c r="I644" s="170"/>
    </row>
    <row r="645" spans="1:9" ht="15.75" customHeight="1" x14ac:dyDescent="0.2">
      <c r="A645" s="199"/>
      <c r="B645" s="200"/>
      <c r="C645" s="165"/>
      <c r="D645" s="166"/>
      <c r="E645" s="166"/>
      <c r="F645" s="166"/>
      <c r="G645" s="166"/>
      <c r="H645" s="166"/>
      <c r="I645" s="166"/>
    </row>
    <row r="646" spans="1:9" ht="15.75" customHeight="1" x14ac:dyDescent="0.2">
      <c r="A646" s="199"/>
      <c r="B646" s="200"/>
      <c r="C646" s="165"/>
      <c r="D646" s="166"/>
      <c r="E646" s="166"/>
      <c r="F646" s="166"/>
      <c r="G646" s="166"/>
      <c r="H646" s="166"/>
      <c r="I646" s="166"/>
    </row>
    <row r="647" spans="1:9" ht="15.75" customHeight="1" x14ac:dyDescent="0.2">
      <c r="A647" s="199"/>
      <c r="B647" s="200"/>
      <c r="C647" s="9"/>
      <c r="D647" s="167"/>
      <c r="E647" s="167"/>
      <c r="F647" s="167"/>
      <c r="G647" s="167"/>
      <c r="H647" s="167"/>
      <c r="I647" s="168"/>
    </row>
    <row r="648" spans="1:9" ht="15.75" customHeight="1" x14ac:dyDescent="0.2">
      <c r="A648" s="199"/>
      <c r="B648" s="200"/>
      <c r="C648" s="9"/>
      <c r="D648" s="169"/>
      <c r="E648" s="169"/>
      <c r="F648" s="169"/>
      <c r="G648" s="169"/>
      <c r="H648" s="169"/>
      <c r="I648" s="170"/>
    </row>
    <row r="649" spans="1:9" ht="15.75" customHeight="1" x14ac:dyDescent="0.2">
      <c r="A649" s="199"/>
      <c r="B649" s="200"/>
      <c r="C649" s="165"/>
      <c r="D649" s="169"/>
      <c r="E649" s="169"/>
      <c r="F649" s="169"/>
      <c r="G649" s="169"/>
      <c r="H649" s="169"/>
      <c r="I649" s="170"/>
    </row>
    <row r="650" spans="1:9" ht="15.75" customHeight="1" x14ac:dyDescent="0.2">
      <c r="A650" s="199"/>
      <c r="B650" s="200"/>
      <c r="C650" s="165"/>
      <c r="D650" s="166"/>
      <c r="E650" s="166"/>
      <c r="F650" s="166"/>
      <c r="G650" s="166"/>
      <c r="H650" s="166"/>
      <c r="I650" s="166"/>
    </row>
    <row r="651" spans="1:9" ht="15.75" customHeight="1" x14ac:dyDescent="0.2">
      <c r="A651" s="199"/>
      <c r="B651" s="200"/>
      <c r="C651" s="165"/>
      <c r="D651" s="166"/>
      <c r="E651" s="166"/>
      <c r="F651" s="166"/>
      <c r="G651" s="166"/>
      <c r="H651" s="166"/>
      <c r="I651" s="166"/>
    </row>
    <row r="652" spans="1:9" ht="15.75" customHeight="1" x14ac:dyDescent="0.2">
      <c r="A652" s="199"/>
      <c r="B652" s="200"/>
      <c r="C652" s="9"/>
      <c r="D652" s="167"/>
      <c r="E652" s="167"/>
      <c r="F652" s="167"/>
      <c r="G652" s="167"/>
      <c r="H652" s="167"/>
      <c r="I652" s="168"/>
    </row>
    <row r="653" spans="1:9" ht="15.75" customHeight="1" x14ac:dyDescent="0.2">
      <c r="A653" s="199"/>
      <c r="B653" s="200"/>
      <c r="C653" s="9"/>
      <c r="D653" s="169"/>
      <c r="E653" s="169"/>
      <c r="F653" s="169"/>
      <c r="G653" s="169"/>
      <c r="H653" s="169"/>
      <c r="I653" s="170"/>
    </row>
    <row r="654" spans="1:9" ht="15.75" customHeight="1" x14ac:dyDescent="0.2">
      <c r="A654" s="199"/>
      <c r="B654" s="200"/>
      <c r="C654" s="165"/>
      <c r="D654" s="169"/>
      <c r="E654" s="169"/>
      <c r="F654" s="169"/>
      <c r="G654" s="169"/>
      <c r="H654" s="169"/>
      <c r="I654" s="170"/>
    </row>
    <row r="655" spans="1:9" ht="15.75" customHeight="1" x14ac:dyDescent="0.2">
      <c r="A655" s="199"/>
      <c r="B655" s="200"/>
      <c r="C655" s="165"/>
      <c r="D655" s="166"/>
      <c r="E655" s="166"/>
      <c r="F655" s="166"/>
      <c r="G655" s="166"/>
      <c r="H655" s="166"/>
      <c r="I655" s="166"/>
    </row>
    <row r="656" spans="1:9" ht="15.75" customHeight="1" x14ac:dyDescent="0.2">
      <c r="A656" s="199"/>
      <c r="B656" s="200"/>
      <c r="C656" s="165"/>
      <c r="D656" s="166"/>
      <c r="E656" s="166"/>
      <c r="F656" s="166"/>
      <c r="G656" s="166"/>
      <c r="H656" s="166"/>
      <c r="I656" s="166"/>
    </row>
    <row r="657" spans="1:9" ht="15.75" customHeight="1" x14ac:dyDescent="0.2">
      <c r="A657" s="199"/>
      <c r="B657" s="200"/>
      <c r="C657" s="9"/>
      <c r="D657" s="167"/>
      <c r="E657" s="167"/>
      <c r="F657" s="167"/>
      <c r="G657" s="167"/>
      <c r="H657" s="167"/>
      <c r="I657" s="168"/>
    </row>
    <row r="658" spans="1:9" ht="15.75" customHeight="1" x14ac:dyDescent="0.2">
      <c r="A658" s="199"/>
      <c r="B658" s="200"/>
      <c r="C658" s="9"/>
      <c r="D658" s="169"/>
      <c r="E658" s="169"/>
      <c r="F658" s="169"/>
      <c r="G658" s="169"/>
      <c r="H658" s="169"/>
      <c r="I658" s="170"/>
    </row>
    <row r="659" spans="1:9" ht="15.75" customHeight="1" x14ac:dyDescent="0.2">
      <c r="A659" s="199"/>
      <c r="B659" s="200"/>
      <c r="C659" s="165"/>
      <c r="D659" s="169"/>
      <c r="E659" s="169"/>
      <c r="F659" s="169"/>
      <c r="G659" s="169"/>
      <c r="H659" s="169"/>
      <c r="I659" s="170"/>
    </row>
    <row r="660" spans="1:9" ht="15.75" customHeight="1" x14ac:dyDescent="0.2">
      <c r="A660" s="199"/>
      <c r="B660" s="200"/>
      <c r="C660" s="165"/>
      <c r="D660" s="166"/>
      <c r="E660" s="166"/>
      <c r="F660" s="166"/>
      <c r="G660" s="166"/>
      <c r="H660" s="166"/>
      <c r="I660" s="166"/>
    </row>
    <row r="661" spans="1:9" ht="15.75" customHeight="1" x14ac:dyDescent="0.2">
      <c r="A661" s="199"/>
      <c r="B661" s="200"/>
      <c r="C661" s="165"/>
      <c r="D661" s="166"/>
      <c r="E661" s="166"/>
      <c r="F661" s="166"/>
      <c r="G661" s="166"/>
      <c r="H661" s="166"/>
      <c r="I661" s="166"/>
    </row>
    <row r="662" spans="1:9" ht="15.75" customHeight="1" x14ac:dyDescent="0.2">
      <c r="A662" s="199"/>
      <c r="B662" s="200"/>
      <c r="C662" s="9"/>
      <c r="D662" s="167"/>
      <c r="E662" s="167"/>
      <c r="F662" s="167"/>
      <c r="G662" s="167"/>
      <c r="H662" s="167"/>
      <c r="I662" s="168"/>
    </row>
    <row r="663" spans="1:9" ht="15.75" customHeight="1" x14ac:dyDescent="0.2">
      <c r="A663" s="199"/>
      <c r="B663" s="200"/>
      <c r="C663" s="9"/>
      <c r="D663" s="169"/>
      <c r="E663" s="169"/>
      <c r="F663" s="169"/>
      <c r="G663" s="169"/>
      <c r="H663" s="169"/>
      <c r="I663" s="170"/>
    </row>
    <row r="664" spans="1:9" ht="15.75" customHeight="1" x14ac:dyDescent="0.2">
      <c r="A664" s="199"/>
      <c r="B664" s="200"/>
      <c r="C664" s="165"/>
      <c r="D664" s="169"/>
      <c r="E664" s="169"/>
      <c r="F664" s="169"/>
      <c r="G664" s="169"/>
      <c r="H664" s="169"/>
      <c r="I664" s="170"/>
    </row>
    <row r="665" spans="1:9" ht="15.75" customHeight="1" x14ac:dyDescent="0.2">
      <c r="A665" s="199"/>
      <c r="B665" s="200"/>
      <c r="C665" s="165"/>
      <c r="D665" s="166"/>
      <c r="E665" s="166"/>
      <c r="F665" s="166"/>
      <c r="G665" s="166"/>
      <c r="H665" s="166"/>
      <c r="I665" s="166"/>
    </row>
    <row r="666" spans="1:9" ht="15.75" customHeight="1" x14ac:dyDescent="0.2">
      <c r="A666" s="199"/>
      <c r="B666" s="200"/>
      <c r="C666" s="165"/>
      <c r="D666" s="166"/>
      <c r="E666" s="166"/>
      <c r="F666" s="166"/>
      <c r="G666" s="166"/>
      <c r="H666" s="166"/>
      <c r="I666" s="166"/>
    </row>
    <row r="667" spans="1:9" ht="15.75" customHeight="1" x14ac:dyDescent="0.2">
      <c r="A667" s="199"/>
      <c r="B667" s="200"/>
      <c r="C667" s="9"/>
      <c r="D667" s="167"/>
      <c r="E667" s="167"/>
      <c r="F667" s="167"/>
      <c r="G667" s="167"/>
      <c r="H667" s="167"/>
      <c r="I667" s="168"/>
    </row>
    <row r="668" spans="1:9" ht="15.75" customHeight="1" x14ac:dyDescent="0.2">
      <c r="A668" s="199"/>
      <c r="B668" s="200"/>
      <c r="C668" s="9"/>
      <c r="D668" s="169"/>
      <c r="E668" s="169"/>
      <c r="F668" s="169"/>
      <c r="G668" s="169"/>
      <c r="H668" s="169"/>
      <c r="I668" s="170"/>
    </row>
    <row r="669" spans="1:9" ht="15.75" customHeight="1" x14ac:dyDescent="0.2">
      <c r="A669" s="199"/>
      <c r="B669" s="200"/>
      <c r="C669" s="165"/>
      <c r="D669" s="169"/>
      <c r="E669" s="169"/>
      <c r="F669" s="169"/>
      <c r="G669" s="169"/>
      <c r="H669" s="169"/>
      <c r="I669" s="170"/>
    </row>
    <row r="670" spans="1:9" ht="15.75" customHeight="1" x14ac:dyDescent="0.2">
      <c r="A670" s="199"/>
      <c r="B670" s="200"/>
      <c r="C670" s="165"/>
      <c r="D670" s="166"/>
      <c r="E670" s="166"/>
      <c r="F670" s="166"/>
      <c r="G670" s="166"/>
      <c r="H670" s="166"/>
      <c r="I670" s="166"/>
    </row>
    <row r="671" spans="1:9" ht="15.75" customHeight="1" x14ac:dyDescent="0.2">
      <c r="A671" s="199"/>
      <c r="B671" s="200"/>
      <c r="C671" s="165"/>
      <c r="D671" s="166"/>
      <c r="E671" s="166"/>
      <c r="F671" s="166"/>
      <c r="G671" s="166"/>
      <c r="H671" s="166"/>
      <c r="I671" s="166"/>
    </row>
    <row r="672" spans="1:9" ht="15.75" customHeight="1" x14ac:dyDescent="0.2">
      <c r="A672" s="199"/>
      <c r="B672" s="200"/>
      <c r="C672" s="9"/>
      <c r="D672" s="167"/>
      <c r="E672" s="167"/>
      <c r="F672" s="167"/>
      <c r="G672" s="167"/>
      <c r="H672" s="167"/>
      <c r="I672" s="168"/>
    </row>
    <row r="673" spans="1:9" ht="15.75" customHeight="1" x14ac:dyDescent="0.2">
      <c r="A673" s="199"/>
      <c r="B673" s="200"/>
      <c r="C673" s="9"/>
      <c r="D673" s="169"/>
      <c r="E673" s="169"/>
      <c r="F673" s="169"/>
      <c r="G673" s="169"/>
      <c r="H673" s="169"/>
      <c r="I673" s="170"/>
    </row>
    <row r="674" spans="1:9" ht="15.75" customHeight="1" x14ac:dyDescent="0.2">
      <c r="A674" s="199"/>
      <c r="B674" s="200"/>
      <c r="C674" s="165"/>
      <c r="D674" s="169"/>
      <c r="E674" s="169"/>
      <c r="F674" s="169"/>
      <c r="G674" s="169"/>
      <c r="H674" s="169"/>
      <c r="I674" s="170"/>
    </row>
  </sheetData>
  <sheetProtection sheet="1" objects="1" scenarios="1"/>
  <protectedRanges>
    <protectedRange sqref="D7:I9 D12:I14 D17:I19 D22:I24 D27:I29 D32:I34 D37:I39 D42:I44 D47:I49 D52:I54" name="Events 1 thru 10"/>
    <protectedRange sqref="D57:I59 D62:I64 D67:I69 D72:I74 D77:I79 D82:I84 D87:I89 D92:I94 D97:I99 D102:I104" name="Event 11 thru 20"/>
    <protectedRange sqref="D107:I109 D112:I114 D117:I119 D122:I124 D127:I129 D132:I134 D137:I139 D142:I144 D147:I149 D152:I154" name="Event 21 thru 30"/>
    <protectedRange sqref="D157:I159 D162:I164 D167:I169 D172:I174 D177:I179 D182:I184 D187:I189 D192:I194 D197:I199 D202:I204" name="Event 31 thru 40"/>
    <protectedRange sqref="D207:I209 D212:I214 D217:I219 D222:I224 D227:I229 D232:I234 D237:I239 D242:I244 D247:I249 D252:I254" name="Event 41 thru 50"/>
    <protectedRange sqref="D257:I259 D262:I264 D267:I269 D272:I274 D277:I279 D282:I284 D287:I289 D292:I294 D297:I299 D302:I304" name="Event 51 thru 60"/>
    <protectedRange sqref="D307:I309 D312:I314 D317:I319 D322:I324 D327:I329 D332:I334 D337:I339 D342:I344 D347:I349 D352:I354 D357:I359 D362:I364 D367:I369 D372:I374 D377:I379 D382:I384 D387:I389 D392:I394 D397:I399 D402:I404 D407:I409 D412:I414 D417:I419 D422:I424 D427:I429 D432:I434 D437:I439 D442:I444 D447:I449 D452:I454 D457:I459 D462:I464 D467:I469 D472:I474 D477:I479 D482:I484 D487:I489 D492:I494 D497:I499 D502:I504 D507:I509 D512:I514 D517:I519 D522:I524 D527:I529 D532:I534 D537:I539 D542:I544 D547:I549 D552:I554 D557:I559 D562:I564 D567:I569 D572:I574 D577:I579 D582:I584 D587:I589 D592:I594 D597:I599 D602:I604 D607:I609 D612:I614 D617:I619 D622:I624 D627:I629 D632:I634 D637:I639 D642:I644 D647:I649 D652:I654 D657:I659 D662:I664 D667:I669 D672:I674" name="Event 61 thru 70"/>
  </protectedRanges>
  <mergeCells count="274">
    <mergeCell ref="A350:A354"/>
    <mergeCell ref="B350:B354"/>
    <mergeCell ref="A335:A339"/>
    <mergeCell ref="B335:B339"/>
    <mergeCell ref="A340:A344"/>
    <mergeCell ref="B340:B344"/>
    <mergeCell ref="A345:A349"/>
    <mergeCell ref="B345:B349"/>
    <mergeCell ref="A320:A324"/>
    <mergeCell ref="B320:B324"/>
    <mergeCell ref="A325:A329"/>
    <mergeCell ref="B325:B329"/>
    <mergeCell ref="A330:A334"/>
    <mergeCell ref="B330:B334"/>
    <mergeCell ref="A305:A309"/>
    <mergeCell ref="B305:B309"/>
    <mergeCell ref="A310:A314"/>
    <mergeCell ref="B310:B314"/>
    <mergeCell ref="A315:A319"/>
    <mergeCell ref="B315:B319"/>
    <mergeCell ref="A290:A294"/>
    <mergeCell ref="B290:B294"/>
    <mergeCell ref="A295:A299"/>
    <mergeCell ref="B295:B299"/>
    <mergeCell ref="A300:A304"/>
    <mergeCell ref="B300:B304"/>
    <mergeCell ref="A275:A279"/>
    <mergeCell ref="B275:B279"/>
    <mergeCell ref="A280:A284"/>
    <mergeCell ref="B280:B284"/>
    <mergeCell ref="A285:A289"/>
    <mergeCell ref="B285:B289"/>
    <mergeCell ref="A260:A264"/>
    <mergeCell ref="B260:B264"/>
    <mergeCell ref="A265:A269"/>
    <mergeCell ref="B265:B269"/>
    <mergeCell ref="A270:A274"/>
    <mergeCell ref="B270:B274"/>
    <mergeCell ref="A245:A249"/>
    <mergeCell ref="B245:B249"/>
    <mergeCell ref="A250:A254"/>
    <mergeCell ref="B250:B254"/>
    <mergeCell ref="A255:A259"/>
    <mergeCell ref="B255:B259"/>
    <mergeCell ref="A230:A234"/>
    <mergeCell ref="B230:B234"/>
    <mergeCell ref="A235:A239"/>
    <mergeCell ref="B235:B239"/>
    <mergeCell ref="A240:A244"/>
    <mergeCell ref="B240:B244"/>
    <mergeCell ref="A215:A219"/>
    <mergeCell ref="B215:B219"/>
    <mergeCell ref="A220:A224"/>
    <mergeCell ref="B220:B224"/>
    <mergeCell ref="A225:A229"/>
    <mergeCell ref="B225:B229"/>
    <mergeCell ref="A200:A204"/>
    <mergeCell ref="B200:B204"/>
    <mergeCell ref="A205:A209"/>
    <mergeCell ref="B205:B209"/>
    <mergeCell ref="A210:A214"/>
    <mergeCell ref="B210:B214"/>
    <mergeCell ref="A185:A189"/>
    <mergeCell ref="B185:B189"/>
    <mergeCell ref="A190:A194"/>
    <mergeCell ref="B190:B194"/>
    <mergeCell ref="A195:A199"/>
    <mergeCell ref="B195:B199"/>
    <mergeCell ref="A170:A174"/>
    <mergeCell ref="B170:B174"/>
    <mergeCell ref="A175:A179"/>
    <mergeCell ref="B175:B179"/>
    <mergeCell ref="A180:A184"/>
    <mergeCell ref="B180:B184"/>
    <mergeCell ref="A155:A159"/>
    <mergeCell ref="B155:B159"/>
    <mergeCell ref="A160:A164"/>
    <mergeCell ref="B160:B164"/>
    <mergeCell ref="A165:A169"/>
    <mergeCell ref="B165:B169"/>
    <mergeCell ref="A140:A144"/>
    <mergeCell ref="B140:B144"/>
    <mergeCell ref="A145:A149"/>
    <mergeCell ref="B145:B149"/>
    <mergeCell ref="A150:A154"/>
    <mergeCell ref="B150:B154"/>
    <mergeCell ref="A125:A129"/>
    <mergeCell ref="B125:B129"/>
    <mergeCell ref="A130:A134"/>
    <mergeCell ref="B130:B134"/>
    <mergeCell ref="A135:A139"/>
    <mergeCell ref="B135:B139"/>
    <mergeCell ref="A110:A114"/>
    <mergeCell ref="B110:B114"/>
    <mergeCell ref="A115:A119"/>
    <mergeCell ref="B115:B119"/>
    <mergeCell ref="A120:A124"/>
    <mergeCell ref="B120:B124"/>
    <mergeCell ref="A95:A99"/>
    <mergeCell ref="B95:B99"/>
    <mergeCell ref="A100:A104"/>
    <mergeCell ref="B100:B104"/>
    <mergeCell ref="A105:A109"/>
    <mergeCell ref="B105:B109"/>
    <mergeCell ref="A80:A84"/>
    <mergeCell ref="B80:B84"/>
    <mergeCell ref="A85:A89"/>
    <mergeCell ref="B85:B89"/>
    <mergeCell ref="A90:A94"/>
    <mergeCell ref="B90:B94"/>
    <mergeCell ref="A65:A69"/>
    <mergeCell ref="B65:B69"/>
    <mergeCell ref="A70:A74"/>
    <mergeCell ref="B70:B74"/>
    <mergeCell ref="A75:A79"/>
    <mergeCell ref="B75:B79"/>
    <mergeCell ref="A50:A54"/>
    <mergeCell ref="B50:B54"/>
    <mergeCell ref="A55:A59"/>
    <mergeCell ref="B55:B59"/>
    <mergeCell ref="A60:A64"/>
    <mergeCell ref="B60:B64"/>
    <mergeCell ref="A35:A39"/>
    <mergeCell ref="B35:B39"/>
    <mergeCell ref="A40:A44"/>
    <mergeCell ref="B40:B44"/>
    <mergeCell ref="A45:A49"/>
    <mergeCell ref="B45:B49"/>
    <mergeCell ref="A20:A24"/>
    <mergeCell ref="B20:B24"/>
    <mergeCell ref="A25:A29"/>
    <mergeCell ref="B25:B29"/>
    <mergeCell ref="A30:A34"/>
    <mergeCell ref="B30:B34"/>
    <mergeCell ref="A5:A9"/>
    <mergeCell ref="B5:B9"/>
    <mergeCell ref="A10:A14"/>
    <mergeCell ref="B10:B14"/>
    <mergeCell ref="A15:A19"/>
    <mergeCell ref="B15:B19"/>
    <mergeCell ref="A1:I1"/>
    <mergeCell ref="A2:I2"/>
    <mergeCell ref="A3:C3"/>
    <mergeCell ref="D3:E3"/>
    <mergeCell ref="F3:G3"/>
    <mergeCell ref="H3:I3"/>
    <mergeCell ref="A355:A359"/>
    <mergeCell ref="B355:B359"/>
    <mergeCell ref="A360:A364"/>
    <mergeCell ref="B360:B364"/>
    <mergeCell ref="A365:A369"/>
    <mergeCell ref="B365:B369"/>
    <mergeCell ref="A370:A374"/>
    <mergeCell ref="B370:B374"/>
    <mergeCell ref="A375:A379"/>
    <mergeCell ref="B375:B379"/>
    <mergeCell ref="A380:A384"/>
    <mergeCell ref="B380:B384"/>
    <mergeCell ref="A385:A389"/>
    <mergeCell ref="B385:B389"/>
    <mergeCell ref="A390:A394"/>
    <mergeCell ref="B390:B394"/>
    <mergeCell ref="A395:A399"/>
    <mergeCell ref="B395:B399"/>
    <mergeCell ref="A400:A404"/>
    <mergeCell ref="B400:B404"/>
    <mergeCell ref="A405:A409"/>
    <mergeCell ref="B405:B409"/>
    <mergeCell ref="A410:A414"/>
    <mergeCell ref="B410:B414"/>
    <mergeCell ref="A415:A419"/>
    <mergeCell ref="B415:B419"/>
    <mergeCell ref="A420:A424"/>
    <mergeCell ref="B420:B424"/>
    <mergeCell ref="A425:A429"/>
    <mergeCell ref="B425:B429"/>
    <mergeCell ref="A430:A434"/>
    <mergeCell ref="B430:B434"/>
    <mergeCell ref="A435:A439"/>
    <mergeCell ref="B435:B439"/>
    <mergeCell ref="A440:A444"/>
    <mergeCell ref="B440:B444"/>
    <mergeCell ref="A445:A449"/>
    <mergeCell ref="B445:B449"/>
    <mergeCell ref="A450:A454"/>
    <mergeCell ref="B450:B454"/>
    <mergeCell ref="A455:A459"/>
    <mergeCell ref="B455:B459"/>
    <mergeCell ref="A460:A464"/>
    <mergeCell ref="B460:B464"/>
    <mergeCell ref="A465:A469"/>
    <mergeCell ref="B465:B469"/>
    <mergeCell ref="A470:A474"/>
    <mergeCell ref="B470:B474"/>
    <mergeCell ref="A475:A479"/>
    <mergeCell ref="B475:B479"/>
    <mergeCell ref="A480:A484"/>
    <mergeCell ref="B480:B484"/>
    <mergeCell ref="A485:A489"/>
    <mergeCell ref="B485:B489"/>
    <mergeCell ref="A490:A494"/>
    <mergeCell ref="B490:B494"/>
    <mergeCell ref="A495:A499"/>
    <mergeCell ref="B495:B499"/>
    <mergeCell ref="A500:A504"/>
    <mergeCell ref="B500:B504"/>
    <mergeCell ref="A505:A509"/>
    <mergeCell ref="B505:B509"/>
    <mergeCell ref="A510:A514"/>
    <mergeCell ref="B510:B514"/>
    <mergeCell ref="A515:A519"/>
    <mergeCell ref="B515:B519"/>
    <mergeCell ref="A520:A524"/>
    <mergeCell ref="B520:B524"/>
    <mergeCell ref="A525:A529"/>
    <mergeCell ref="B525:B529"/>
    <mergeCell ref="A530:A534"/>
    <mergeCell ref="B530:B534"/>
    <mergeCell ref="A535:A539"/>
    <mergeCell ref="B535:B539"/>
    <mergeCell ref="A540:A544"/>
    <mergeCell ref="B540:B544"/>
    <mergeCell ref="A545:A549"/>
    <mergeCell ref="B545:B549"/>
    <mergeCell ref="A550:A554"/>
    <mergeCell ref="B550:B554"/>
    <mergeCell ref="A555:A559"/>
    <mergeCell ref="B555:B559"/>
    <mergeCell ref="A560:A564"/>
    <mergeCell ref="B560:B564"/>
    <mergeCell ref="A565:A569"/>
    <mergeCell ref="B565:B569"/>
    <mergeCell ref="A570:A574"/>
    <mergeCell ref="B570:B574"/>
    <mergeCell ref="A575:A579"/>
    <mergeCell ref="B575:B579"/>
    <mergeCell ref="A580:A584"/>
    <mergeCell ref="B580:B584"/>
    <mergeCell ref="A585:A589"/>
    <mergeCell ref="B585:B589"/>
    <mergeCell ref="A590:A594"/>
    <mergeCell ref="B590:B594"/>
    <mergeCell ref="A595:A599"/>
    <mergeCell ref="B595:B599"/>
    <mergeCell ref="A600:A604"/>
    <mergeCell ref="B600:B604"/>
    <mergeCell ref="A605:A609"/>
    <mergeCell ref="B605:B609"/>
    <mergeCell ref="A610:A614"/>
    <mergeCell ref="B610:B614"/>
    <mergeCell ref="A615:A619"/>
    <mergeCell ref="B615:B619"/>
    <mergeCell ref="A620:A624"/>
    <mergeCell ref="B620:B624"/>
    <mergeCell ref="A625:A629"/>
    <mergeCell ref="B625:B629"/>
    <mergeCell ref="A655:A659"/>
    <mergeCell ref="B655:B659"/>
    <mergeCell ref="A660:A664"/>
    <mergeCell ref="B660:B664"/>
    <mergeCell ref="A665:A669"/>
    <mergeCell ref="B665:B669"/>
    <mergeCell ref="A670:A674"/>
    <mergeCell ref="B670:B674"/>
    <mergeCell ref="A630:A634"/>
    <mergeCell ref="B630:B634"/>
    <mergeCell ref="A635:A639"/>
    <mergeCell ref="B635:B639"/>
    <mergeCell ref="A640:A644"/>
    <mergeCell ref="B640:B644"/>
    <mergeCell ref="A645:A649"/>
    <mergeCell ref="B645:B649"/>
    <mergeCell ref="A650:A654"/>
    <mergeCell ref="B650:B654"/>
  </mergeCells>
  <conditionalFormatting sqref="D5:I674">
    <cfRule type="expression" dxfId="3" priority="1">
      <formula>D6="scr"</formula>
    </cfRule>
    <cfRule type="expression" dxfId="2" priority="2">
      <formula>D6="scratch"</formula>
    </cfRule>
    <cfRule type="expression" dxfId="1" priority="3">
      <formula>D6="SCRATCH"</formula>
    </cfRule>
    <cfRule type="expression" dxfId="0" priority="4">
      <formula>D6="SCRATCHED"</formula>
    </cfRule>
  </conditionalFormatting>
  <pageMargins left="0.25" right="0.25" top="0.75" bottom="0.75" header="0.3" footer="0.3"/>
  <pageSetup scale="76" fitToHeight="0" orientation="portrait"/>
  <headerFooter>
    <oddFooter>&amp;R&amp;"Aptos Narrow,Regular"&amp;K000000Page &amp;P</oddFooter>
    <evenFooter>&amp;R&amp;P</evenFooter>
    <firstFooter>&amp;CLane 1 is farthest lane from Grandstands (Prince William Side of Resevoir)</firstFooter>
  </headerFooter>
  <rowBreaks count="13" manualBreakCount="13">
    <brk id="49" max="8" man="1"/>
    <brk id="94" max="8" man="1"/>
    <brk id="139" max="8" man="1"/>
    <brk id="184" max="8" man="1"/>
    <brk id="229" max="8" man="1"/>
    <brk id="274" max="8" man="1"/>
    <brk id="319" max="8" man="1"/>
    <brk id="364" max="8" man="1"/>
    <brk id="409" max="8" man="1"/>
    <brk id="454" max="8" man="1"/>
    <brk id="499" max="8" man="1"/>
    <brk id="544" max="8" man="1"/>
    <brk id="589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A51CD-BD29-1941-8A2A-D285C55A4D0C}">
  <sheetPr codeName="Sheet1"/>
  <dimension ref="A1:K122"/>
  <sheetViews>
    <sheetView view="pageBreakPreview" zoomScale="136" zoomScaleNormal="145" zoomScaleSheetLayoutView="40" workbookViewId="0">
      <pane ySplit="2" topLeftCell="A3" activePane="bottomLeft" state="frozen"/>
      <selection pane="bottomLeft" activeCell="F120" sqref="F120"/>
    </sheetView>
  </sheetViews>
  <sheetFormatPr baseColWidth="10" defaultColWidth="11" defaultRowHeight="29.25" customHeight="1" x14ac:dyDescent="0.2"/>
  <cols>
    <col min="1" max="1" width="4.6640625" style="9" customWidth="1"/>
    <col min="2" max="2" width="5.6640625" style="9" bestFit="1" customWidth="1"/>
    <col min="3" max="3" width="2.83203125" style="9" customWidth="1"/>
    <col min="4" max="4" width="13.83203125" style="3" customWidth="1"/>
    <col min="5" max="5" width="16.6640625" style="3" customWidth="1"/>
    <col min="6" max="6" width="16.5" style="3" customWidth="1"/>
    <col min="7" max="8" width="16.6640625" style="3" customWidth="1"/>
    <col min="9" max="9" width="16.5" style="3" customWidth="1"/>
    <col min="10" max="10" width="16.6640625" style="3" customWidth="1"/>
    <col min="11" max="11" width="8.6640625" style="136" customWidth="1"/>
  </cols>
  <sheetData>
    <row r="1" spans="1:11" ht="29.25" customHeight="1" x14ac:dyDescent="0.25">
      <c r="A1" s="220" t="str">
        <f>'Regatta Attributes'!B6&amp;" Referee Heat Sheet - "&amp;TEXT('Regatta Attributes'!B7, "MM/dd/yyyy")</f>
        <v>Charlie Brown Classic Referee Heat Sheet - 05/01/2027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</row>
    <row r="2" spans="1:11" s="110" customFormat="1" ht="29.25" customHeight="1" x14ac:dyDescent="0.2">
      <c r="A2" s="6" t="s">
        <v>13</v>
      </c>
      <c r="B2" s="6" t="s">
        <v>14</v>
      </c>
      <c r="C2" s="6"/>
      <c r="D2" s="6" t="s">
        <v>15</v>
      </c>
      <c r="E2" s="6" t="s">
        <v>16</v>
      </c>
      <c r="F2" s="6" t="s">
        <v>17</v>
      </c>
      <c r="G2" s="6" t="s">
        <v>18</v>
      </c>
      <c r="H2" s="6" t="s">
        <v>19</v>
      </c>
      <c r="I2" s="6" t="s">
        <v>20</v>
      </c>
      <c r="J2" s="6" t="s">
        <v>21</v>
      </c>
      <c r="K2" s="135" t="s">
        <v>24</v>
      </c>
    </row>
    <row r="3" spans="1:11" ht="29.25" customHeight="1" x14ac:dyDescent="0.2">
      <c r="A3" s="12">
        <v>1</v>
      </c>
      <c r="B3" s="7" t="str">
        <f>IFERROR(TEXT(VLOOKUP(A3,'Heat Sheet'!$A:$I, 2, FALSE), "HH:mm"), "")</f>
        <v>09:00</v>
      </c>
      <c r="C3" s="7"/>
      <c r="D3" s="10" t="str" cm="1">
        <f t="array" ref="D3">_xlfn.LET(_xlpm.EVENT, _xlfn.XMATCH($A3,'Heat Sheet'!A:A), IF(ISNA(_xlpm.EVENT), "", INDEX('Heat Sheet'!$A:$I, _xlpm.EVENT, 3)&amp;" "&amp;SUBSTITUTE(SUBSTITUTE(SUBSTITUTE(INDEX('Heat Sheet'!$A:$I, _xlpm.EVENT+1, 3), "Heat ", "H"), "Final", "F"), "Flight ", "F")))</f>
        <v xml:space="preserve">M-1x </v>
      </c>
      <c r="E3" s="10" t="str" cm="1">
        <f t="array" ref="E3">_xlfn.LET(_xlpm.EVENT, _xlfn.XMATCH($A3,'Heat Sheet'!$A:$A), IF(ISNA(_xlpm.EVENT), "", _xlfn.LET(_xlpm.ADVANCE, INDEX('Heat Sheet'!$A:$I, _xlpm.EVENT, COLUMN()-1), IF(_xlpm.ADVANCE=0, "", _xlpm.ADVANCE))))</f>
        <v/>
      </c>
      <c r="F3" s="10" t="str" cm="1">
        <f t="array" ref="F3">_xlfn.LET(_xlpm.EVENT, _xlfn.XMATCH($A3,'Heat Sheet'!$A:$A), IF(ISNA(_xlpm.EVENT), "", _xlfn.LET(_xlpm.ADVANCE, INDEX('Heat Sheet'!$A:$I, _xlpm.EVENT, COLUMN()-1), IF(_xlpm.ADVANCE=0, "", _xlpm.ADVANCE))))</f>
        <v>Pig Pen</v>
      </c>
      <c r="G3" s="10" t="str" cm="1">
        <f t="array" ref="G3">_xlfn.LET(_xlpm.EVENT, _xlfn.XMATCH($A3,'Heat Sheet'!$A:$A), IF(ISNA(_xlpm.EVENT), "", _xlfn.LET(_xlpm.ADVANCE, INDEX('Heat Sheet'!$A:$I, _xlpm.EVENT, COLUMN()-1), IF(_xlpm.ADVANCE=0, "", _xlpm.ADVANCE))))</f>
        <v>Woodstock</v>
      </c>
      <c r="H3" s="10" t="str" cm="1">
        <f t="array" ref="H3">_xlfn.LET(_xlpm.EVENT, _xlfn.XMATCH($A3,'Heat Sheet'!$A:$A), IF(ISNA(_xlpm.EVENT), "", _xlfn.LET(_xlpm.ADVANCE, INDEX('Heat Sheet'!$A:$I, _xlpm.EVENT, COLUMN()-1), IF(_xlpm.ADVANCE=0, "", _xlpm.ADVANCE))))</f>
        <v>Snoopy</v>
      </c>
      <c r="I3" s="10" t="str" cm="1">
        <f t="array" ref="I3">_xlfn.LET(_xlpm.EVENT, _xlfn.XMATCH($A3,'Heat Sheet'!$A:$A), IF(ISNA(_xlpm.EVENT), "", _xlfn.LET(_xlpm.ADVANCE, INDEX('Heat Sheet'!$A:$I, _xlpm.EVENT, COLUMN()-1), IF(_xlpm.ADVANCE=0, "", _xlpm.ADVANCE))))</f>
        <v>Linus</v>
      </c>
      <c r="J3" s="10" t="str" cm="1">
        <f t="array" ref="J3">_xlfn.LET(_xlpm.EVENT, _xlfn.XMATCH($A3,'Heat Sheet'!$A:$A), IF(ISNA(_xlpm.EVENT), "", _xlfn.LET(_xlpm.ADVANCE, INDEX('Heat Sheet'!$A:$I, _xlpm.EVENT, COLUMN()-1), IF(_xlpm.ADVANCE=0, "", _xlpm.ADVANCE))))</f>
        <v/>
      </c>
      <c r="K3" s="139" t="str" cm="1">
        <f t="array" ref="K3">_xlfn.LET(_xlpm.EVENT, _xlfn.XMATCH($A3,'Heat Sheet'!A:A), IF(ISNA(_xlpm.EVENT), "", _xlfn.LET(_xlpm.ADVANCE, INDEX('Heat Sheet'!$A:$I, _xlpm.EVENT+2, 3), IF(_xlpm.ADVANCE=0, "", _xlpm.ADVANCE))))</f>
        <v/>
      </c>
    </row>
    <row r="4" spans="1:11" ht="29.25" customHeight="1" x14ac:dyDescent="0.2">
      <c r="A4" s="12">
        <v>2</v>
      </c>
      <c r="B4" s="7" t="str">
        <f>IFERROR(TEXT(VLOOKUP(A4,'Heat Sheet'!$A:$I, 2, FALSE), "HH:mm"), "")</f>
        <v>09:05</v>
      </c>
      <c r="C4" s="7"/>
      <c r="D4" s="10" t="str" cm="1">
        <f t="array" ref="D4">_xlfn.LET(_xlpm.EVENT, _xlfn.XMATCH($A4,'Heat Sheet'!A:A), IF(ISNA(_xlpm.EVENT), "", INDEX('Heat Sheet'!$A:$I, _xlpm.EVENT, 3)&amp;" "&amp;SUBSTITUTE(SUBSTITUTE(SUBSTITUTE(INDEX('Heat Sheet'!$A:$I, _xlpm.EVENT+1, 3), "Heat ", "H"), "Final", "F"), "Flight ", "F")))</f>
        <v>M-Jr-4+ H1</v>
      </c>
      <c r="E4" s="10" t="str" cm="1">
        <f t="array" ref="E4">_xlfn.LET(_xlpm.EVENT, _xlfn.XMATCH($A4,'Heat Sheet'!$A:$A), IF(ISNA(_xlpm.EVENT), "", _xlfn.LET(_xlpm.ADVANCE, INDEX('Heat Sheet'!$A:$I, _xlpm.EVENT, COLUMN()-1), IF(_xlpm.ADVANCE=0, "", _xlpm.ADVANCE))))</f>
        <v>Oscar</v>
      </c>
      <c r="F4" s="10" t="str" cm="1">
        <f t="array" ref="F4">_xlfn.LET(_xlpm.EVENT, _xlfn.XMATCH($A4,'Heat Sheet'!$A:$A), IF(ISNA(_xlpm.EVENT), "", _xlfn.LET(_xlpm.ADVANCE, INDEX('Heat Sheet'!$A:$I, _xlpm.EVENT, COLUMN()-1), IF(_xlpm.ADVANCE=0, "", _xlpm.ADVANCE))))</f>
        <v>Michael</v>
      </c>
      <c r="G4" s="10" t="str" cm="1">
        <f t="array" ref="G4">_xlfn.LET(_xlpm.EVENT, _xlfn.XMATCH($A4,'Heat Sheet'!$A:$A), IF(ISNA(_xlpm.EVENT), "", _xlfn.LET(_xlpm.ADVANCE, INDEX('Heat Sheet'!$A:$I, _xlpm.EVENT, COLUMN()-1), IF(_xlpm.ADVANCE=0, "", _xlpm.ADVANCE))))</f>
        <v>George</v>
      </c>
      <c r="H4" s="10" t="str" cm="1">
        <f t="array" ref="H4">_xlfn.LET(_xlpm.EVENT, _xlfn.XMATCH($A4,'Heat Sheet'!$A:$A), IF(ISNA(_xlpm.EVENT), "", _xlfn.LET(_xlpm.ADVANCE, INDEX('Heat Sheet'!$A:$I, _xlpm.EVENT, COLUMN()-1), IF(_xlpm.ADVANCE=0, "", _xlpm.ADVANCE))))</f>
        <v>Tobias</v>
      </c>
      <c r="I4" s="10" t="str" cm="1">
        <f t="array" ref="I4">_xlfn.LET(_xlpm.EVENT, _xlfn.XMATCH($A4,'Heat Sheet'!$A:$A), IF(ISNA(_xlpm.EVENT), "", _xlfn.LET(_xlpm.ADVANCE, INDEX('Heat Sheet'!$A:$I, _xlpm.EVENT, COLUMN()-1), IF(_xlpm.ADVANCE=0, "", _xlpm.ADVANCE))))</f>
        <v>GOB</v>
      </c>
      <c r="J4" s="10" t="str" cm="1">
        <f t="array" ref="J4">_xlfn.LET(_xlpm.EVENT, _xlfn.XMATCH($A4,'Heat Sheet'!$A:$A), IF(ISNA(_xlpm.EVENT), "", _xlfn.LET(_xlpm.ADVANCE, INDEX('Heat Sheet'!$A:$I, _xlpm.EVENT, COLUMN()-1), IF(_xlpm.ADVANCE=0, "", _xlpm.ADVANCE))))</f>
        <v/>
      </c>
      <c r="K4" s="139" t="str" cm="1">
        <f t="array" ref="K4">_xlfn.LET(_xlpm.EVENT, _xlfn.XMATCH($A4,'Heat Sheet'!A:A), IF(ISNA(_xlpm.EVENT), "", _xlfn.LET(_xlpm.ADVANCE, INDEX('Heat Sheet'!$A:$I, _xlpm.EVENT+2, 3), IF(_xlpm.ADVANCE=0, "", _xlpm.ADVANCE))))</f>
        <v>3 to Advance</v>
      </c>
    </row>
    <row r="5" spans="1:11" ht="29.25" customHeight="1" x14ac:dyDescent="0.2">
      <c r="A5" s="12">
        <v>3</v>
      </c>
      <c r="B5" s="7" t="str">
        <f>IFERROR(TEXT(VLOOKUP(A5,'Heat Sheet'!$A:$I, 2, FALSE), "HH:mm"), "")</f>
        <v>09:10</v>
      </c>
      <c r="C5" s="7"/>
      <c r="D5" s="10" t="str" cm="1">
        <f t="array" ref="D5">_xlfn.LET(_xlpm.EVENT, _xlfn.XMATCH($A5,'Heat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5" s="10" t="str" cm="1">
        <f t="array" ref="E5">_xlfn.LET(_xlpm.EVENT, _xlfn.XMATCH($A5,'Heat Sheet'!$A:$A), IF(ISNA(_xlpm.EVENT), "", _xlfn.LET(_xlpm.ADVANCE, INDEX('Heat Sheet'!$A:$I, _xlpm.EVENT, COLUMN()-1), IF(_xlpm.ADVANCE=0, "", _xlpm.ADVANCE))))</f>
        <v/>
      </c>
      <c r="F5" s="10" t="str" cm="1">
        <f t="array" ref="F5">_xlfn.LET(_xlpm.EVENT, _xlfn.XMATCH($A5,'Heat Sheet'!$A:$A), IF(ISNA(_xlpm.EVENT), "", _xlfn.LET(_xlpm.ADVANCE, INDEX('Heat Sheet'!$A:$I, _xlpm.EVENT, COLUMN()-1), IF(_xlpm.ADVANCE=0, "", _xlpm.ADVANCE))))</f>
        <v/>
      </c>
      <c r="G5" s="10" t="str" cm="1">
        <f t="array" ref="G5">_xlfn.LET(_xlpm.EVENT, _xlfn.XMATCH($A5,'Heat Sheet'!$A:$A), IF(ISNA(_xlpm.EVENT), "", _xlfn.LET(_xlpm.ADVANCE, INDEX('Heat Sheet'!$A:$I, _xlpm.EVENT, COLUMN()-1), IF(_xlpm.ADVANCE=0, "", _xlpm.ADVANCE))))</f>
        <v/>
      </c>
      <c r="H5" s="10" t="str" cm="1">
        <f t="array" ref="H5">_xlfn.LET(_xlpm.EVENT, _xlfn.XMATCH($A5,'Heat Sheet'!$A:$A), IF(ISNA(_xlpm.EVENT), "", _xlfn.LET(_xlpm.ADVANCE, INDEX('Heat Sheet'!$A:$I, _xlpm.EVENT, COLUMN()-1), IF(_xlpm.ADVANCE=0, "", _xlpm.ADVANCE))))</f>
        <v/>
      </c>
      <c r="I5" s="10" t="str" cm="1">
        <f t="array" ref="I5">_xlfn.LET(_xlpm.EVENT, _xlfn.XMATCH($A5,'Heat Sheet'!$A:$A), IF(ISNA(_xlpm.EVENT), "", _xlfn.LET(_xlpm.ADVANCE, INDEX('Heat Sheet'!$A:$I, _xlpm.EVENT, COLUMN()-1), IF(_xlpm.ADVANCE=0, "", _xlpm.ADVANCE))))</f>
        <v/>
      </c>
      <c r="J5" s="10" t="str" cm="1">
        <f t="array" ref="J5">_xlfn.LET(_xlpm.EVENT, _xlfn.XMATCH($A5,'Heat Sheet'!$A:$A), IF(ISNA(_xlpm.EVENT), "", _xlfn.LET(_xlpm.ADVANCE, INDEX('Heat Sheet'!$A:$I, _xlpm.EVENT, COLUMN()-1), IF(_xlpm.ADVANCE=0, "", _xlpm.ADVANCE))))</f>
        <v/>
      </c>
      <c r="K5" s="139" t="str" cm="1">
        <f t="array" ref="K5">_xlfn.LET(_xlpm.EVENT, _xlfn.XMATCH($A5,'Heat Sheet'!A:A), IF(ISNA(_xlpm.EVENT), "", _xlfn.LET(_xlpm.ADVANCE, INDEX('Heat Sheet'!$A:$I, _xlpm.EVENT+2, 3), IF(_xlpm.ADVANCE=0, "", _xlpm.ADVANCE))))</f>
        <v/>
      </c>
    </row>
    <row r="6" spans="1:11" ht="29.25" customHeight="1" x14ac:dyDescent="0.2">
      <c r="A6" s="12">
        <v>4</v>
      </c>
      <c r="B6" s="7" t="str">
        <f>IFERROR(TEXT(VLOOKUP(A6,'Heat Sheet'!$A:$I, 2, FALSE), "HH:mm"), "")</f>
        <v>09:15</v>
      </c>
      <c r="C6" s="8"/>
      <c r="D6" s="10" t="str" cm="1">
        <f t="array" ref="D6">_xlfn.LET(_xlpm.EVENT, _xlfn.XMATCH($A6,'Heat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6" s="10" t="str" cm="1">
        <f t="array" ref="E6">_xlfn.LET(_xlpm.EVENT, _xlfn.XMATCH($A6,'Heat Sheet'!$A:$A), IF(ISNA(_xlpm.EVENT), "", _xlfn.LET(_xlpm.ADVANCE, INDEX('Heat Sheet'!$A:$I, _xlpm.EVENT, COLUMN()-1), IF(_xlpm.ADVANCE=0, "", _xlpm.ADVANCE))))</f>
        <v/>
      </c>
      <c r="F6" s="10" t="str" cm="1">
        <f t="array" ref="F6">_xlfn.LET(_xlpm.EVENT, _xlfn.XMATCH($A6,'Heat Sheet'!$A:$A), IF(ISNA(_xlpm.EVENT), "", _xlfn.LET(_xlpm.ADVANCE, INDEX('Heat Sheet'!$A:$I, _xlpm.EVENT, COLUMN()-1), IF(_xlpm.ADVANCE=0, "", _xlpm.ADVANCE))))</f>
        <v/>
      </c>
      <c r="G6" s="10" t="str" cm="1">
        <f t="array" ref="G6">_xlfn.LET(_xlpm.EVENT, _xlfn.XMATCH($A6,'Heat Sheet'!$A:$A), IF(ISNA(_xlpm.EVENT), "", _xlfn.LET(_xlpm.ADVANCE, INDEX('Heat Sheet'!$A:$I, _xlpm.EVENT, COLUMN()-1), IF(_xlpm.ADVANCE=0, "", _xlpm.ADVANCE))))</f>
        <v/>
      </c>
      <c r="H6" s="10" t="str" cm="1">
        <f t="array" ref="H6">_xlfn.LET(_xlpm.EVENT, _xlfn.XMATCH($A6,'Heat Sheet'!$A:$A), IF(ISNA(_xlpm.EVENT), "", _xlfn.LET(_xlpm.ADVANCE, INDEX('Heat Sheet'!$A:$I, _xlpm.EVENT, COLUMN()-1), IF(_xlpm.ADVANCE=0, "", _xlpm.ADVANCE))))</f>
        <v/>
      </c>
      <c r="I6" s="10" t="str" cm="1">
        <f t="array" ref="I6">_xlfn.LET(_xlpm.EVENT, _xlfn.XMATCH($A6,'Heat Sheet'!$A:$A), IF(ISNA(_xlpm.EVENT), "", _xlfn.LET(_xlpm.ADVANCE, INDEX('Heat Sheet'!$A:$I, _xlpm.EVENT, COLUMN()-1), IF(_xlpm.ADVANCE=0, "", _xlpm.ADVANCE))))</f>
        <v/>
      </c>
      <c r="J6" s="10" t="str" cm="1">
        <f t="array" ref="J6">_xlfn.LET(_xlpm.EVENT, _xlfn.XMATCH($A6,'Heat Sheet'!$A:$A), IF(ISNA(_xlpm.EVENT), "", _xlfn.LET(_xlpm.ADVANCE, INDEX('Heat Sheet'!$A:$I, _xlpm.EVENT, COLUMN()-1), IF(_xlpm.ADVANCE=0, "", _xlpm.ADVANCE))))</f>
        <v/>
      </c>
      <c r="K6" s="139" t="str" cm="1">
        <f t="array" ref="K6">_xlfn.LET(_xlpm.EVENT, _xlfn.XMATCH($A6,'Heat Sheet'!A:A), IF(ISNA(_xlpm.EVENT), "", _xlfn.LET(_xlpm.ADVANCE, INDEX('Heat Sheet'!$A:$I, _xlpm.EVENT+2, 3), IF(_xlpm.ADVANCE=0, "", _xlpm.ADVANCE))))</f>
        <v/>
      </c>
    </row>
    <row r="7" spans="1:11" ht="29.25" customHeight="1" x14ac:dyDescent="0.2">
      <c r="A7" s="12">
        <v>5</v>
      </c>
      <c r="B7" s="7" t="str">
        <f>IFERROR(TEXT(VLOOKUP(A7,'Heat Sheet'!$A:$I, 2, FALSE), "HH:mm"), "")</f>
        <v>09:20</v>
      </c>
      <c r="C7" s="7"/>
      <c r="D7" s="10" t="str" cm="1">
        <f t="array" ref="D7">_xlfn.LET(_xlpm.EVENT, _xlfn.XMATCH($A7,'Heat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7" s="10" t="str" cm="1">
        <f t="array" ref="E7">_xlfn.LET(_xlpm.EVENT, _xlfn.XMATCH($A7,'Heat Sheet'!$A:$A), IF(ISNA(_xlpm.EVENT), "", _xlfn.LET(_xlpm.ADVANCE, INDEX('Heat Sheet'!$A:$I, _xlpm.EVENT, COLUMN()-1), IF(_xlpm.ADVANCE=0, "", _xlpm.ADVANCE))))</f>
        <v/>
      </c>
      <c r="F7" s="10" t="str" cm="1">
        <f t="array" ref="F7">_xlfn.LET(_xlpm.EVENT, _xlfn.XMATCH($A7,'Heat Sheet'!$A:$A), IF(ISNA(_xlpm.EVENT), "", _xlfn.LET(_xlpm.ADVANCE, INDEX('Heat Sheet'!$A:$I, _xlpm.EVENT, COLUMN()-1), IF(_xlpm.ADVANCE=0, "", _xlpm.ADVANCE))))</f>
        <v/>
      </c>
      <c r="G7" s="10" t="str" cm="1">
        <f t="array" ref="G7">_xlfn.LET(_xlpm.EVENT, _xlfn.XMATCH($A7,'Heat Sheet'!$A:$A), IF(ISNA(_xlpm.EVENT), "", _xlfn.LET(_xlpm.ADVANCE, INDEX('Heat Sheet'!$A:$I, _xlpm.EVENT, COLUMN()-1), IF(_xlpm.ADVANCE=0, "", _xlpm.ADVANCE))))</f>
        <v/>
      </c>
      <c r="H7" s="10" t="str" cm="1">
        <f t="array" ref="H7">_xlfn.LET(_xlpm.EVENT, _xlfn.XMATCH($A7,'Heat Sheet'!$A:$A), IF(ISNA(_xlpm.EVENT), "", _xlfn.LET(_xlpm.ADVANCE, INDEX('Heat Sheet'!$A:$I, _xlpm.EVENT, COLUMN()-1), IF(_xlpm.ADVANCE=0, "", _xlpm.ADVANCE))))</f>
        <v/>
      </c>
      <c r="I7" s="10" t="str" cm="1">
        <f t="array" ref="I7">_xlfn.LET(_xlpm.EVENT, _xlfn.XMATCH($A7,'Heat Sheet'!$A:$A), IF(ISNA(_xlpm.EVENT), "", _xlfn.LET(_xlpm.ADVANCE, INDEX('Heat Sheet'!$A:$I, _xlpm.EVENT, COLUMN()-1), IF(_xlpm.ADVANCE=0, "", _xlpm.ADVANCE))))</f>
        <v/>
      </c>
      <c r="J7" s="10" t="str" cm="1">
        <f t="array" ref="J7">_xlfn.LET(_xlpm.EVENT, _xlfn.XMATCH($A7,'Heat Sheet'!$A:$A), IF(ISNA(_xlpm.EVENT), "", _xlfn.LET(_xlpm.ADVANCE, INDEX('Heat Sheet'!$A:$I, _xlpm.EVENT, COLUMN()-1), IF(_xlpm.ADVANCE=0, "", _xlpm.ADVANCE))))</f>
        <v/>
      </c>
      <c r="K7" s="139" t="str" cm="1">
        <f t="array" ref="K7">_xlfn.LET(_xlpm.EVENT, _xlfn.XMATCH($A7,'Heat Sheet'!A:A), IF(ISNA(_xlpm.EVENT), "", _xlfn.LET(_xlpm.ADVANCE, INDEX('Heat Sheet'!$A:$I, _xlpm.EVENT+2, 3), IF(_xlpm.ADVANCE=0, "", _xlpm.ADVANCE))))</f>
        <v/>
      </c>
    </row>
    <row r="8" spans="1:11" ht="29.25" customHeight="1" x14ac:dyDescent="0.2">
      <c r="A8" s="12">
        <v>6</v>
      </c>
      <c r="B8" s="7" t="str">
        <f>IFERROR(TEXT(VLOOKUP(A8,'Heat Sheet'!$A:$I, 2, FALSE), "HH:mm"), "")</f>
        <v>09:25</v>
      </c>
      <c r="C8" s="8"/>
      <c r="D8" s="10" t="str" cm="1">
        <f t="array" ref="D8">_xlfn.LET(_xlpm.EVENT, _xlfn.XMATCH($A8,'Heat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8" s="10" t="str" cm="1">
        <f t="array" ref="E8">_xlfn.LET(_xlpm.EVENT, _xlfn.XMATCH($A8,'Heat Sheet'!$A:$A), IF(ISNA(_xlpm.EVENT), "", _xlfn.LET(_xlpm.ADVANCE, INDEX('Heat Sheet'!$A:$I, _xlpm.EVENT, COLUMN()-1), IF(_xlpm.ADVANCE=0, "", _xlpm.ADVANCE))))</f>
        <v/>
      </c>
      <c r="F8" s="10" t="str" cm="1">
        <f t="array" ref="F8">_xlfn.LET(_xlpm.EVENT, _xlfn.XMATCH($A8,'Heat Sheet'!$A:$A), IF(ISNA(_xlpm.EVENT), "", _xlfn.LET(_xlpm.ADVANCE, INDEX('Heat Sheet'!$A:$I, _xlpm.EVENT, COLUMN()-1), IF(_xlpm.ADVANCE=0, "", _xlpm.ADVANCE))))</f>
        <v/>
      </c>
      <c r="G8" s="10" t="str" cm="1">
        <f t="array" ref="G8">_xlfn.LET(_xlpm.EVENT, _xlfn.XMATCH($A8,'Heat Sheet'!$A:$A), IF(ISNA(_xlpm.EVENT), "", _xlfn.LET(_xlpm.ADVANCE, INDEX('Heat Sheet'!$A:$I, _xlpm.EVENT, COLUMN()-1), IF(_xlpm.ADVANCE=0, "", _xlpm.ADVANCE))))</f>
        <v/>
      </c>
      <c r="H8" s="10" t="str" cm="1">
        <f t="array" ref="H8">_xlfn.LET(_xlpm.EVENT, _xlfn.XMATCH($A8,'Heat Sheet'!$A:$A), IF(ISNA(_xlpm.EVENT), "", _xlfn.LET(_xlpm.ADVANCE, INDEX('Heat Sheet'!$A:$I, _xlpm.EVENT, COLUMN()-1), IF(_xlpm.ADVANCE=0, "", _xlpm.ADVANCE))))</f>
        <v/>
      </c>
      <c r="I8" s="10" t="str" cm="1">
        <f t="array" ref="I8">_xlfn.LET(_xlpm.EVENT, _xlfn.XMATCH($A8,'Heat Sheet'!$A:$A), IF(ISNA(_xlpm.EVENT), "", _xlfn.LET(_xlpm.ADVANCE, INDEX('Heat Sheet'!$A:$I, _xlpm.EVENT, COLUMN()-1), IF(_xlpm.ADVANCE=0, "", _xlpm.ADVANCE))))</f>
        <v/>
      </c>
      <c r="J8" s="10" t="str" cm="1">
        <f t="array" ref="J8">_xlfn.LET(_xlpm.EVENT, _xlfn.XMATCH($A8,'Heat Sheet'!$A:$A), IF(ISNA(_xlpm.EVENT), "", _xlfn.LET(_xlpm.ADVANCE, INDEX('Heat Sheet'!$A:$I, _xlpm.EVENT, COLUMN()-1), IF(_xlpm.ADVANCE=0, "", _xlpm.ADVANCE))))</f>
        <v/>
      </c>
      <c r="K8" s="139" t="str" cm="1">
        <f t="array" ref="K8">_xlfn.LET(_xlpm.EVENT, _xlfn.XMATCH($A8,'Heat Sheet'!A:A), IF(ISNA(_xlpm.EVENT), "", _xlfn.LET(_xlpm.ADVANCE, INDEX('Heat Sheet'!$A:$I, _xlpm.EVENT+2, 3), IF(_xlpm.ADVANCE=0, "", _xlpm.ADVANCE))))</f>
        <v/>
      </c>
    </row>
    <row r="9" spans="1:11" ht="29.25" customHeight="1" x14ac:dyDescent="0.2">
      <c r="A9" s="2">
        <v>7</v>
      </c>
      <c r="B9" s="7" t="str">
        <f>IFERROR(TEXT(VLOOKUP(A9,'Heat Sheet'!$A:$I, 2, FALSE), "HH:mm"), "")</f>
        <v>09:30</v>
      </c>
      <c r="C9" s="134"/>
      <c r="D9" s="10" t="str" cm="1">
        <f t="array" ref="D9">_xlfn.LET(_xlpm.EVENT, _xlfn.XMATCH($A9,'Heat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9" s="10" t="str" cm="1">
        <f t="array" ref="E9">_xlfn.LET(_xlpm.EVENT, _xlfn.XMATCH($A9,'Heat Sheet'!$A:$A), IF(ISNA(_xlpm.EVENT), "", _xlfn.LET(_xlpm.ADVANCE, INDEX('Heat Sheet'!$A:$I, _xlpm.EVENT, COLUMN()-1), IF(_xlpm.ADVANCE=0, "", _xlpm.ADVANCE))))</f>
        <v/>
      </c>
      <c r="F9" s="10" t="str" cm="1">
        <f t="array" ref="F9">_xlfn.LET(_xlpm.EVENT, _xlfn.XMATCH($A9,'Heat Sheet'!$A:$A), IF(ISNA(_xlpm.EVENT), "", _xlfn.LET(_xlpm.ADVANCE, INDEX('Heat Sheet'!$A:$I, _xlpm.EVENT, COLUMN()-1), IF(_xlpm.ADVANCE=0, "", _xlpm.ADVANCE))))</f>
        <v/>
      </c>
      <c r="G9" s="10" t="str" cm="1">
        <f t="array" ref="G9">_xlfn.LET(_xlpm.EVENT, _xlfn.XMATCH($A9,'Heat Sheet'!$A:$A), IF(ISNA(_xlpm.EVENT), "", _xlfn.LET(_xlpm.ADVANCE, INDEX('Heat Sheet'!$A:$I, _xlpm.EVENT, COLUMN()-1), IF(_xlpm.ADVANCE=0, "", _xlpm.ADVANCE))))</f>
        <v/>
      </c>
      <c r="H9" s="10" t="str" cm="1">
        <f t="array" ref="H9">_xlfn.LET(_xlpm.EVENT, _xlfn.XMATCH($A9,'Heat Sheet'!$A:$A), IF(ISNA(_xlpm.EVENT), "", _xlfn.LET(_xlpm.ADVANCE, INDEX('Heat Sheet'!$A:$I, _xlpm.EVENT, COLUMN()-1), IF(_xlpm.ADVANCE=0, "", _xlpm.ADVANCE))))</f>
        <v/>
      </c>
      <c r="I9" s="10" t="str" cm="1">
        <f t="array" ref="I9">_xlfn.LET(_xlpm.EVENT, _xlfn.XMATCH($A9,'Heat Sheet'!$A:$A), IF(ISNA(_xlpm.EVENT), "", _xlfn.LET(_xlpm.ADVANCE, INDEX('Heat Sheet'!$A:$I, _xlpm.EVENT, COLUMN()-1), IF(_xlpm.ADVANCE=0, "", _xlpm.ADVANCE))))</f>
        <v/>
      </c>
      <c r="J9" s="10" t="str" cm="1">
        <f t="array" ref="J9">_xlfn.LET(_xlpm.EVENT, _xlfn.XMATCH($A9,'Heat Sheet'!$A:$A), IF(ISNA(_xlpm.EVENT), "", _xlfn.LET(_xlpm.ADVANCE, INDEX('Heat Sheet'!$A:$I, _xlpm.EVENT, COLUMN()-1), IF(_xlpm.ADVANCE=0, "", _xlpm.ADVANCE))))</f>
        <v/>
      </c>
      <c r="K9" s="139" t="str" cm="1">
        <f t="array" ref="K9">_xlfn.LET(_xlpm.EVENT, _xlfn.XMATCH($A9,'Heat Sheet'!A:A), IF(ISNA(_xlpm.EVENT), "", _xlfn.LET(_xlpm.ADVANCE, INDEX('Heat Sheet'!$A:$I, _xlpm.EVENT+2, 3), IF(_xlpm.ADVANCE=0, "", _xlpm.ADVANCE))))</f>
        <v/>
      </c>
    </row>
    <row r="10" spans="1:11" ht="29.25" customHeight="1" x14ac:dyDescent="0.2">
      <c r="A10" s="12">
        <v>8</v>
      </c>
      <c r="B10" s="7" t="str">
        <f>IFERROR(TEXT(VLOOKUP(A10,'Heat Sheet'!$A:$I, 2, FALSE), "HH:mm"), "")</f>
        <v>09:35</v>
      </c>
      <c r="C10" s="8"/>
      <c r="D10" s="10" t="str" cm="1">
        <f t="array" ref="D10">_xlfn.LET(_xlpm.EVENT, _xlfn.XMATCH($A10,'Heat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10" s="10" t="str" cm="1">
        <f t="array" ref="E10">_xlfn.LET(_xlpm.EVENT, _xlfn.XMATCH($A10,'Heat Sheet'!$A:$A), IF(ISNA(_xlpm.EVENT), "", _xlfn.LET(_xlpm.ADVANCE, INDEX('Heat Sheet'!$A:$I, _xlpm.EVENT, COLUMN()-1), IF(_xlpm.ADVANCE=0, "", _xlpm.ADVANCE))))</f>
        <v/>
      </c>
      <c r="F10" s="10" t="str" cm="1">
        <f t="array" ref="F10">_xlfn.LET(_xlpm.EVENT, _xlfn.XMATCH($A10,'Heat Sheet'!$A:$A), IF(ISNA(_xlpm.EVENT), "", _xlfn.LET(_xlpm.ADVANCE, INDEX('Heat Sheet'!$A:$I, _xlpm.EVENT, COLUMN()-1), IF(_xlpm.ADVANCE=0, "", _xlpm.ADVANCE))))</f>
        <v/>
      </c>
      <c r="G10" s="10" t="str" cm="1">
        <f t="array" ref="G10">_xlfn.LET(_xlpm.EVENT, _xlfn.XMATCH($A10,'Heat Sheet'!$A:$A), IF(ISNA(_xlpm.EVENT), "", _xlfn.LET(_xlpm.ADVANCE, INDEX('Heat Sheet'!$A:$I, _xlpm.EVENT, COLUMN()-1), IF(_xlpm.ADVANCE=0, "", _xlpm.ADVANCE))))</f>
        <v/>
      </c>
      <c r="H10" s="10" t="str" cm="1">
        <f t="array" ref="H10">_xlfn.LET(_xlpm.EVENT, _xlfn.XMATCH($A10,'Heat Sheet'!$A:$A), IF(ISNA(_xlpm.EVENT), "", _xlfn.LET(_xlpm.ADVANCE, INDEX('Heat Sheet'!$A:$I, _xlpm.EVENT, COLUMN()-1), IF(_xlpm.ADVANCE=0, "", _xlpm.ADVANCE))))</f>
        <v/>
      </c>
      <c r="I10" s="10" t="str" cm="1">
        <f t="array" ref="I10">_xlfn.LET(_xlpm.EVENT, _xlfn.XMATCH($A10,'Heat Sheet'!$A:$A), IF(ISNA(_xlpm.EVENT), "", _xlfn.LET(_xlpm.ADVANCE, INDEX('Heat Sheet'!$A:$I, _xlpm.EVENT, COLUMN()-1), IF(_xlpm.ADVANCE=0, "", _xlpm.ADVANCE))))</f>
        <v/>
      </c>
      <c r="J10" s="10" t="str" cm="1">
        <f t="array" ref="J10">_xlfn.LET(_xlpm.EVENT, _xlfn.XMATCH($A10,'Heat Sheet'!$A:$A), IF(ISNA(_xlpm.EVENT), "", _xlfn.LET(_xlpm.ADVANCE, INDEX('Heat Sheet'!$A:$I, _xlpm.EVENT, COLUMN()-1), IF(_xlpm.ADVANCE=0, "", _xlpm.ADVANCE))))</f>
        <v/>
      </c>
      <c r="K10" s="139" t="str" cm="1">
        <f t="array" ref="K10">_xlfn.LET(_xlpm.EVENT, _xlfn.XMATCH($A10,'Heat Sheet'!A:A), IF(ISNA(_xlpm.EVENT), "", _xlfn.LET(_xlpm.ADVANCE, INDEX('Heat Sheet'!$A:$I, _xlpm.EVENT+2, 3), IF(_xlpm.ADVANCE=0, "", _xlpm.ADVANCE))))</f>
        <v/>
      </c>
    </row>
    <row r="11" spans="1:11" s="111" customFormat="1" ht="29.25" customHeight="1" x14ac:dyDescent="0.2">
      <c r="A11" s="12">
        <v>9</v>
      </c>
      <c r="B11" s="7" t="str">
        <f>IFERROR(TEXT(VLOOKUP(A11,'Heat Sheet'!$A:$I, 2, FALSE), "HH:mm"), "")</f>
        <v>09:40</v>
      </c>
      <c r="C11" s="7"/>
      <c r="D11" s="10" t="str" cm="1">
        <f t="array" ref="D11">_xlfn.LET(_xlpm.EVENT, _xlfn.XMATCH($A11,'Heat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11" s="10" t="str" cm="1">
        <f t="array" ref="E11">_xlfn.LET(_xlpm.EVENT, _xlfn.XMATCH($A11,'Heat Sheet'!$A:$A), IF(ISNA(_xlpm.EVENT), "", _xlfn.LET(_xlpm.ADVANCE, INDEX('Heat Sheet'!$A:$I, _xlpm.EVENT, COLUMN()-1), IF(_xlpm.ADVANCE=0, "", _xlpm.ADVANCE))))</f>
        <v/>
      </c>
      <c r="F11" s="10" t="str" cm="1">
        <f t="array" ref="F11">_xlfn.LET(_xlpm.EVENT, _xlfn.XMATCH($A11,'Heat Sheet'!$A:$A), IF(ISNA(_xlpm.EVENT), "", _xlfn.LET(_xlpm.ADVANCE, INDEX('Heat Sheet'!$A:$I, _xlpm.EVENT, COLUMN()-1), IF(_xlpm.ADVANCE=0, "", _xlpm.ADVANCE))))</f>
        <v/>
      </c>
      <c r="G11" s="10" t="str" cm="1">
        <f t="array" ref="G11">_xlfn.LET(_xlpm.EVENT, _xlfn.XMATCH($A11,'Heat Sheet'!$A:$A), IF(ISNA(_xlpm.EVENT), "", _xlfn.LET(_xlpm.ADVANCE, INDEX('Heat Sheet'!$A:$I, _xlpm.EVENT, COLUMN()-1), IF(_xlpm.ADVANCE=0, "", _xlpm.ADVANCE))))</f>
        <v/>
      </c>
      <c r="H11" s="10" t="str" cm="1">
        <f t="array" ref="H11">_xlfn.LET(_xlpm.EVENT, _xlfn.XMATCH($A11,'Heat Sheet'!$A:$A), IF(ISNA(_xlpm.EVENT), "", _xlfn.LET(_xlpm.ADVANCE, INDEX('Heat Sheet'!$A:$I, _xlpm.EVENT, COLUMN()-1), IF(_xlpm.ADVANCE=0, "", _xlpm.ADVANCE))))</f>
        <v/>
      </c>
      <c r="I11" s="10" t="str" cm="1">
        <f t="array" ref="I11">_xlfn.LET(_xlpm.EVENT, _xlfn.XMATCH($A11,'Heat Sheet'!$A:$A), IF(ISNA(_xlpm.EVENT), "", _xlfn.LET(_xlpm.ADVANCE, INDEX('Heat Sheet'!$A:$I, _xlpm.EVENT, COLUMN()-1), IF(_xlpm.ADVANCE=0, "", _xlpm.ADVANCE))))</f>
        <v/>
      </c>
      <c r="J11" s="10" t="str" cm="1">
        <f t="array" ref="J11">_xlfn.LET(_xlpm.EVENT, _xlfn.XMATCH($A11,'Heat Sheet'!$A:$A), IF(ISNA(_xlpm.EVENT), "", _xlfn.LET(_xlpm.ADVANCE, INDEX('Heat Sheet'!$A:$I, _xlpm.EVENT, COLUMN()-1), IF(_xlpm.ADVANCE=0, "", _xlpm.ADVANCE))))</f>
        <v/>
      </c>
      <c r="K11" s="139" t="str" cm="1">
        <f t="array" ref="K11">_xlfn.LET(_xlpm.EVENT, _xlfn.XMATCH($A11,'Heat Sheet'!A:A), IF(ISNA(_xlpm.EVENT), "", _xlfn.LET(_xlpm.ADVANCE, INDEX('Heat Sheet'!$A:$I, _xlpm.EVENT+2, 3), IF(_xlpm.ADVANCE=0, "", _xlpm.ADVANCE))))</f>
        <v/>
      </c>
    </row>
    <row r="12" spans="1:11" ht="29.25" customHeight="1" x14ac:dyDescent="0.2">
      <c r="A12" s="12">
        <v>10</v>
      </c>
      <c r="B12" s="7" t="str">
        <f>IFERROR(TEXT(VLOOKUP(A12,'Heat Sheet'!$A:$I, 2, FALSE), "HH:mm"), "")</f>
        <v>09:45</v>
      </c>
      <c r="C12" s="7"/>
      <c r="D12" s="10" t="str" cm="1">
        <f t="array" ref="D12">_xlfn.LET(_xlpm.EVENT, _xlfn.XMATCH($A12,'Heat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12" s="10" t="str" cm="1">
        <f t="array" ref="E12">_xlfn.LET(_xlpm.EVENT, _xlfn.XMATCH($A12,'Heat Sheet'!$A:$A), IF(ISNA(_xlpm.EVENT), "", _xlfn.LET(_xlpm.ADVANCE, INDEX('Heat Sheet'!$A:$I, _xlpm.EVENT, COLUMN()-1), IF(_xlpm.ADVANCE=0, "", _xlpm.ADVANCE))))</f>
        <v/>
      </c>
      <c r="F12" s="10" t="str" cm="1">
        <f t="array" ref="F12">_xlfn.LET(_xlpm.EVENT, _xlfn.XMATCH($A12,'Heat Sheet'!$A:$A), IF(ISNA(_xlpm.EVENT), "", _xlfn.LET(_xlpm.ADVANCE, INDEX('Heat Sheet'!$A:$I, _xlpm.EVENT, COLUMN()-1), IF(_xlpm.ADVANCE=0, "", _xlpm.ADVANCE))))</f>
        <v/>
      </c>
      <c r="G12" s="10" t="str" cm="1">
        <f t="array" ref="G12">_xlfn.LET(_xlpm.EVENT, _xlfn.XMATCH($A12,'Heat Sheet'!$A:$A), IF(ISNA(_xlpm.EVENT), "", _xlfn.LET(_xlpm.ADVANCE, INDEX('Heat Sheet'!$A:$I, _xlpm.EVENT, COLUMN()-1), IF(_xlpm.ADVANCE=0, "", _xlpm.ADVANCE))))</f>
        <v/>
      </c>
      <c r="H12" s="10" t="str" cm="1">
        <f t="array" ref="H12">_xlfn.LET(_xlpm.EVENT, _xlfn.XMATCH($A12,'Heat Sheet'!$A:$A), IF(ISNA(_xlpm.EVENT), "", _xlfn.LET(_xlpm.ADVANCE, INDEX('Heat Sheet'!$A:$I, _xlpm.EVENT, COLUMN()-1), IF(_xlpm.ADVANCE=0, "", _xlpm.ADVANCE))))</f>
        <v/>
      </c>
      <c r="I12" s="10" t="str" cm="1">
        <f t="array" ref="I12">_xlfn.LET(_xlpm.EVENT, _xlfn.XMATCH($A12,'Heat Sheet'!$A:$A), IF(ISNA(_xlpm.EVENT), "", _xlfn.LET(_xlpm.ADVANCE, INDEX('Heat Sheet'!$A:$I, _xlpm.EVENT, COLUMN()-1), IF(_xlpm.ADVANCE=0, "", _xlpm.ADVANCE))))</f>
        <v/>
      </c>
      <c r="J12" s="10" t="str" cm="1">
        <f t="array" ref="J12">_xlfn.LET(_xlpm.EVENT, _xlfn.XMATCH($A12,'Heat Sheet'!$A:$A), IF(ISNA(_xlpm.EVENT), "", _xlfn.LET(_xlpm.ADVANCE, INDEX('Heat Sheet'!$A:$I, _xlpm.EVENT, COLUMN()-1), IF(_xlpm.ADVANCE=0, "", _xlpm.ADVANCE))))</f>
        <v/>
      </c>
      <c r="K12" s="139" t="str" cm="1">
        <f t="array" ref="K12">_xlfn.LET(_xlpm.EVENT, _xlfn.XMATCH($A12,'Heat Sheet'!A:A), IF(ISNA(_xlpm.EVENT), "", _xlfn.LET(_xlpm.ADVANCE, INDEX('Heat Sheet'!$A:$I, _xlpm.EVENT+2, 3), IF(_xlpm.ADVANCE=0, "", _xlpm.ADVANCE))))</f>
        <v/>
      </c>
    </row>
    <row r="13" spans="1:11" ht="29.25" customHeight="1" x14ac:dyDescent="0.2">
      <c r="A13" s="12">
        <v>11</v>
      </c>
      <c r="B13" s="7" t="str">
        <f>IFERROR(TEXT(VLOOKUP(A13,'Heat Sheet'!$A:$I, 2, FALSE), "HH:mm"), "")</f>
        <v>09:50</v>
      </c>
      <c r="C13" s="7"/>
      <c r="D13" s="10" t="str" cm="1">
        <f t="array" ref="D13">_xlfn.LET(_xlpm.EVENT, _xlfn.XMATCH($A13,'Heat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13" s="10" t="str" cm="1">
        <f t="array" ref="E13">_xlfn.LET(_xlpm.EVENT, _xlfn.XMATCH($A13,'Heat Sheet'!$A:$A), IF(ISNA(_xlpm.EVENT), "", _xlfn.LET(_xlpm.ADVANCE, INDEX('Heat Sheet'!$A:$I, _xlpm.EVENT, COLUMN()-1), IF(_xlpm.ADVANCE=0, "", _xlpm.ADVANCE))))</f>
        <v/>
      </c>
      <c r="F13" s="10" t="str" cm="1">
        <f t="array" ref="F13">_xlfn.LET(_xlpm.EVENT, _xlfn.XMATCH($A13,'Heat Sheet'!$A:$A), IF(ISNA(_xlpm.EVENT), "", _xlfn.LET(_xlpm.ADVANCE, INDEX('Heat Sheet'!$A:$I, _xlpm.EVENT, COLUMN()-1), IF(_xlpm.ADVANCE=0, "", _xlpm.ADVANCE))))</f>
        <v/>
      </c>
      <c r="G13" s="10" t="str" cm="1">
        <f t="array" ref="G13">_xlfn.LET(_xlpm.EVENT, _xlfn.XMATCH($A13,'Heat Sheet'!$A:$A), IF(ISNA(_xlpm.EVENT), "", _xlfn.LET(_xlpm.ADVANCE, INDEX('Heat Sheet'!$A:$I, _xlpm.EVENT, COLUMN()-1), IF(_xlpm.ADVANCE=0, "", _xlpm.ADVANCE))))</f>
        <v/>
      </c>
      <c r="H13" s="10" t="str" cm="1">
        <f t="array" ref="H13">_xlfn.LET(_xlpm.EVENT, _xlfn.XMATCH($A13,'Heat Sheet'!$A:$A), IF(ISNA(_xlpm.EVENT), "", _xlfn.LET(_xlpm.ADVANCE, INDEX('Heat Sheet'!$A:$I, _xlpm.EVENT, COLUMN()-1), IF(_xlpm.ADVANCE=0, "", _xlpm.ADVANCE))))</f>
        <v/>
      </c>
      <c r="I13" s="10" t="str" cm="1">
        <f t="array" ref="I13">_xlfn.LET(_xlpm.EVENT, _xlfn.XMATCH($A13,'Heat Sheet'!$A:$A), IF(ISNA(_xlpm.EVENT), "", _xlfn.LET(_xlpm.ADVANCE, INDEX('Heat Sheet'!$A:$I, _xlpm.EVENT, COLUMN()-1), IF(_xlpm.ADVANCE=0, "", _xlpm.ADVANCE))))</f>
        <v/>
      </c>
      <c r="J13" s="10" t="str" cm="1">
        <f t="array" ref="J13">_xlfn.LET(_xlpm.EVENT, _xlfn.XMATCH($A13,'Heat Sheet'!$A:$A), IF(ISNA(_xlpm.EVENT), "", _xlfn.LET(_xlpm.ADVANCE, INDEX('Heat Sheet'!$A:$I, _xlpm.EVENT, COLUMN()-1), IF(_xlpm.ADVANCE=0, "", _xlpm.ADVANCE))))</f>
        <v/>
      </c>
      <c r="K13" s="139" t="str" cm="1">
        <f t="array" ref="K13">_xlfn.LET(_xlpm.EVENT, _xlfn.XMATCH($A13,'Heat Sheet'!A:A), IF(ISNA(_xlpm.EVENT), "", _xlfn.LET(_xlpm.ADVANCE, INDEX('Heat Sheet'!$A:$I, _xlpm.EVENT+2, 3), IF(_xlpm.ADVANCE=0, "", _xlpm.ADVANCE))))</f>
        <v/>
      </c>
    </row>
    <row r="14" spans="1:11" ht="29.25" customHeight="1" x14ac:dyDescent="0.2">
      <c r="A14" s="12">
        <v>12</v>
      </c>
      <c r="B14" s="7" t="str">
        <f>IFERROR(TEXT(VLOOKUP(A14,'Heat Sheet'!$A:$I, 2, FALSE), "HH:mm"), "")</f>
        <v>09:55</v>
      </c>
      <c r="C14" s="7"/>
      <c r="D14" s="10" t="str" cm="1">
        <f t="array" ref="D14">_xlfn.LET(_xlpm.EVENT, _xlfn.XMATCH($A14,'Heat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14" s="10" t="str" cm="1">
        <f t="array" ref="E14">_xlfn.LET(_xlpm.EVENT, _xlfn.XMATCH($A14,'Heat Sheet'!$A:$A), IF(ISNA(_xlpm.EVENT), "", _xlfn.LET(_xlpm.ADVANCE, INDEX('Heat Sheet'!$A:$I, _xlpm.EVENT, COLUMN()-1), IF(_xlpm.ADVANCE=0, "", _xlpm.ADVANCE))))</f>
        <v/>
      </c>
      <c r="F14" s="10" t="str" cm="1">
        <f t="array" ref="F14">_xlfn.LET(_xlpm.EVENT, _xlfn.XMATCH($A14,'Heat Sheet'!$A:$A), IF(ISNA(_xlpm.EVENT), "", _xlfn.LET(_xlpm.ADVANCE, INDEX('Heat Sheet'!$A:$I, _xlpm.EVENT, COLUMN()-1), IF(_xlpm.ADVANCE=0, "", _xlpm.ADVANCE))))</f>
        <v/>
      </c>
      <c r="G14" s="10" t="str" cm="1">
        <f t="array" ref="G14">_xlfn.LET(_xlpm.EVENT, _xlfn.XMATCH($A14,'Heat Sheet'!$A:$A), IF(ISNA(_xlpm.EVENT), "", _xlfn.LET(_xlpm.ADVANCE, INDEX('Heat Sheet'!$A:$I, _xlpm.EVENT, COLUMN()-1), IF(_xlpm.ADVANCE=0, "", _xlpm.ADVANCE))))</f>
        <v/>
      </c>
      <c r="H14" s="10" t="str" cm="1">
        <f t="array" ref="H14">_xlfn.LET(_xlpm.EVENT, _xlfn.XMATCH($A14,'Heat Sheet'!$A:$A), IF(ISNA(_xlpm.EVENT), "", _xlfn.LET(_xlpm.ADVANCE, INDEX('Heat Sheet'!$A:$I, _xlpm.EVENT, COLUMN()-1), IF(_xlpm.ADVANCE=0, "", _xlpm.ADVANCE))))</f>
        <v/>
      </c>
      <c r="I14" s="10" t="str" cm="1">
        <f t="array" ref="I14">_xlfn.LET(_xlpm.EVENT, _xlfn.XMATCH($A14,'Heat Sheet'!$A:$A), IF(ISNA(_xlpm.EVENT), "", _xlfn.LET(_xlpm.ADVANCE, INDEX('Heat Sheet'!$A:$I, _xlpm.EVENT, COLUMN()-1), IF(_xlpm.ADVANCE=0, "", _xlpm.ADVANCE))))</f>
        <v/>
      </c>
      <c r="J14" s="10" t="str" cm="1">
        <f t="array" ref="J14">_xlfn.LET(_xlpm.EVENT, _xlfn.XMATCH($A14,'Heat Sheet'!$A:$A), IF(ISNA(_xlpm.EVENT), "", _xlfn.LET(_xlpm.ADVANCE, INDEX('Heat Sheet'!$A:$I, _xlpm.EVENT, COLUMN()-1), IF(_xlpm.ADVANCE=0, "", _xlpm.ADVANCE))))</f>
        <v/>
      </c>
      <c r="K14" s="139" t="str" cm="1">
        <f t="array" ref="K14">_xlfn.LET(_xlpm.EVENT, _xlfn.XMATCH($A14,'Heat Sheet'!A:A), IF(ISNA(_xlpm.EVENT), "", _xlfn.LET(_xlpm.ADVANCE, INDEX('Heat Sheet'!$A:$I, _xlpm.EVENT+2, 3), IF(_xlpm.ADVANCE=0, "", _xlpm.ADVANCE))))</f>
        <v/>
      </c>
    </row>
    <row r="15" spans="1:11" ht="29.25" customHeight="1" x14ac:dyDescent="0.2">
      <c r="A15" s="12">
        <v>13</v>
      </c>
      <c r="B15" s="7" t="str">
        <f>IFERROR(TEXT(VLOOKUP(A15,'Heat Sheet'!$A:$I, 2, FALSE), "HH:mm"), "")</f>
        <v>10:00</v>
      </c>
      <c r="C15" s="7"/>
      <c r="D15" s="10" t="str" cm="1">
        <f t="array" ref="D15">_xlfn.LET(_xlpm.EVENT, _xlfn.XMATCH($A15,'Heat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15" s="10" t="str" cm="1">
        <f t="array" ref="E15">_xlfn.LET(_xlpm.EVENT, _xlfn.XMATCH($A15,'Heat Sheet'!$A:$A), IF(ISNA(_xlpm.EVENT), "", _xlfn.LET(_xlpm.ADVANCE, INDEX('Heat Sheet'!$A:$I, _xlpm.EVENT, COLUMN()-1), IF(_xlpm.ADVANCE=0, "", _xlpm.ADVANCE))))</f>
        <v/>
      </c>
      <c r="F15" s="10" t="str" cm="1">
        <f t="array" ref="F15">_xlfn.LET(_xlpm.EVENT, _xlfn.XMATCH($A15,'Heat Sheet'!$A:$A), IF(ISNA(_xlpm.EVENT), "", _xlfn.LET(_xlpm.ADVANCE, INDEX('Heat Sheet'!$A:$I, _xlpm.EVENT, COLUMN()-1), IF(_xlpm.ADVANCE=0, "", _xlpm.ADVANCE))))</f>
        <v/>
      </c>
      <c r="G15" s="10" t="str" cm="1">
        <f t="array" ref="G15">_xlfn.LET(_xlpm.EVENT, _xlfn.XMATCH($A15,'Heat Sheet'!$A:$A), IF(ISNA(_xlpm.EVENT), "", _xlfn.LET(_xlpm.ADVANCE, INDEX('Heat Sheet'!$A:$I, _xlpm.EVENT, COLUMN()-1), IF(_xlpm.ADVANCE=0, "", _xlpm.ADVANCE))))</f>
        <v/>
      </c>
      <c r="H15" s="10" t="str" cm="1">
        <f t="array" ref="H15">_xlfn.LET(_xlpm.EVENT, _xlfn.XMATCH($A15,'Heat Sheet'!$A:$A), IF(ISNA(_xlpm.EVENT), "", _xlfn.LET(_xlpm.ADVANCE, INDEX('Heat Sheet'!$A:$I, _xlpm.EVENT, COLUMN()-1), IF(_xlpm.ADVANCE=0, "", _xlpm.ADVANCE))))</f>
        <v/>
      </c>
      <c r="I15" s="10" t="str" cm="1">
        <f t="array" ref="I15">_xlfn.LET(_xlpm.EVENT, _xlfn.XMATCH($A15,'Heat Sheet'!$A:$A), IF(ISNA(_xlpm.EVENT), "", _xlfn.LET(_xlpm.ADVANCE, INDEX('Heat Sheet'!$A:$I, _xlpm.EVENT, COLUMN()-1), IF(_xlpm.ADVANCE=0, "", _xlpm.ADVANCE))))</f>
        <v/>
      </c>
      <c r="J15" s="10" t="str" cm="1">
        <f t="array" ref="J15">_xlfn.LET(_xlpm.EVENT, _xlfn.XMATCH($A15,'Heat Sheet'!$A:$A), IF(ISNA(_xlpm.EVENT), "", _xlfn.LET(_xlpm.ADVANCE, INDEX('Heat Sheet'!$A:$I, _xlpm.EVENT, COLUMN()-1), IF(_xlpm.ADVANCE=0, "", _xlpm.ADVANCE))))</f>
        <v/>
      </c>
      <c r="K15" s="139" t="str" cm="1">
        <f t="array" ref="K15">_xlfn.LET(_xlpm.EVENT, _xlfn.XMATCH($A15,'Heat Sheet'!A:A), IF(ISNA(_xlpm.EVENT), "", _xlfn.LET(_xlpm.ADVANCE, INDEX('Heat Sheet'!$A:$I, _xlpm.EVENT+2, 3), IF(_xlpm.ADVANCE=0, "", _xlpm.ADVANCE))))</f>
        <v/>
      </c>
    </row>
    <row r="16" spans="1:11" ht="29.25" customHeight="1" x14ac:dyDescent="0.2">
      <c r="A16" s="12">
        <v>14</v>
      </c>
      <c r="B16" s="7" t="str">
        <f>IFERROR(TEXT(VLOOKUP(A16,'Heat Sheet'!$A:$I, 2, FALSE), "HH:mm"), "")</f>
        <v>10:05</v>
      </c>
      <c r="C16" s="7"/>
      <c r="D16" s="10" t="str" cm="1">
        <f t="array" ref="D16">_xlfn.LET(_xlpm.EVENT, _xlfn.XMATCH($A16,'Heat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16" s="10" t="str" cm="1">
        <f t="array" ref="E16">_xlfn.LET(_xlpm.EVENT, _xlfn.XMATCH($A16,'Heat Sheet'!$A:$A), IF(ISNA(_xlpm.EVENT), "", _xlfn.LET(_xlpm.ADVANCE, INDEX('Heat Sheet'!$A:$I, _xlpm.EVENT, COLUMN()-1), IF(_xlpm.ADVANCE=0, "", _xlpm.ADVANCE))))</f>
        <v/>
      </c>
      <c r="F16" s="10" t="str" cm="1">
        <f t="array" ref="F16">_xlfn.LET(_xlpm.EVENT, _xlfn.XMATCH($A16,'Heat Sheet'!$A:$A), IF(ISNA(_xlpm.EVENT), "", _xlfn.LET(_xlpm.ADVANCE, INDEX('Heat Sheet'!$A:$I, _xlpm.EVENT, COLUMN()-1), IF(_xlpm.ADVANCE=0, "", _xlpm.ADVANCE))))</f>
        <v/>
      </c>
      <c r="G16" s="10" t="str" cm="1">
        <f t="array" ref="G16">_xlfn.LET(_xlpm.EVENT, _xlfn.XMATCH($A16,'Heat Sheet'!$A:$A), IF(ISNA(_xlpm.EVENT), "", _xlfn.LET(_xlpm.ADVANCE, INDEX('Heat Sheet'!$A:$I, _xlpm.EVENT, COLUMN()-1), IF(_xlpm.ADVANCE=0, "", _xlpm.ADVANCE))))</f>
        <v/>
      </c>
      <c r="H16" s="10" t="str" cm="1">
        <f t="array" ref="H16">_xlfn.LET(_xlpm.EVENT, _xlfn.XMATCH($A16,'Heat Sheet'!$A:$A), IF(ISNA(_xlpm.EVENT), "", _xlfn.LET(_xlpm.ADVANCE, INDEX('Heat Sheet'!$A:$I, _xlpm.EVENT, COLUMN()-1), IF(_xlpm.ADVANCE=0, "", _xlpm.ADVANCE))))</f>
        <v/>
      </c>
      <c r="I16" s="10" t="str" cm="1">
        <f t="array" ref="I16">_xlfn.LET(_xlpm.EVENT, _xlfn.XMATCH($A16,'Heat Sheet'!$A:$A), IF(ISNA(_xlpm.EVENT), "", _xlfn.LET(_xlpm.ADVANCE, INDEX('Heat Sheet'!$A:$I, _xlpm.EVENT, COLUMN()-1), IF(_xlpm.ADVANCE=0, "", _xlpm.ADVANCE))))</f>
        <v/>
      </c>
      <c r="J16" s="10" t="str" cm="1">
        <f t="array" ref="J16">_xlfn.LET(_xlpm.EVENT, _xlfn.XMATCH($A16,'Heat Sheet'!$A:$A), IF(ISNA(_xlpm.EVENT), "", _xlfn.LET(_xlpm.ADVANCE, INDEX('Heat Sheet'!$A:$I, _xlpm.EVENT, COLUMN()-1), IF(_xlpm.ADVANCE=0, "", _xlpm.ADVANCE))))</f>
        <v/>
      </c>
      <c r="K16" s="139" t="str" cm="1">
        <f t="array" ref="K16">_xlfn.LET(_xlpm.EVENT, _xlfn.XMATCH($A16,'Heat Sheet'!A:A), IF(ISNA(_xlpm.EVENT), "", _xlfn.LET(_xlpm.ADVANCE, INDEX('Heat Sheet'!$A:$I, _xlpm.EVENT+2, 3), IF(_xlpm.ADVANCE=0, "", _xlpm.ADVANCE))))</f>
        <v/>
      </c>
    </row>
    <row r="17" spans="1:11" ht="29.25" customHeight="1" x14ac:dyDescent="0.2">
      <c r="A17" s="12">
        <v>15</v>
      </c>
      <c r="B17" s="7" t="str">
        <f>IFERROR(TEXT(VLOOKUP(A17,'Heat Sheet'!$A:$I, 2, FALSE), "HH:mm"), "")</f>
        <v>10:10</v>
      </c>
      <c r="C17" s="7"/>
      <c r="D17" s="10" t="str" cm="1">
        <f t="array" ref="D17">_xlfn.LET(_xlpm.EVENT, _xlfn.XMATCH($A17,'Heat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17" s="10" t="str" cm="1">
        <f t="array" ref="E17">_xlfn.LET(_xlpm.EVENT, _xlfn.XMATCH($A17,'Heat Sheet'!$A:$A), IF(ISNA(_xlpm.EVENT), "", _xlfn.LET(_xlpm.ADVANCE, INDEX('Heat Sheet'!$A:$I, _xlpm.EVENT, COLUMN()-1), IF(_xlpm.ADVANCE=0, "", _xlpm.ADVANCE))))</f>
        <v/>
      </c>
      <c r="F17" s="10" t="str" cm="1">
        <f t="array" ref="F17">_xlfn.LET(_xlpm.EVENT, _xlfn.XMATCH($A17,'Heat Sheet'!$A:$A), IF(ISNA(_xlpm.EVENT), "", _xlfn.LET(_xlpm.ADVANCE, INDEX('Heat Sheet'!$A:$I, _xlpm.EVENT, COLUMN()-1), IF(_xlpm.ADVANCE=0, "", _xlpm.ADVANCE))))</f>
        <v/>
      </c>
      <c r="G17" s="10" t="str" cm="1">
        <f t="array" ref="G17">_xlfn.LET(_xlpm.EVENT, _xlfn.XMATCH($A17,'Heat Sheet'!$A:$A), IF(ISNA(_xlpm.EVENT), "", _xlfn.LET(_xlpm.ADVANCE, INDEX('Heat Sheet'!$A:$I, _xlpm.EVENT, COLUMN()-1), IF(_xlpm.ADVANCE=0, "", _xlpm.ADVANCE))))</f>
        <v/>
      </c>
      <c r="H17" s="10" t="str" cm="1">
        <f t="array" ref="H17">_xlfn.LET(_xlpm.EVENT, _xlfn.XMATCH($A17,'Heat Sheet'!$A:$A), IF(ISNA(_xlpm.EVENT), "", _xlfn.LET(_xlpm.ADVANCE, INDEX('Heat Sheet'!$A:$I, _xlpm.EVENT, COLUMN()-1), IF(_xlpm.ADVANCE=0, "", _xlpm.ADVANCE))))</f>
        <v/>
      </c>
      <c r="I17" s="10" t="str" cm="1">
        <f t="array" ref="I17">_xlfn.LET(_xlpm.EVENT, _xlfn.XMATCH($A17,'Heat Sheet'!$A:$A), IF(ISNA(_xlpm.EVENT), "", _xlfn.LET(_xlpm.ADVANCE, INDEX('Heat Sheet'!$A:$I, _xlpm.EVENT, COLUMN()-1), IF(_xlpm.ADVANCE=0, "", _xlpm.ADVANCE))))</f>
        <v/>
      </c>
      <c r="J17" s="10" t="str" cm="1">
        <f t="array" ref="J17">_xlfn.LET(_xlpm.EVENT, _xlfn.XMATCH($A17,'Heat Sheet'!$A:$A), IF(ISNA(_xlpm.EVENT), "", _xlfn.LET(_xlpm.ADVANCE, INDEX('Heat Sheet'!$A:$I, _xlpm.EVENT, COLUMN()-1), IF(_xlpm.ADVANCE=0, "", _xlpm.ADVANCE))))</f>
        <v/>
      </c>
      <c r="K17" s="139" t="str" cm="1">
        <f t="array" ref="K17">_xlfn.LET(_xlpm.EVENT, _xlfn.XMATCH($A17,'Heat Sheet'!A:A), IF(ISNA(_xlpm.EVENT), "", _xlfn.LET(_xlpm.ADVANCE, INDEX('Heat Sheet'!$A:$I, _xlpm.EVENT+2, 3), IF(_xlpm.ADVANCE=0, "", _xlpm.ADVANCE))))</f>
        <v/>
      </c>
    </row>
    <row r="18" spans="1:11" ht="29.25" customHeight="1" x14ac:dyDescent="0.2">
      <c r="A18" s="12">
        <v>16</v>
      </c>
      <c r="B18" s="7" t="str">
        <f>IFERROR(TEXT(VLOOKUP(A18,'Heat Sheet'!$A:$I, 2, FALSE), "HH:mm"), "")</f>
        <v>10:15</v>
      </c>
      <c r="C18" s="7"/>
      <c r="D18" s="10" t="str" cm="1">
        <f t="array" ref="D18">_xlfn.LET(_xlpm.EVENT, _xlfn.XMATCH($A18,'Heat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18" s="10" t="str" cm="1">
        <f t="array" ref="E18">_xlfn.LET(_xlpm.EVENT, _xlfn.XMATCH($A18,'Heat Sheet'!$A:$A), IF(ISNA(_xlpm.EVENT), "", _xlfn.LET(_xlpm.ADVANCE, INDEX('Heat Sheet'!$A:$I, _xlpm.EVENT, COLUMN()-1), IF(_xlpm.ADVANCE=0, "", _xlpm.ADVANCE))))</f>
        <v/>
      </c>
      <c r="F18" s="10" t="str" cm="1">
        <f t="array" ref="F18">_xlfn.LET(_xlpm.EVENT, _xlfn.XMATCH($A18,'Heat Sheet'!$A:$A), IF(ISNA(_xlpm.EVENT), "", _xlfn.LET(_xlpm.ADVANCE, INDEX('Heat Sheet'!$A:$I, _xlpm.EVENT, COLUMN()-1), IF(_xlpm.ADVANCE=0, "", _xlpm.ADVANCE))))</f>
        <v/>
      </c>
      <c r="G18" s="10" t="str" cm="1">
        <f t="array" ref="G18">_xlfn.LET(_xlpm.EVENT, _xlfn.XMATCH($A18,'Heat Sheet'!$A:$A), IF(ISNA(_xlpm.EVENT), "", _xlfn.LET(_xlpm.ADVANCE, INDEX('Heat Sheet'!$A:$I, _xlpm.EVENT, COLUMN()-1), IF(_xlpm.ADVANCE=0, "", _xlpm.ADVANCE))))</f>
        <v/>
      </c>
      <c r="H18" s="10" t="str" cm="1">
        <f t="array" ref="H18">_xlfn.LET(_xlpm.EVENT, _xlfn.XMATCH($A18,'Heat Sheet'!$A:$A), IF(ISNA(_xlpm.EVENT), "", _xlfn.LET(_xlpm.ADVANCE, INDEX('Heat Sheet'!$A:$I, _xlpm.EVENT, COLUMN()-1), IF(_xlpm.ADVANCE=0, "", _xlpm.ADVANCE))))</f>
        <v/>
      </c>
      <c r="I18" s="10" t="str" cm="1">
        <f t="array" ref="I18">_xlfn.LET(_xlpm.EVENT, _xlfn.XMATCH($A18,'Heat Sheet'!$A:$A), IF(ISNA(_xlpm.EVENT), "", _xlfn.LET(_xlpm.ADVANCE, INDEX('Heat Sheet'!$A:$I, _xlpm.EVENT, COLUMN()-1), IF(_xlpm.ADVANCE=0, "", _xlpm.ADVANCE))))</f>
        <v/>
      </c>
      <c r="J18" s="10" t="str" cm="1">
        <f t="array" ref="J18">_xlfn.LET(_xlpm.EVENT, _xlfn.XMATCH($A18,'Heat Sheet'!$A:$A), IF(ISNA(_xlpm.EVENT), "", _xlfn.LET(_xlpm.ADVANCE, INDEX('Heat Sheet'!$A:$I, _xlpm.EVENT, COLUMN()-1), IF(_xlpm.ADVANCE=0, "", _xlpm.ADVANCE))))</f>
        <v/>
      </c>
      <c r="K18" s="139" t="str" cm="1">
        <f t="array" ref="K18">_xlfn.LET(_xlpm.EVENT, _xlfn.XMATCH($A18,'Heat Sheet'!A:A), IF(ISNA(_xlpm.EVENT), "", _xlfn.LET(_xlpm.ADVANCE, INDEX('Heat Sheet'!$A:$I, _xlpm.EVENT+2, 3), IF(_xlpm.ADVANCE=0, "", _xlpm.ADVANCE))))</f>
        <v/>
      </c>
    </row>
    <row r="19" spans="1:11" ht="29.25" customHeight="1" x14ac:dyDescent="0.2">
      <c r="A19" s="12">
        <v>17</v>
      </c>
      <c r="B19" s="7" t="str">
        <f>IFERROR(TEXT(VLOOKUP(A19,'Heat Sheet'!$A:$I, 2, FALSE), "HH:mm"), "")</f>
        <v>10:20</v>
      </c>
      <c r="C19" s="7"/>
      <c r="D19" s="10" t="str" cm="1">
        <f t="array" ref="D19">_xlfn.LET(_xlpm.EVENT, _xlfn.XMATCH($A19,'Heat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19" s="10" t="str" cm="1">
        <f t="array" ref="E19">_xlfn.LET(_xlpm.EVENT, _xlfn.XMATCH($A19,'Heat Sheet'!$A:$A), IF(ISNA(_xlpm.EVENT), "", _xlfn.LET(_xlpm.ADVANCE, INDEX('Heat Sheet'!$A:$I, _xlpm.EVENT, COLUMN()-1), IF(_xlpm.ADVANCE=0, "", _xlpm.ADVANCE))))</f>
        <v/>
      </c>
      <c r="F19" s="10" t="str" cm="1">
        <f t="array" ref="F19">_xlfn.LET(_xlpm.EVENT, _xlfn.XMATCH($A19,'Heat Sheet'!$A:$A), IF(ISNA(_xlpm.EVENT), "", _xlfn.LET(_xlpm.ADVANCE, INDEX('Heat Sheet'!$A:$I, _xlpm.EVENT, COLUMN()-1), IF(_xlpm.ADVANCE=0, "", _xlpm.ADVANCE))))</f>
        <v/>
      </c>
      <c r="G19" s="10" t="str" cm="1">
        <f t="array" ref="G19">_xlfn.LET(_xlpm.EVENT, _xlfn.XMATCH($A19,'Heat Sheet'!$A:$A), IF(ISNA(_xlpm.EVENT), "", _xlfn.LET(_xlpm.ADVANCE, INDEX('Heat Sheet'!$A:$I, _xlpm.EVENT, COLUMN()-1), IF(_xlpm.ADVANCE=0, "", _xlpm.ADVANCE))))</f>
        <v/>
      </c>
      <c r="H19" s="10" t="str" cm="1">
        <f t="array" ref="H19">_xlfn.LET(_xlpm.EVENT, _xlfn.XMATCH($A19,'Heat Sheet'!$A:$A), IF(ISNA(_xlpm.EVENT), "", _xlfn.LET(_xlpm.ADVANCE, INDEX('Heat Sheet'!$A:$I, _xlpm.EVENT, COLUMN()-1), IF(_xlpm.ADVANCE=0, "", _xlpm.ADVANCE))))</f>
        <v/>
      </c>
      <c r="I19" s="10" t="str" cm="1">
        <f t="array" ref="I19">_xlfn.LET(_xlpm.EVENT, _xlfn.XMATCH($A19,'Heat Sheet'!$A:$A), IF(ISNA(_xlpm.EVENT), "", _xlfn.LET(_xlpm.ADVANCE, INDEX('Heat Sheet'!$A:$I, _xlpm.EVENT, COLUMN()-1), IF(_xlpm.ADVANCE=0, "", _xlpm.ADVANCE))))</f>
        <v/>
      </c>
      <c r="J19" s="10" t="str" cm="1">
        <f t="array" ref="J19">_xlfn.LET(_xlpm.EVENT, _xlfn.XMATCH($A19,'Heat Sheet'!$A:$A), IF(ISNA(_xlpm.EVENT), "", _xlfn.LET(_xlpm.ADVANCE, INDEX('Heat Sheet'!$A:$I, _xlpm.EVENT, COLUMN()-1), IF(_xlpm.ADVANCE=0, "", _xlpm.ADVANCE))))</f>
        <v/>
      </c>
      <c r="K19" s="139" t="str" cm="1">
        <f t="array" ref="K19">_xlfn.LET(_xlpm.EVENT, _xlfn.XMATCH($A19,'Heat Sheet'!A:A), IF(ISNA(_xlpm.EVENT), "", _xlfn.LET(_xlpm.ADVANCE, INDEX('Heat Sheet'!$A:$I, _xlpm.EVENT+2, 3), IF(_xlpm.ADVANCE=0, "", _xlpm.ADVANCE))))</f>
        <v/>
      </c>
    </row>
    <row r="20" spans="1:11" ht="29.25" customHeight="1" x14ac:dyDescent="0.2">
      <c r="A20" s="12">
        <v>18</v>
      </c>
      <c r="B20" s="7" t="str">
        <f>IFERROR(TEXT(VLOOKUP(A20,'Heat Sheet'!$A:$I, 2, FALSE), "HH:mm"), "")</f>
        <v>10:25</v>
      </c>
      <c r="C20" s="7"/>
      <c r="D20" s="10" t="str" cm="1">
        <f t="array" ref="D20">_xlfn.LET(_xlpm.EVENT, _xlfn.XMATCH($A20,'Heat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20" s="10" t="str" cm="1">
        <f t="array" ref="E20">_xlfn.LET(_xlpm.EVENT, _xlfn.XMATCH($A20,'Heat Sheet'!$A:$A), IF(ISNA(_xlpm.EVENT), "", _xlfn.LET(_xlpm.ADVANCE, INDEX('Heat Sheet'!$A:$I, _xlpm.EVENT, COLUMN()-1), IF(_xlpm.ADVANCE=0, "", _xlpm.ADVANCE))))</f>
        <v/>
      </c>
      <c r="F20" s="10" t="str" cm="1">
        <f t="array" ref="F20">_xlfn.LET(_xlpm.EVENT, _xlfn.XMATCH($A20,'Heat Sheet'!$A:$A), IF(ISNA(_xlpm.EVENT), "", _xlfn.LET(_xlpm.ADVANCE, INDEX('Heat Sheet'!$A:$I, _xlpm.EVENT, COLUMN()-1), IF(_xlpm.ADVANCE=0, "", _xlpm.ADVANCE))))</f>
        <v/>
      </c>
      <c r="G20" s="10" t="str" cm="1">
        <f t="array" ref="G20">_xlfn.LET(_xlpm.EVENT, _xlfn.XMATCH($A20,'Heat Sheet'!$A:$A), IF(ISNA(_xlpm.EVENT), "", _xlfn.LET(_xlpm.ADVANCE, INDEX('Heat Sheet'!$A:$I, _xlpm.EVENT, COLUMN()-1), IF(_xlpm.ADVANCE=0, "", _xlpm.ADVANCE))))</f>
        <v/>
      </c>
      <c r="H20" s="10" t="str" cm="1">
        <f t="array" ref="H20">_xlfn.LET(_xlpm.EVENT, _xlfn.XMATCH($A20,'Heat Sheet'!$A:$A), IF(ISNA(_xlpm.EVENT), "", _xlfn.LET(_xlpm.ADVANCE, INDEX('Heat Sheet'!$A:$I, _xlpm.EVENT, COLUMN()-1), IF(_xlpm.ADVANCE=0, "", _xlpm.ADVANCE))))</f>
        <v/>
      </c>
      <c r="I20" s="10" t="str" cm="1">
        <f t="array" ref="I20">_xlfn.LET(_xlpm.EVENT, _xlfn.XMATCH($A20,'Heat Sheet'!$A:$A), IF(ISNA(_xlpm.EVENT), "", _xlfn.LET(_xlpm.ADVANCE, INDEX('Heat Sheet'!$A:$I, _xlpm.EVENT, COLUMN()-1), IF(_xlpm.ADVANCE=0, "", _xlpm.ADVANCE))))</f>
        <v/>
      </c>
      <c r="J20" s="10" t="str" cm="1">
        <f t="array" ref="J20">_xlfn.LET(_xlpm.EVENT, _xlfn.XMATCH($A20,'Heat Sheet'!$A:$A), IF(ISNA(_xlpm.EVENT), "", _xlfn.LET(_xlpm.ADVANCE, INDEX('Heat Sheet'!$A:$I, _xlpm.EVENT, COLUMN()-1), IF(_xlpm.ADVANCE=0, "", _xlpm.ADVANCE))))</f>
        <v/>
      </c>
      <c r="K20" s="139" t="str" cm="1">
        <f t="array" ref="K20">_xlfn.LET(_xlpm.EVENT, _xlfn.XMATCH($A20,'Heat Sheet'!A:A), IF(ISNA(_xlpm.EVENT), "", _xlfn.LET(_xlpm.ADVANCE, INDEX('Heat Sheet'!$A:$I, _xlpm.EVENT+2, 3), IF(_xlpm.ADVANCE=0, "", _xlpm.ADVANCE))))</f>
        <v/>
      </c>
    </row>
    <row r="21" spans="1:11" ht="29.25" customHeight="1" x14ac:dyDescent="0.2">
      <c r="A21" s="12">
        <v>19</v>
      </c>
      <c r="B21" s="7" t="str">
        <f>IFERROR(TEXT(VLOOKUP(A21,'Heat Sheet'!$A:$I, 2, FALSE), "HH:mm"), "")</f>
        <v>10:30</v>
      </c>
      <c r="C21" s="7"/>
      <c r="D21" s="10" t="str" cm="1">
        <f t="array" ref="D21">_xlfn.LET(_xlpm.EVENT, _xlfn.XMATCH($A21,'Heat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21" s="10" t="str" cm="1">
        <f t="array" ref="E21">_xlfn.LET(_xlpm.EVENT, _xlfn.XMATCH($A21,'Heat Sheet'!$A:$A), IF(ISNA(_xlpm.EVENT), "", _xlfn.LET(_xlpm.ADVANCE, INDEX('Heat Sheet'!$A:$I, _xlpm.EVENT, COLUMN()-1), IF(_xlpm.ADVANCE=0, "", _xlpm.ADVANCE))))</f>
        <v/>
      </c>
      <c r="F21" s="10" t="str" cm="1">
        <f t="array" ref="F21">_xlfn.LET(_xlpm.EVENT, _xlfn.XMATCH($A21,'Heat Sheet'!$A:$A), IF(ISNA(_xlpm.EVENT), "", _xlfn.LET(_xlpm.ADVANCE, INDEX('Heat Sheet'!$A:$I, _xlpm.EVENT, COLUMN()-1), IF(_xlpm.ADVANCE=0, "", _xlpm.ADVANCE))))</f>
        <v/>
      </c>
      <c r="G21" s="10" t="str" cm="1">
        <f t="array" ref="G21">_xlfn.LET(_xlpm.EVENT, _xlfn.XMATCH($A21,'Heat Sheet'!$A:$A), IF(ISNA(_xlpm.EVENT), "", _xlfn.LET(_xlpm.ADVANCE, INDEX('Heat Sheet'!$A:$I, _xlpm.EVENT, COLUMN()-1), IF(_xlpm.ADVANCE=0, "", _xlpm.ADVANCE))))</f>
        <v/>
      </c>
      <c r="H21" s="10" t="str" cm="1">
        <f t="array" ref="H21">_xlfn.LET(_xlpm.EVENT, _xlfn.XMATCH($A21,'Heat Sheet'!$A:$A), IF(ISNA(_xlpm.EVENT), "", _xlfn.LET(_xlpm.ADVANCE, INDEX('Heat Sheet'!$A:$I, _xlpm.EVENT, COLUMN()-1), IF(_xlpm.ADVANCE=0, "", _xlpm.ADVANCE))))</f>
        <v/>
      </c>
      <c r="I21" s="10" t="str" cm="1">
        <f t="array" ref="I21">_xlfn.LET(_xlpm.EVENT, _xlfn.XMATCH($A21,'Heat Sheet'!$A:$A), IF(ISNA(_xlpm.EVENT), "", _xlfn.LET(_xlpm.ADVANCE, INDEX('Heat Sheet'!$A:$I, _xlpm.EVENT, COLUMN()-1), IF(_xlpm.ADVANCE=0, "", _xlpm.ADVANCE))))</f>
        <v/>
      </c>
      <c r="J21" s="10" t="str" cm="1">
        <f t="array" ref="J21">_xlfn.LET(_xlpm.EVENT, _xlfn.XMATCH($A21,'Heat Sheet'!$A:$A), IF(ISNA(_xlpm.EVENT), "", _xlfn.LET(_xlpm.ADVANCE, INDEX('Heat Sheet'!$A:$I, _xlpm.EVENT, COLUMN()-1), IF(_xlpm.ADVANCE=0, "", _xlpm.ADVANCE))))</f>
        <v/>
      </c>
      <c r="K21" s="139" t="str" cm="1">
        <f t="array" ref="K21">_xlfn.LET(_xlpm.EVENT, _xlfn.XMATCH($A21,'Heat Sheet'!A:A), IF(ISNA(_xlpm.EVENT), "", _xlfn.LET(_xlpm.ADVANCE, INDEX('Heat Sheet'!$A:$I, _xlpm.EVENT+2, 3), IF(_xlpm.ADVANCE=0, "", _xlpm.ADVANCE))))</f>
        <v/>
      </c>
    </row>
    <row r="22" spans="1:11" ht="29.25" customHeight="1" x14ac:dyDescent="0.2">
      <c r="A22" s="12">
        <v>20</v>
      </c>
      <c r="B22" s="7" t="str">
        <f>IFERROR(TEXT(VLOOKUP(A22,'Heat Sheet'!$A:$I, 2, FALSE), "HH:mm"), "")</f>
        <v>10:35</v>
      </c>
      <c r="C22" s="7"/>
      <c r="D22" s="10" t="str" cm="1">
        <f t="array" ref="D22">_xlfn.LET(_xlpm.EVENT, _xlfn.XMATCH($A22,'Heat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22" s="10" t="str" cm="1">
        <f t="array" ref="E22">_xlfn.LET(_xlpm.EVENT, _xlfn.XMATCH($A22,'Heat Sheet'!$A:$A), IF(ISNA(_xlpm.EVENT), "", _xlfn.LET(_xlpm.ADVANCE, INDEX('Heat Sheet'!$A:$I, _xlpm.EVENT, COLUMN()-1), IF(_xlpm.ADVANCE=0, "", _xlpm.ADVANCE))))</f>
        <v/>
      </c>
      <c r="F22" s="10" t="str" cm="1">
        <f t="array" ref="F22">_xlfn.LET(_xlpm.EVENT, _xlfn.XMATCH($A22,'Heat Sheet'!$A:$A), IF(ISNA(_xlpm.EVENT), "", _xlfn.LET(_xlpm.ADVANCE, INDEX('Heat Sheet'!$A:$I, _xlpm.EVENT, COLUMN()-1), IF(_xlpm.ADVANCE=0, "", _xlpm.ADVANCE))))</f>
        <v/>
      </c>
      <c r="G22" s="10" t="str" cm="1">
        <f t="array" ref="G22">_xlfn.LET(_xlpm.EVENT, _xlfn.XMATCH($A22,'Heat Sheet'!$A:$A), IF(ISNA(_xlpm.EVENT), "", _xlfn.LET(_xlpm.ADVANCE, INDEX('Heat Sheet'!$A:$I, _xlpm.EVENT, COLUMN()-1), IF(_xlpm.ADVANCE=0, "", _xlpm.ADVANCE))))</f>
        <v/>
      </c>
      <c r="H22" s="10" t="str" cm="1">
        <f t="array" ref="H22">_xlfn.LET(_xlpm.EVENT, _xlfn.XMATCH($A22,'Heat Sheet'!$A:$A), IF(ISNA(_xlpm.EVENT), "", _xlfn.LET(_xlpm.ADVANCE, INDEX('Heat Sheet'!$A:$I, _xlpm.EVENT, COLUMN()-1), IF(_xlpm.ADVANCE=0, "", _xlpm.ADVANCE))))</f>
        <v/>
      </c>
      <c r="I22" s="10" t="str" cm="1">
        <f t="array" ref="I22">_xlfn.LET(_xlpm.EVENT, _xlfn.XMATCH($A22,'Heat Sheet'!$A:$A), IF(ISNA(_xlpm.EVENT), "", _xlfn.LET(_xlpm.ADVANCE, INDEX('Heat Sheet'!$A:$I, _xlpm.EVENT, COLUMN()-1), IF(_xlpm.ADVANCE=0, "", _xlpm.ADVANCE))))</f>
        <v/>
      </c>
      <c r="J22" s="10" t="str" cm="1">
        <f t="array" ref="J22">_xlfn.LET(_xlpm.EVENT, _xlfn.XMATCH($A22,'Heat Sheet'!$A:$A), IF(ISNA(_xlpm.EVENT), "", _xlfn.LET(_xlpm.ADVANCE, INDEX('Heat Sheet'!$A:$I, _xlpm.EVENT, COLUMN()-1), IF(_xlpm.ADVANCE=0, "", _xlpm.ADVANCE))))</f>
        <v/>
      </c>
      <c r="K22" s="139" t="str" cm="1">
        <f t="array" ref="K22">_xlfn.LET(_xlpm.EVENT, _xlfn.XMATCH($A22,'Heat Sheet'!A:A), IF(ISNA(_xlpm.EVENT), "", _xlfn.LET(_xlpm.ADVANCE, INDEX('Heat Sheet'!$A:$I, _xlpm.EVENT+2, 3), IF(_xlpm.ADVANCE=0, "", _xlpm.ADVANCE))))</f>
        <v/>
      </c>
    </row>
    <row r="23" spans="1:11" ht="29.25" customHeight="1" x14ac:dyDescent="0.2">
      <c r="A23" s="12">
        <v>21</v>
      </c>
      <c r="B23" s="7" t="str">
        <f>IFERROR(TEXT(VLOOKUP(A23,'Heat Sheet'!$A:$I, 2, FALSE), "HH:mm"), "")</f>
        <v>10:40</v>
      </c>
      <c r="C23" s="7"/>
      <c r="D23" s="10" t="str" cm="1">
        <f t="array" ref="D23">_xlfn.LET(_xlpm.EVENT, _xlfn.XMATCH($A23,'Heat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23" s="10" t="str" cm="1">
        <f t="array" ref="E23">_xlfn.LET(_xlpm.EVENT, _xlfn.XMATCH($A23,'Heat Sheet'!$A:$A), IF(ISNA(_xlpm.EVENT), "", _xlfn.LET(_xlpm.ADVANCE, INDEX('Heat Sheet'!$A:$I, _xlpm.EVENT, COLUMN()-1), IF(_xlpm.ADVANCE=0, "", _xlpm.ADVANCE))))</f>
        <v/>
      </c>
      <c r="F23" s="10" t="str" cm="1">
        <f t="array" ref="F23">_xlfn.LET(_xlpm.EVENT, _xlfn.XMATCH($A23,'Heat Sheet'!$A:$A), IF(ISNA(_xlpm.EVENT), "", _xlfn.LET(_xlpm.ADVANCE, INDEX('Heat Sheet'!$A:$I, _xlpm.EVENT, COLUMN()-1), IF(_xlpm.ADVANCE=0, "", _xlpm.ADVANCE))))</f>
        <v/>
      </c>
      <c r="G23" s="10" t="str" cm="1">
        <f t="array" ref="G23">_xlfn.LET(_xlpm.EVENT, _xlfn.XMATCH($A23,'Heat Sheet'!$A:$A), IF(ISNA(_xlpm.EVENT), "", _xlfn.LET(_xlpm.ADVANCE, INDEX('Heat Sheet'!$A:$I, _xlpm.EVENT, COLUMN()-1), IF(_xlpm.ADVANCE=0, "", _xlpm.ADVANCE))))</f>
        <v/>
      </c>
      <c r="H23" s="10" t="str" cm="1">
        <f t="array" ref="H23">_xlfn.LET(_xlpm.EVENT, _xlfn.XMATCH($A23,'Heat Sheet'!$A:$A), IF(ISNA(_xlpm.EVENT), "", _xlfn.LET(_xlpm.ADVANCE, INDEX('Heat Sheet'!$A:$I, _xlpm.EVENT, COLUMN()-1), IF(_xlpm.ADVANCE=0, "", _xlpm.ADVANCE))))</f>
        <v/>
      </c>
      <c r="I23" s="10" t="str" cm="1">
        <f t="array" ref="I23">_xlfn.LET(_xlpm.EVENT, _xlfn.XMATCH($A23,'Heat Sheet'!$A:$A), IF(ISNA(_xlpm.EVENT), "", _xlfn.LET(_xlpm.ADVANCE, INDEX('Heat Sheet'!$A:$I, _xlpm.EVENT, COLUMN()-1), IF(_xlpm.ADVANCE=0, "", _xlpm.ADVANCE))))</f>
        <v/>
      </c>
      <c r="J23" s="10" t="str" cm="1">
        <f t="array" ref="J23">_xlfn.LET(_xlpm.EVENT, _xlfn.XMATCH($A23,'Heat Sheet'!$A:$A), IF(ISNA(_xlpm.EVENT), "", _xlfn.LET(_xlpm.ADVANCE, INDEX('Heat Sheet'!$A:$I, _xlpm.EVENT, COLUMN()-1), IF(_xlpm.ADVANCE=0, "", _xlpm.ADVANCE))))</f>
        <v/>
      </c>
      <c r="K23" s="139" t="str" cm="1">
        <f t="array" ref="K23">_xlfn.LET(_xlpm.EVENT, _xlfn.XMATCH($A23,'Heat Sheet'!A:A), IF(ISNA(_xlpm.EVENT), "", _xlfn.LET(_xlpm.ADVANCE, INDEX('Heat Sheet'!$A:$I, _xlpm.EVENT+2, 3), IF(_xlpm.ADVANCE=0, "", _xlpm.ADVANCE))))</f>
        <v/>
      </c>
    </row>
    <row r="24" spans="1:11" ht="29.25" customHeight="1" x14ac:dyDescent="0.2">
      <c r="A24" s="12">
        <v>22</v>
      </c>
      <c r="B24" s="7" t="str">
        <f>IFERROR(TEXT(VLOOKUP(A24,'Heat Sheet'!$A:$I, 2, FALSE), "HH:mm"), "")</f>
        <v>10:45</v>
      </c>
      <c r="C24" s="7"/>
      <c r="D24" s="10" t="str" cm="1">
        <f t="array" ref="D24">_xlfn.LET(_xlpm.EVENT, _xlfn.XMATCH($A24,'Heat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24" s="10" t="str" cm="1">
        <f t="array" ref="E24">_xlfn.LET(_xlpm.EVENT, _xlfn.XMATCH($A24,'Heat Sheet'!$A:$A), IF(ISNA(_xlpm.EVENT), "", _xlfn.LET(_xlpm.ADVANCE, INDEX('Heat Sheet'!$A:$I, _xlpm.EVENT, COLUMN()-1), IF(_xlpm.ADVANCE=0, "", _xlpm.ADVANCE))))</f>
        <v/>
      </c>
      <c r="F24" s="10" t="str" cm="1">
        <f t="array" ref="F24">_xlfn.LET(_xlpm.EVENT, _xlfn.XMATCH($A24,'Heat Sheet'!$A:$A), IF(ISNA(_xlpm.EVENT), "", _xlfn.LET(_xlpm.ADVANCE, INDEX('Heat Sheet'!$A:$I, _xlpm.EVENT, COLUMN()-1), IF(_xlpm.ADVANCE=0, "", _xlpm.ADVANCE))))</f>
        <v/>
      </c>
      <c r="G24" s="10" t="str" cm="1">
        <f t="array" ref="G24">_xlfn.LET(_xlpm.EVENT, _xlfn.XMATCH($A24,'Heat Sheet'!$A:$A), IF(ISNA(_xlpm.EVENT), "", _xlfn.LET(_xlpm.ADVANCE, INDEX('Heat Sheet'!$A:$I, _xlpm.EVENT, COLUMN()-1), IF(_xlpm.ADVANCE=0, "", _xlpm.ADVANCE))))</f>
        <v/>
      </c>
      <c r="H24" s="10" t="str" cm="1">
        <f t="array" ref="H24">_xlfn.LET(_xlpm.EVENT, _xlfn.XMATCH($A24,'Heat Sheet'!$A:$A), IF(ISNA(_xlpm.EVENT), "", _xlfn.LET(_xlpm.ADVANCE, INDEX('Heat Sheet'!$A:$I, _xlpm.EVENT, COLUMN()-1), IF(_xlpm.ADVANCE=0, "", _xlpm.ADVANCE))))</f>
        <v/>
      </c>
      <c r="I24" s="10" t="str" cm="1">
        <f t="array" ref="I24">_xlfn.LET(_xlpm.EVENT, _xlfn.XMATCH($A24,'Heat Sheet'!$A:$A), IF(ISNA(_xlpm.EVENT), "", _xlfn.LET(_xlpm.ADVANCE, INDEX('Heat Sheet'!$A:$I, _xlpm.EVENT, COLUMN()-1), IF(_xlpm.ADVANCE=0, "", _xlpm.ADVANCE))))</f>
        <v/>
      </c>
      <c r="J24" s="10" t="str" cm="1">
        <f t="array" ref="J24">_xlfn.LET(_xlpm.EVENT, _xlfn.XMATCH($A24,'Heat Sheet'!$A:$A), IF(ISNA(_xlpm.EVENT), "", _xlfn.LET(_xlpm.ADVANCE, INDEX('Heat Sheet'!$A:$I, _xlpm.EVENT, COLUMN()-1), IF(_xlpm.ADVANCE=0, "", _xlpm.ADVANCE))))</f>
        <v/>
      </c>
      <c r="K24" s="139" t="str" cm="1">
        <f t="array" ref="K24">_xlfn.LET(_xlpm.EVENT, _xlfn.XMATCH($A24,'Heat Sheet'!A:A), IF(ISNA(_xlpm.EVENT), "", _xlfn.LET(_xlpm.ADVANCE, INDEX('Heat Sheet'!$A:$I, _xlpm.EVENT+2, 3), IF(_xlpm.ADVANCE=0, "", _xlpm.ADVANCE))))</f>
        <v/>
      </c>
    </row>
    <row r="25" spans="1:11" ht="29.25" customHeight="1" x14ac:dyDescent="0.2">
      <c r="A25" s="12">
        <v>23</v>
      </c>
      <c r="B25" s="7" t="str">
        <f>IFERROR(TEXT(VLOOKUP(A25,'Heat Sheet'!$A:$I, 2, FALSE), "HH:mm"), "")</f>
        <v>10:50</v>
      </c>
      <c r="C25" s="7"/>
      <c r="D25" s="10" t="str" cm="1">
        <f t="array" ref="D25">_xlfn.LET(_xlpm.EVENT, _xlfn.XMATCH($A25,'Heat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25" s="10" t="str" cm="1">
        <f t="array" ref="E25">_xlfn.LET(_xlpm.EVENT, _xlfn.XMATCH($A25,'Heat Sheet'!$A:$A), IF(ISNA(_xlpm.EVENT), "", _xlfn.LET(_xlpm.ADVANCE, INDEX('Heat Sheet'!$A:$I, _xlpm.EVENT, COLUMN()-1), IF(_xlpm.ADVANCE=0, "", _xlpm.ADVANCE))))</f>
        <v/>
      </c>
      <c r="F25" s="10" t="str" cm="1">
        <f t="array" ref="F25">_xlfn.LET(_xlpm.EVENT, _xlfn.XMATCH($A25,'Heat Sheet'!$A:$A), IF(ISNA(_xlpm.EVENT), "", _xlfn.LET(_xlpm.ADVANCE, INDEX('Heat Sheet'!$A:$I, _xlpm.EVENT, COLUMN()-1), IF(_xlpm.ADVANCE=0, "", _xlpm.ADVANCE))))</f>
        <v/>
      </c>
      <c r="G25" s="10" t="str" cm="1">
        <f t="array" ref="G25">_xlfn.LET(_xlpm.EVENT, _xlfn.XMATCH($A25,'Heat Sheet'!$A:$A), IF(ISNA(_xlpm.EVENT), "", _xlfn.LET(_xlpm.ADVANCE, INDEX('Heat Sheet'!$A:$I, _xlpm.EVENT, COLUMN()-1), IF(_xlpm.ADVANCE=0, "", _xlpm.ADVANCE))))</f>
        <v/>
      </c>
      <c r="H25" s="10" t="str" cm="1">
        <f t="array" ref="H25">_xlfn.LET(_xlpm.EVENT, _xlfn.XMATCH($A25,'Heat Sheet'!$A:$A), IF(ISNA(_xlpm.EVENT), "", _xlfn.LET(_xlpm.ADVANCE, INDEX('Heat Sheet'!$A:$I, _xlpm.EVENT, COLUMN()-1), IF(_xlpm.ADVANCE=0, "", _xlpm.ADVANCE))))</f>
        <v/>
      </c>
      <c r="I25" s="10" t="str" cm="1">
        <f t="array" ref="I25">_xlfn.LET(_xlpm.EVENT, _xlfn.XMATCH($A25,'Heat Sheet'!$A:$A), IF(ISNA(_xlpm.EVENT), "", _xlfn.LET(_xlpm.ADVANCE, INDEX('Heat Sheet'!$A:$I, _xlpm.EVENT, COLUMN()-1), IF(_xlpm.ADVANCE=0, "", _xlpm.ADVANCE))))</f>
        <v/>
      </c>
      <c r="J25" s="10" t="str" cm="1">
        <f t="array" ref="J25">_xlfn.LET(_xlpm.EVENT, _xlfn.XMATCH($A25,'Heat Sheet'!$A:$A), IF(ISNA(_xlpm.EVENT), "", _xlfn.LET(_xlpm.ADVANCE, INDEX('Heat Sheet'!$A:$I, _xlpm.EVENT, COLUMN()-1), IF(_xlpm.ADVANCE=0, "", _xlpm.ADVANCE))))</f>
        <v/>
      </c>
      <c r="K25" s="139" t="str" cm="1">
        <f t="array" ref="K25">_xlfn.LET(_xlpm.EVENT, _xlfn.XMATCH($A25,'Heat Sheet'!A:A), IF(ISNA(_xlpm.EVENT), "", _xlfn.LET(_xlpm.ADVANCE, INDEX('Heat Sheet'!$A:$I, _xlpm.EVENT+2, 3), IF(_xlpm.ADVANCE=0, "", _xlpm.ADVANCE))))</f>
        <v/>
      </c>
    </row>
    <row r="26" spans="1:11" ht="29.25" customHeight="1" x14ac:dyDescent="0.2">
      <c r="A26" s="12">
        <v>24</v>
      </c>
      <c r="B26" s="7" t="str">
        <f>IFERROR(TEXT(VLOOKUP(A26,'Heat Sheet'!$A:$I, 2, FALSE), "HH:mm"), "")</f>
        <v>10:55</v>
      </c>
      <c r="C26" s="7"/>
      <c r="D26" s="10" t="str" cm="1">
        <f t="array" ref="D26">_xlfn.LET(_xlpm.EVENT, _xlfn.XMATCH($A26,'Heat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26" s="10" t="str" cm="1">
        <f t="array" ref="E26">_xlfn.LET(_xlpm.EVENT, _xlfn.XMATCH($A26,'Heat Sheet'!$A:$A), IF(ISNA(_xlpm.EVENT), "", _xlfn.LET(_xlpm.ADVANCE, INDEX('Heat Sheet'!$A:$I, _xlpm.EVENT, COLUMN()-1), IF(_xlpm.ADVANCE=0, "", _xlpm.ADVANCE))))</f>
        <v/>
      </c>
      <c r="F26" s="10" t="str" cm="1">
        <f t="array" ref="F26">_xlfn.LET(_xlpm.EVENT, _xlfn.XMATCH($A26,'Heat Sheet'!$A:$A), IF(ISNA(_xlpm.EVENT), "", _xlfn.LET(_xlpm.ADVANCE, INDEX('Heat Sheet'!$A:$I, _xlpm.EVENT, COLUMN()-1), IF(_xlpm.ADVANCE=0, "", _xlpm.ADVANCE))))</f>
        <v/>
      </c>
      <c r="G26" s="10" t="str" cm="1">
        <f t="array" ref="G26">_xlfn.LET(_xlpm.EVENT, _xlfn.XMATCH($A26,'Heat Sheet'!$A:$A), IF(ISNA(_xlpm.EVENT), "", _xlfn.LET(_xlpm.ADVANCE, INDEX('Heat Sheet'!$A:$I, _xlpm.EVENT, COLUMN()-1), IF(_xlpm.ADVANCE=0, "", _xlpm.ADVANCE))))</f>
        <v/>
      </c>
      <c r="H26" s="10" t="str" cm="1">
        <f t="array" ref="H26">_xlfn.LET(_xlpm.EVENT, _xlfn.XMATCH($A26,'Heat Sheet'!$A:$A), IF(ISNA(_xlpm.EVENT), "", _xlfn.LET(_xlpm.ADVANCE, INDEX('Heat Sheet'!$A:$I, _xlpm.EVENT, COLUMN()-1), IF(_xlpm.ADVANCE=0, "", _xlpm.ADVANCE))))</f>
        <v/>
      </c>
      <c r="I26" s="10" t="str" cm="1">
        <f t="array" ref="I26">_xlfn.LET(_xlpm.EVENT, _xlfn.XMATCH($A26,'Heat Sheet'!$A:$A), IF(ISNA(_xlpm.EVENT), "", _xlfn.LET(_xlpm.ADVANCE, INDEX('Heat Sheet'!$A:$I, _xlpm.EVENT, COLUMN()-1), IF(_xlpm.ADVANCE=0, "", _xlpm.ADVANCE))))</f>
        <v/>
      </c>
      <c r="J26" s="10" t="str" cm="1">
        <f t="array" ref="J26">_xlfn.LET(_xlpm.EVENT, _xlfn.XMATCH($A26,'Heat Sheet'!$A:$A), IF(ISNA(_xlpm.EVENT), "", _xlfn.LET(_xlpm.ADVANCE, INDEX('Heat Sheet'!$A:$I, _xlpm.EVENT, COLUMN()-1), IF(_xlpm.ADVANCE=0, "", _xlpm.ADVANCE))))</f>
        <v/>
      </c>
      <c r="K26" s="139" t="str" cm="1">
        <f t="array" ref="K26">_xlfn.LET(_xlpm.EVENT, _xlfn.XMATCH($A26,'Heat Sheet'!A:A), IF(ISNA(_xlpm.EVENT), "", _xlfn.LET(_xlpm.ADVANCE, INDEX('Heat Sheet'!$A:$I, _xlpm.EVENT+2, 3), IF(_xlpm.ADVANCE=0, "", _xlpm.ADVANCE))))</f>
        <v/>
      </c>
    </row>
    <row r="27" spans="1:11" ht="29.25" customHeight="1" x14ac:dyDescent="0.2">
      <c r="A27" s="12">
        <v>25</v>
      </c>
      <c r="B27" s="7" t="str">
        <f>IFERROR(TEXT(VLOOKUP(A27,'Heat Sheet'!$A:$I, 2, FALSE), "HH:mm"), "")</f>
        <v>11:00</v>
      </c>
      <c r="C27" s="7"/>
      <c r="D27" s="10" t="str" cm="1">
        <f t="array" ref="D27">_xlfn.LET(_xlpm.EVENT, _xlfn.XMATCH($A27,'Heat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27" s="10" t="str" cm="1">
        <f t="array" ref="E27">_xlfn.LET(_xlpm.EVENT, _xlfn.XMATCH($A27,'Heat Sheet'!$A:$A), IF(ISNA(_xlpm.EVENT), "", _xlfn.LET(_xlpm.ADVANCE, INDEX('Heat Sheet'!$A:$I, _xlpm.EVENT, COLUMN()-1), IF(_xlpm.ADVANCE=0, "", _xlpm.ADVANCE))))</f>
        <v/>
      </c>
      <c r="F27" s="10" t="str" cm="1">
        <f t="array" ref="F27">_xlfn.LET(_xlpm.EVENT, _xlfn.XMATCH($A27,'Heat Sheet'!$A:$A), IF(ISNA(_xlpm.EVENT), "", _xlfn.LET(_xlpm.ADVANCE, INDEX('Heat Sheet'!$A:$I, _xlpm.EVENT, COLUMN()-1), IF(_xlpm.ADVANCE=0, "", _xlpm.ADVANCE))))</f>
        <v/>
      </c>
      <c r="G27" s="10" t="str" cm="1">
        <f t="array" ref="G27">_xlfn.LET(_xlpm.EVENT, _xlfn.XMATCH($A27,'Heat Sheet'!$A:$A), IF(ISNA(_xlpm.EVENT), "", _xlfn.LET(_xlpm.ADVANCE, INDEX('Heat Sheet'!$A:$I, _xlpm.EVENT, COLUMN()-1), IF(_xlpm.ADVANCE=0, "", _xlpm.ADVANCE))))</f>
        <v/>
      </c>
      <c r="H27" s="10" t="str" cm="1">
        <f t="array" ref="H27">_xlfn.LET(_xlpm.EVENT, _xlfn.XMATCH($A27,'Heat Sheet'!$A:$A), IF(ISNA(_xlpm.EVENT), "", _xlfn.LET(_xlpm.ADVANCE, INDEX('Heat Sheet'!$A:$I, _xlpm.EVENT, COLUMN()-1), IF(_xlpm.ADVANCE=0, "", _xlpm.ADVANCE))))</f>
        <v/>
      </c>
      <c r="I27" s="10" t="str" cm="1">
        <f t="array" ref="I27">_xlfn.LET(_xlpm.EVENT, _xlfn.XMATCH($A27,'Heat Sheet'!$A:$A), IF(ISNA(_xlpm.EVENT), "", _xlfn.LET(_xlpm.ADVANCE, INDEX('Heat Sheet'!$A:$I, _xlpm.EVENT, COLUMN()-1), IF(_xlpm.ADVANCE=0, "", _xlpm.ADVANCE))))</f>
        <v/>
      </c>
      <c r="J27" s="10" t="str" cm="1">
        <f t="array" ref="J27">_xlfn.LET(_xlpm.EVENT, _xlfn.XMATCH($A27,'Heat Sheet'!$A:$A), IF(ISNA(_xlpm.EVENT), "", _xlfn.LET(_xlpm.ADVANCE, INDEX('Heat Sheet'!$A:$I, _xlpm.EVENT, COLUMN()-1), IF(_xlpm.ADVANCE=0, "", _xlpm.ADVANCE))))</f>
        <v/>
      </c>
      <c r="K27" s="139" t="str" cm="1">
        <f t="array" ref="K27">_xlfn.LET(_xlpm.EVENT, _xlfn.XMATCH($A27,'Heat Sheet'!A:A), IF(ISNA(_xlpm.EVENT), "", _xlfn.LET(_xlpm.ADVANCE, INDEX('Heat Sheet'!$A:$I, _xlpm.EVENT+2, 3), IF(_xlpm.ADVANCE=0, "", _xlpm.ADVANCE))))</f>
        <v/>
      </c>
    </row>
    <row r="28" spans="1:11" ht="29.25" customHeight="1" x14ac:dyDescent="0.2">
      <c r="A28" s="12">
        <v>26</v>
      </c>
      <c r="B28" s="7" t="str">
        <f>IFERROR(TEXT(VLOOKUP(A28,'Heat Sheet'!$A:$I, 2, FALSE), "HH:mm"), "")</f>
        <v>11:05</v>
      </c>
      <c r="C28" s="7"/>
      <c r="D28" s="10" t="str" cm="1">
        <f t="array" ref="D28">_xlfn.LET(_xlpm.EVENT, _xlfn.XMATCH($A28,'Heat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28" s="10" t="str" cm="1">
        <f t="array" ref="E28">_xlfn.LET(_xlpm.EVENT, _xlfn.XMATCH($A28,'Heat Sheet'!$A:$A), IF(ISNA(_xlpm.EVENT), "", _xlfn.LET(_xlpm.ADVANCE, INDEX('Heat Sheet'!$A:$I, _xlpm.EVENT, COLUMN()-1), IF(_xlpm.ADVANCE=0, "", _xlpm.ADVANCE))))</f>
        <v/>
      </c>
      <c r="F28" s="10" t="str" cm="1">
        <f t="array" ref="F28">_xlfn.LET(_xlpm.EVENT, _xlfn.XMATCH($A28,'Heat Sheet'!$A:$A), IF(ISNA(_xlpm.EVENT), "", _xlfn.LET(_xlpm.ADVANCE, INDEX('Heat Sheet'!$A:$I, _xlpm.EVENT, COLUMN()-1), IF(_xlpm.ADVANCE=0, "", _xlpm.ADVANCE))))</f>
        <v/>
      </c>
      <c r="G28" s="10" t="str" cm="1">
        <f t="array" ref="G28">_xlfn.LET(_xlpm.EVENT, _xlfn.XMATCH($A28,'Heat Sheet'!$A:$A), IF(ISNA(_xlpm.EVENT), "", _xlfn.LET(_xlpm.ADVANCE, INDEX('Heat Sheet'!$A:$I, _xlpm.EVENT, COLUMN()-1), IF(_xlpm.ADVANCE=0, "", _xlpm.ADVANCE))))</f>
        <v/>
      </c>
      <c r="H28" s="10" t="str" cm="1">
        <f t="array" ref="H28">_xlfn.LET(_xlpm.EVENT, _xlfn.XMATCH($A28,'Heat Sheet'!$A:$A), IF(ISNA(_xlpm.EVENT), "", _xlfn.LET(_xlpm.ADVANCE, INDEX('Heat Sheet'!$A:$I, _xlpm.EVENT, COLUMN()-1), IF(_xlpm.ADVANCE=0, "", _xlpm.ADVANCE))))</f>
        <v/>
      </c>
      <c r="I28" s="10" t="str" cm="1">
        <f t="array" ref="I28">_xlfn.LET(_xlpm.EVENT, _xlfn.XMATCH($A28,'Heat Sheet'!$A:$A), IF(ISNA(_xlpm.EVENT), "", _xlfn.LET(_xlpm.ADVANCE, INDEX('Heat Sheet'!$A:$I, _xlpm.EVENT, COLUMN()-1), IF(_xlpm.ADVANCE=0, "", _xlpm.ADVANCE))))</f>
        <v/>
      </c>
      <c r="J28" s="10" t="str" cm="1">
        <f t="array" ref="J28">_xlfn.LET(_xlpm.EVENT, _xlfn.XMATCH($A28,'Heat Sheet'!$A:$A), IF(ISNA(_xlpm.EVENT), "", _xlfn.LET(_xlpm.ADVANCE, INDEX('Heat Sheet'!$A:$I, _xlpm.EVENT, COLUMN()-1), IF(_xlpm.ADVANCE=0, "", _xlpm.ADVANCE))))</f>
        <v/>
      </c>
      <c r="K28" s="139" t="str" cm="1">
        <f t="array" ref="K28">_xlfn.LET(_xlpm.EVENT, _xlfn.XMATCH($A28,'Heat Sheet'!A:A), IF(ISNA(_xlpm.EVENT), "", _xlfn.LET(_xlpm.ADVANCE, INDEX('Heat Sheet'!$A:$I, _xlpm.EVENT+2, 3), IF(_xlpm.ADVANCE=0, "", _xlpm.ADVANCE))))</f>
        <v/>
      </c>
    </row>
    <row r="29" spans="1:11" ht="29.25" customHeight="1" x14ac:dyDescent="0.2">
      <c r="A29" s="12">
        <v>27</v>
      </c>
      <c r="B29" s="7" t="str">
        <f>IFERROR(TEXT(VLOOKUP(A29,'Heat Sheet'!$A:$I, 2, FALSE), "HH:mm"), "")</f>
        <v>11:10</v>
      </c>
      <c r="C29" s="7"/>
      <c r="D29" s="10" t="str" cm="1">
        <f t="array" ref="D29">_xlfn.LET(_xlpm.EVENT, _xlfn.XMATCH($A29,'Heat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29" s="10" t="str" cm="1">
        <f t="array" ref="E29">_xlfn.LET(_xlpm.EVENT, _xlfn.XMATCH($A29,'Heat Sheet'!$A:$A), IF(ISNA(_xlpm.EVENT), "", _xlfn.LET(_xlpm.ADVANCE, INDEX('Heat Sheet'!$A:$I, _xlpm.EVENT, COLUMN()-1), IF(_xlpm.ADVANCE=0, "", _xlpm.ADVANCE))))</f>
        <v/>
      </c>
      <c r="F29" s="10" t="str" cm="1">
        <f t="array" ref="F29">_xlfn.LET(_xlpm.EVENT, _xlfn.XMATCH($A29,'Heat Sheet'!$A:$A), IF(ISNA(_xlpm.EVENT), "", _xlfn.LET(_xlpm.ADVANCE, INDEX('Heat Sheet'!$A:$I, _xlpm.EVENT, COLUMN()-1), IF(_xlpm.ADVANCE=0, "", _xlpm.ADVANCE))))</f>
        <v/>
      </c>
      <c r="G29" s="10" t="str" cm="1">
        <f t="array" ref="G29">_xlfn.LET(_xlpm.EVENT, _xlfn.XMATCH($A29,'Heat Sheet'!$A:$A), IF(ISNA(_xlpm.EVENT), "", _xlfn.LET(_xlpm.ADVANCE, INDEX('Heat Sheet'!$A:$I, _xlpm.EVENT, COLUMN()-1), IF(_xlpm.ADVANCE=0, "", _xlpm.ADVANCE))))</f>
        <v/>
      </c>
      <c r="H29" s="10" t="str" cm="1">
        <f t="array" ref="H29">_xlfn.LET(_xlpm.EVENT, _xlfn.XMATCH($A29,'Heat Sheet'!$A:$A), IF(ISNA(_xlpm.EVENT), "", _xlfn.LET(_xlpm.ADVANCE, INDEX('Heat Sheet'!$A:$I, _xlpm.EVENT, COLUMN()-1), IF(_xlpm.ADVANCE=0, "", _xlpm.ADVANCE))))</f>
        <v/>
      </c>
      <c r="I29" s="10" t="str" cm="1">
        <f t="array" ref="I29">_xlfn.LET(_xlpm.EVENT, _xlfn.XMATCH($A29,'Heat Sheet'!$A:$A), IF(ISNA(_xlpm.EVENT), "", _xlfn.LET(_xlpm.ADVANCE, INDEX('Heat Sheet'!$A:$I, _xlpm.EVENT, COLUMN()-1), IF(_xlpm.ADVANCE=0, "", _xlpm.ADVANCE))))</f>
        <v/>
      </c>
      <c r="J29" s="10" t="str" cm="1">
        <f t="array" ref="J29">_xlfn.LET(_xlpm.EVENT, _xlfn.XMATCH($A29,'Heat Sheet'!$A:$A), IF(ISNA(_xlpm.EVENT), "", _xlfn.LET(_xlpm.ADVANCE, INDEX('Heat Sheet'!$A:$I, _xlpm.EVENT, COLUMN()-1), IF(_xlpm.ADVANCE=0, "", _xlpm.ADVANCE))))</f>
        <v/>
      </c>
      <c r="K29" s="139" t="str" cm="1">
        <f t="array" ref="K29">_xlfn.LET(_xlpm.EVENT, _xlfn.XMATCH($A29,'Heat Sheet'!A:A), IF(ISNA(_xlpm.EVENT), "", _xlfn.LET(_xlpm.ADVANCE, INDEX('Heat Sheet'!$A:$I, _xlpm.EVENT+2, 3), IF(_xlpm.ADVANCE=0, "", _xlpm.ADVANCE))))</f>
        <v/>
      </c>
    </row>
    <row r="30" spans="1:11" ht="29.25" customHeight="1" x14ac:dyDescent="0.2">
      <c r="A30" s="12">
        <v>28</v>
      </c>
      <c r="B30" s="7" t="str">
        <f>IFERROR(TEXT(VLOOKUP(A30,'Heat Sheet'!$A:$I, 2, FALSE), "HH:mm"), "")</f>
        <v>11:15</v>
      </c>
      <c r="C30" s="7"/>
      <c r="D30" s="10" t="str" cm="1">
        <f t="array" ref="D30">_xlfn.LET(_xlpm.EVENT, _xlfn.XMATCH($A30,'Heat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30" s="10" t="str" cm="1">
        <f t="array" ref="E30">_xlfn.LET(_xlpm.EVENT, _xlfn.XMATCH($A30,'Heat Sheet'!$A:$A), IF(ISNA(_xlpm.EVENT), "", _xlfn.LET(_xlpm.ADVANCE, INDEX('Heat Sheet'!$A:$I, _xlpm.EVENT, COLUMN()-1), IF(_xlpm.ADVANCE=0, "", _xlpm.ADVANCE))))</f>
        <v/>
      </c>
      <c r="F30" s="10" t="str" cm="1">
        <f t="array" ref="F30">_xlfn.LET(_xlpm.EVENT, _xlfn.XMATCH($A30,'Heat Sheet'!$A:$A), IF(ISNA(_xlpm.EVENT), "", _xlfn.LET(_xlpm.ADVANCE, INDEX('Heat Sheet'!$A:$I, _xlpm.EVENT, COLUMN()-1), IF(_xlpm.ADVANCE=0, "", _xlpm.ADVANCE))))</f>
        <v/>
      </c>
      <c r="G30" s="10" t="str" cm="1">
        <f t="array" ref="G30">_xlfn.LET(_xlpm.EVENT, _xlfn.XMATCH($A30,'Heat Sheet'!$A:$A), IF(ISNA(_xlpm.EVENT), "", _xlfn.LET(_xlpm.ADVANCE, INDEX('Heat Sheet'!$A:$I, _xlpm.EVENT, COLUMN()-1), IF(_xlpm.ADVANCE=0, "", _xlpm.ADVANCE))))</f>
        <v/>
      </c>
      <c r="H30" s="10" t="str" cm="1">
        <f t="array" ref="H30">_xlfn.LET(_xlpm.EVENT, _xlfn.XMATCH($A30,'Heat Sheet'!$A:$A), IF(ISNA(_xlpm.EVENT), "", _xlfn.LET(_xlpm.ADVANCE, INDEX('Heat Sheet'!$A:$I, _xlpm.EVENT, COLUMN()-1), IF(_xlpm.ADVANCE=0, "", _xlpm.ADVANCE))))</f>
        <v/>
      </c>
      <c r="I30" s="10" t="str" cm="1">
        <f t="array" ref="I30">_xlfn.LET(_xlpm.EVENT, _xlfn.XMATCH($A30,'Heat Sheet'!$A:$A), IF(ISNA(_xlpm.EVENT), "", _xlfn.LET(_xlpm.ADVANCE, INDEX('Heat Sheet'!$A:$I, _xlpm.EVENT, COLUMN()-1), IF(_xlpm.ADVANCE=0, "", _xlpm.ADVANCE))))</f>
        <v/>
      </c>
      <c r="J30" s="10" t="str" cm="1">
        <f t="array" ref="J30">_xlfn.LET(_xlpm.EVENT, _xlfn.XMATCH($A30,'Heat Sheet'!$A:$A), IF(ISNA(_xlpm.EVENT), "", _xlfn.LET(_xlpm.ADVANCE, INDEX('Heat Sheet'!$A:$I, _xlpm.EVENT, COLUMN()-1), IF(_xlpm.ADVANCE=0, "", _xlpm.ADVANCE))))</f>
        <v/>
      </c>
      <c r="K30" s="139" t="str" cm="1">
        <f t="array" ref="K30">_xlfn.LET(_xlpm.EVENT, _xlfn.XMATCH($A30,'Heat Sheet'!A:A), IF(ISNA(_xlpm.EVENT), "", _xlfn.LET(_xlpm.ADVANCE, INDEX('Heat Sheet'!$A:$I, _xlpm.EVENT+2, 3), IF(_xlpm.ADVANCE=0, "", _xlpm.ADVANCE))))</f>
        <v/>
      </c>
    </row>
    <row r="31" spans="1:11" ht="29.25" customHeight="1" x14ac:dyDescent="0.2">
      <c r="A31" s="12">
        <v>29</v>
      </c>
      <c r="B31" s="7" t="str">
        <f>IFERROR(TEXT(VLOOKUP(A31,'Heat Sheet'!$A:$I, 2, FALSE), "HH:mm"), "")</f>
        <v>11:20</v>
      </c>
      <c r="C31" s="7"/>
      <c r="D31" s="10" t="str" cm="1">
        <f t="array" ref="D31">_xlfn.LET(_xlpm.EVENT, _xlfn.XMATCH($A31,'Heat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31" s="10" t="str" cm="1">
        <f t="array" ref="E31">_xlfn.LET(_xlpm.EVENT, _xlfn.XMATCH($A31,'Heat Sheet'!$A:$A), IF(ISNA(_xlpm.EVENT), "", _xlfn.LET(_xlpm.ADVANCE, INDEX('Heat Sheet'!$A:$I, _xlpm.EVENT, COLUMN()-1), IF(_xlpm.ADVANCE=0, "", _xlpm.ADVANCE))))</f>
        <v/>
      </c>
      <c r="F31" s="10" t="str" cm="1">
        <f t="array" ref="F31">_xlfn.LET(_xlpm.EVENT, _xlfn.XMATCH($A31,'Heat Sheet'!$A:$A), IF(ISNA(_xlpm.EVENT), "", _xlfn.LET(_xlpm.ADVANCE, INDEX('Heat Sheet'!$A:$I, _xlpm.EVENT, COLUMN()-1), IF(_xlpm.ADVANCE=0, "", _xlpm.ADVANCE))))</f>
        <v/>
      </c>
      <c r="G31" s="10" t="str" cm="1">
        <f t="array" ref="G31">_xlfn.LET(_xlpm.EVENT, _xlfn.XMATCH($A31,'Heat Sheet'!$A:$A), IF(ISNA(_xlpm.EVENT), "", _xlfn.LET(_xlpm.ADVANCE, INDEX('Heat Sheet'!$A:$I, _xlpm.EVENT, COLUMN()-1), IF(_xlpm.ADVANCE=0, "", _xlpm.ADVANCE))))</f>
        <v/>
      </c>
      <c r="H31" s="10" t="str" cm="1">
        <f t="array" ref="H31">_xlfn.LET(_xlpm.EVENT, _xlfn.XMATCH($A31,'Heat Sheet'!$A:$A), IF(ISNA(_xlpm.EVENT), "", _xlfn.LET(_xlpm.ADVANCE, INDEX('Heat Sheet'!$A:$I, _xlpm.EVENT, COLUMN()-1), IF(_xlpm.ADVANCE=0, "", _xlpm.ADVANCE))))</f>
        <v/>
      </c>
      <c r="I31" s="10" t="str" cm="1">
        <f t="array" ref="I31">_xlfn.LET(_xlpm.EVENT, _xlfn.XMATCH($A31,'Heat Sheet'!$A:$A), IF(ISNA(_xlpm.EVENT), "", _xlfn.LET(_xlpm.ADVANCE, INDEX('Heat Sheet'!$A:$I, _xlpm.EVENT, COLUMN()-1), IF(_xlpm.ADVANCE=0, "", _xlpm.ADVANCE))))</f>
        <v/>
      </c>
      <c r="J31" s="10" t="str" cm="1">
        <f t="array" ref="J31">_xlfn.LET(_xlpm.EVENT, _xlfn.XMATCH($A31,'Heat Sheet'!$A:$A), IF(ISNA(_xlpm.EVENT), "", _xlfn.LET(_xlpm.ADVANCE, INDEX('Heat Sheet'!$A:$I, _xlpm.EVENT, COLUMN()-1), IF(_xlpm.ADVANCE=0, "", _xlpm.ADVANCE))))</f>
        <v/>
      </c>
      <c r="K31" s="139" t="str" cm="1">
        <f t="array" ref="K31">_xlfn.LET(_xlpm.EVENT, _xlfn.XMATCH($A31,'Heat Sheet'!A:A), IF(ISNA(_xlpm.EVENT), "", _xlfn.LET(_xlpm.ADVANCE, INDEX('Heat Sheet'!$A:$I, _xlpm.EVENT+2, 3), IF(_xlpm.ADVANCE=0, "", _xlpm.ADVANCE))))</f>
        <v/>
      </c>
    </row>
    <row r="32" spans="1:11" ht="29.25" customHeight="1" x14ac:dyDescent="0.2">
      <c r="A32" s="12">
        <v>30</v>
      </c>
      <c r="B32" s="7" t="str">
        <f>IFERROR(TEXT(VLOOKUP(A32,'Heat Sheet'!$A:$I, 2, FALSE), "HH:mm"), "")</f>
        <v>11:25</v>
      </c>
      <c r="C32" s="7"/>
      <c r="D32" s="10" t="str" cm="1">
        <f t="array" ref="D32">_xlfn.LET(_xlpm.EVENT, _xlfn.XMATCH($A32,'Heat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32" s="10" t="str" cm="1">
        <f t="array" ref="E32">_xlfn.LET(_xlpm.EVENT, _xlfn.XMATCH($A32,'Heat Sheet'!$A:$A), IF(ISNA(_xlpm.EVENT), "", _xlfn.LET(_xlpm.ADVANCE, INDEX('Heat Sheet'!$A:$I, _xlpm.EVENT, COLUMN()-1), IF(_xlpm.ADVANCE=0, "", _xlpm.ADVANCE))))</f>
        <v/>
      </c>
      <c r="F32" s="10" t="str" cm="1">
        <f t="array" ref="F32">_xlfn.LET(_xlpm.EVENT, _xlfn.XMATCH($A32,'Heat Sheet'!$A:$A), IF(ISNA(_xlpm.EVENT), "", _xlfn.LET(_xlpm.ADVANCE, INDEX('Heat Sheet'!$A:$I, _xlpm.EVENT, COLUMN()-1), IF(_xlpm.ADVANCE=0, "", _xlpm.ADVANCE))))</f>
        <v/>
      </c>
      <c r="G32" s="10" t="str" cm="1">
        <f t="array" ref="G32">_xlfn.LET(_xlpm.EVENT, _xlfn.XMATCH($A32,'Heat Sheet'!$A:$A), IF(ISNA(_xlpm.EVENT), "", _xlfn.LET(_xlpm.ADVANCE, INDEX('Heat Sheet'!$A:$I, _xlpm.EVENT, COLUMN()-1), IF(_xlpm.ADVANCE=0, "", _xlpm.ADVANCE))))</f>
        <v/>
      </c>
      <c r="H32" s="10" t="str" cm="1">
        <f t="array" ref="H32">_xlfn.LET(_xlpm.EVENT, _xlfn.XMATCH($A32,'Heat Sheet'!$A:$A), IF(ISNA(_xlpm.EVENT), "", _xlfn.LET(_xlpm.ADVANCE, INDEX('Heat Sheet'!$A:$I, _xlpm.EVENT, COLUMN()-1), IF(_xlpm.ADVANCE=0, "", _xlpm.ADVANCE))))</f>
        <v/>
      </c>
      <c r="I32" s="10" t="str" cm="1">
        <f t="array" ref="I32">_xlfn.LET(_xlpm.EVENT, _xlfn.XMATCH($A32,'Heat Sheet'!$A:$A), IF(ISNA(_xlpm.EVENT), "", _xlfn.LET(_xlpm.ADVANCE, INDEX('Heat Sheet'!$A:$I, _xlpm.EVENT, COLUMN()-1), IF(_xlpm.ADVANCE=0, "", _xlpm.ADVANCE))))</f>
        <v/>
      </c>
      <c r="J32" s="10" t="str" cm="1">
        <f t="array" ref="J32">_xlfn.LET(_xlpm.EVENT, _xlfn.XMATCH($A32,'Heat Sheet'!$A:$A), IF(ISNA(_xlpm.EVENT), "", _xlfn.LET(_xlpm.ADVANCE, INDEX('Heat Sheet'!$A:$I, _xlpm.EVENT, COLUMN()-1), IF(_xlpm.ADVANCE=0, "", _xlpm.ADVANCE))))</f>
        <v/>
      </c>
      <c r="K32" s="139" t="str" cm="1">
        <f t="array" ref="K32">_xlfn.LET(_xlpm.EVENT, _xlfn.XMATCH($A32,'Heat Sheet'!A:A), IF(ISNA(_xlpm.EVENT), "", _xlfn.LET(_xlpm.ADVANCE, INDEX('Heat Sheet'!$A:$I, _xlpm.EVENT+2, 3), IF(_xlpm.ADVANCE=0, "", _xlpm.ADVANCE))))</f>
        <v/>
      </c>
    </row>
    <row r="33" spans="1:11" ht="29.25" customHeight="1" x14ac:dyDescent="0.2">
      <c r="A33" s="12">
        <v>31</v>
      </c>
      <c r="B33" s="7" t="str">
        <f>IFERROR(TEXT(VLOOKUP(A33,'Heat Sheet'!$A:$I, 2, FALSE), "HH:mm"), "")</f>
        <v>11:30</v>
      </c>
      <c r="C33" s="7"/>
      <c r="D33" s="10" t="str" cm="1">
        <f t="array" ref="D33">_xlfn.LET(_xlpm.EVENT, _xlfn.XMATCH($A33,'Heat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33" s="10" t="str" cm="1">
        <f t="array" ref="E33">_xlfn.LET(_xlpm.EVENT, _xlfn.XMATCH($A33,'Heat Sheet'!$A:$A), IF(ISNA(_xlpm.EVENT), "", _xlfn.LET(_xlpm.ADVANCE, INDEX('Heat Sheet'!$A:$I, _xlpm.EVENT, COLUMN()-1), IF(_xlpm.ADVANCE=0, "", _xlpm.ADVANCE))))</f>
        <v/>
      </c>
      <c r="F33" s="10" t="str" cm="1">
        <f t="array" ref="F33">_xlfn.LET(_xlpm.EVENT, _xlfn.XMATCH($A33,'Heat Sheet'!$A:$A), IF(ISNA(_xlpm.EVENT), "", _xlfn.LET(_xlpm.ADVANCE, INDEX('Heat Sheet'!$A:$I, _xlpm.EVENT, COLUMN()-1), IF(_xlpm.ADVANCE=0, "", _xlpm.ADVANCE))))</f>
        <v/>
      </c>
      <c r="G33" s="10" t="str" cm="1">
        <f t="array" ref="G33">_xlfn.LET(_xlpm.EVENT, _xlfn.XMATCH($A33,'Heat Sheet'!$A:$A), IF(ISNA(_xlpm.EVENT), "", _xlfn.LET(_xlpm.ADVANCE, INDEX('Heat Sheet'!$A:$I, _xlpm.EVENT, COLUMN()-1), IF(_xlpm.ADVANCE=0, "", _xlpm.ADVANCE))))</f>
        <v/>
      </c>
      <c r="H33" s="10" t="str" cm="1">
        <f t="array" ref="H33">_xlfn.LET(_xlpm.EVENT, _xlfn.XMATCH($A33,'Heat Sheet'!$A:$A), IF(ISNA(_xlpm.EVENT), "", _xlfn.LET(_xlpm.ADVANCE, INDEX('Heat Sheet'!$A:$I, _xlpm.EVENT, COLUMN()-1), IF(_xlpm.ADVANCE=0, "", _xlpm.ADVANCE))))</f>
        <v/>
      </c>
      <c r="I33" s="10" t="str" cm="1">
        <f t="array" ref="I33">_xlfn.LET(_xlpm.EVENT, _xlfn.XMATCH($A33,'Heat Sheet'!$A:$A), IF(ISNA(_xlpm.EVENT), "", _xlfn.LET(_xlpm.ADVANCE, INDEX('Heat Sheet'!$A:$I, _xlpm.EVENT, COLUMN()-1), IF(_xlpm.ADVANCE=0, "", _xlpm.ADVANCE))))</f>
        <v/>
      </c>
      <c r="J33" s="10" t="str" cm="1">
        <f t="array" ref="J33">_xlfn.LET(_xlpm.EVENT, _xlfn.XMATCH($A33,'Heat Sheet'!$A:$A), IF(ISNA(_xlpm.EVENT), "", _xlfn.LET(_xlpm.ADVANCE, INDEX('Heat Sheet'!$A:$I, _xlpm.EVENT, COLUMN()-1), IF(_xlpm.ADVANCE=0, "", _xlpm.ADVANCE))))</f>
        <v/>
      </c>
      <c r="K33" s="139" t="str" cm="1">
        <f t="array" ref="K33">_xlfn.LET(_xlpm.EVENT, _xlfn.XMATCH($A33,'Heat Sheet'!A:A), IF(ISNA(_xlpm.EVENT), "", _xlfn.LET(_xlpm.ADVANCE, INDEX('Heat Sheet'!$A:$I, _xlpm.EVENT+2, 3), IF(_xlpm.ADVANCE=0, "", _xlpm.ADVANCE))))</f>
        <v/>
      </c>
    </row>
    <row r="34" spans="1:11" ht="29.25" customHeight="1" x14ac:dyDescent="0.2">
      <c r="A34" s="12">
        <v>32</v>
      </c>
      <c r="B34" s="7" t="str">
        <f>IFERROR(TEXT(VLOOKUP(A34,'Heat Sheet'!$A:$I, 2, FALSE), "HH:mm"), "")</f>
        <v>11:35</v>
      </c>
      <c r="C34" s="7"/>
      <c r="D34" s="10" t="str" cm="1">
        <f t="array" ref="D34">_xlfn.LET(_xlpm.EVENT, _xlfn.XMATCH($A34,'Heat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34" s="10" t="str" cm="1">
        <f t="array" ref="E34">_xlfn.LET(_xlpm.EVENT, _xlfn.XMATCH($A34,'Heat Sheet'!$A:$A), IF(ISNA(_xlpm.EVENT), "", _xlfn.LET(_xlpm.ADVANCE, INDEX('Heat Sheet'!$A:$I, _xlpm.EVENT, COLUMN()-1), IF(_xlpm.ADVANCE=0, "", _xlpm.ADVANCE))))</f>
        <v/>
      </c>
      <c r="F34" s="10" t="str" cm="1">
        <f t="array" ref="F34">_xlfn.LET(_xlpm.EVENT, _xlfn.XMATCH($A34,'Heat Sheet'!$A:$A), IF(ISNA(_xlpm.EVENT), "", _xlfn.LET(_xlpm.ADVANCE, INDEX('Heat Sheet'!$A:$I, _xlpm.EVENT, COLUMN()-1), IF(_xlpm.ADVANCE=0, "", _xlpm.ADVANCE))))</f>
        <v/>
      </c>
      <c r="G34" s="10" t="str" cm="1">
        <f t="array" ref="G34">_xlfn.LET(_xlpm.EVENT, _xlfn.XMATCH($A34,'Heat Sheet'!$A:$A), IF(ISNA(_xlpm.EVENT), "", _xlfn.LET(_xlpm.ADVANCE, INDEX('Heat Sheet'!$A:$I, _xlpm.EVENT, COLUMN()-1), IF(_xlpm.ADVANCE=0, "", _xlpm.ADVANCE))))</f>
        <v/>
      </c>
      <c r="H34" s="10" t="str" cm="1">
        <f t="array" ref="H34">_xlfn.LET(_xlpm.EVENT, _xlfn.XMATCH($A34,'Heat Sheet'!$A:$A), IF(ISNA(_xlpm.EVENT), "", _xlfn.LET(_xlpm.ADVANCE, INDEX('Heat Sheet'!$A:$I, _xlpm.EVENT, COLUMN()-1), IF(_xlpm.ADVANCE=0, "", _xlpm.ADVANCE))))</f>
        <v/>
      </c>
      <c r="I34" s="10" t="str" cm="1">
        <f t="array" ref="I34">_xlfn.LET(_xlpm.EVENT, _xlfn.XMATCH($A34,'Heat Sheet'!$A:$A), IF(ISNA(_xlpm.EVENT), "", _xlfn.LET(_xlpm.ADVANCE, INDEX('Heat Sheet'!$A:$I, _xlpm.EVENT, COLUMN()-1), IF(_xlpm.ADVANCE=0, "", _xlpm.ADVANCE))))</f>
        <v/>
      </c>
      <c r="J34" s="10" t="str" cm="1">
        <f t="array" ref="J34">_xlfn.LET(_xlpm.EVENT, _xlfn.XMATCH($A34,'Heat Sheet'!$A:$A), IF(ISNA(_xlpm.EVENT), "", _xlfn.LET(_xlpm.ADVANCE, INDEX('Heat Sheet'!$A:$I, _xlpm.EVENT, COLUMN()-1), IF(_xlpm.ADVANCE=0, "", _xlpm.ADVANCE))))</f>
        <v/>
      </c>
      <c r="K34" s="139" t="str" cm="1">
        <f t="array" ref="K34">_xlfn.LET(_xlpm.EVENT, _xlfn.XMATCH($A34,'Heat Sheet'!A:A), IF(ISNA(_xlpm.EVENT), "", _xlfn.LET(_xlpm.ADVANCE, INDEX('Heat Sheet'!$A:$I, _xlpm.EVENT+2, 3), IF(_xlpm.ADVANCE=0, "", _xlpm.ADVANCE))))</f>
        <v/>
      </c>
    </row>
    <row r="35" spans="1:11" ht="29.25" customHeight="1" x14ac:dyDescent="0.2">
      <c r="A35" s="12">
        <v>33</v>
      </c>
      <c r="B35" s="7" t="str">
        <f>IFERROR(TEXT(VLOOKUP(A35,'Heat Sheet'!$A:$I, 2, FALSE), "HH:mm"), "")</f>
        <v>11:40</v>
      </c>
      <c r="C35" s="7"/>
      <c r="D35" s="10" t="str" cm="1">
        <f t="array" ref="D35">_xlfn.LET(_xlpm.EVENT, _xlfn.XMATCH($A35,'Heat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35" s="10" t="str" cm="1">
        <f t="array" ref="E35">_xlfn.LET(_xlpm.EVENT, _xlfn.XMATCH($A35,'Heat Sheet'!$A:$A), IF(ISNA(_xlpm.EVENT), "", _xlfn.LET(_xlpm.ADVANCE, INDEX('Heat Sheet'!$A:$I, _xlpm.EVENT, COLUMN()-1), IF(_xlpm.ADVANCE=0, "", _xlpm.ADVANCE))))</f>
        <v/>
      </c>
      <c r="F35" s="10" t="str" cm="1">
        <f t="array" ref="F35">_xlfn.LET(_xlpm.EVENT, _xlfn.XMATCH($A35,'Heat Sheet'!$A:$A), IF(ISNA(_xlpm.EVENT), "", _xlfn.LET(_xlpm.ADVANCE, INDEX('Heat Sheet'!$A:$I, _xlpm.EVENT, COLUMN()-1), IF(_xlpm.ADVANCE=0, "", _xlpm.ADVANCE))))</f>
        <v/>
      </c>
      <c r="G35" s="10" t="str" cm="1">
        <f t="array" ref="G35">_xlfn.LET(_xlpm.EVENT, _xlfn.XMATCH($A35,'Heat Sheet'!$A:$A), IF(ISNA(_xlpm.EVENT), "", _xlfn.LET(_xlpm.ADVANCE, INDEX('Heat Sheet'!$A:$I, _xlpm.EVENT, COLUMN()-1), IF(_xlpm.ADVANCE=0, "", _xlpm.ADVANCE))))</f>
        <v/>
      </c>
      <c r="H35" s="10" t="str" cm="1">
        <f t="array" ref="H35">_xlfn.LET(_xlpm.EVENT, _xlfn.XMATCH($A35,'Heat Sheet'!$A:$A), IF(ISNA(_xlpm.EVENT), "", _xlfn.LET(_xlpm.ADVANCE, INDEX('Heat Sheet'!$A:$I, _xlpm.EVENT, COLUMN()-1), IF(_xlpm.ADVANCE=0, "", _xlpm.ADVANCE))))</f>
        <v/>
      </c>
      <c r="I35" s="10" t="str" cm="1">
        <f t="array" ref="I35">_xlfn.LET(_xlpm.EVENT, _xlfn.XMATCH($A35,'Heat Sheet'!$A:$A), IF(ISNA(_xlpm.EVENT), "", _xlfn.LET(_xlpm.ADVANCE, INDEX('Heat Sheet'!$A:$I, _xlpm.EVENT, COLUMN()-1), IF(_xlpm.ADVANCE=0, "", _xlpm.ADVANCE))))</f>
        <v/>
      </c>
      <c r="J35" s="10" t="str" cm="1">
        <f t="array" ref="J35">_xlfn.LET(_xlpm.EVENT, _xlfn.XMATCH($A35,'Heat Sheet'!$A:$A), IF(ISNA(_xlpm.EVENT), "", _xlfn.LET(_xlpm.ADVANCE, INDEX('Heat Sheet'!$A:$I, _xlpm.EVENT, COLUMN()-1), IF(_xlpm.ADVANCE=0, "", _xlpm.ADVANCE))))</f>
        <v/>
      </c>
      <c r="K35" s="139" t="str" cm="1">
        <f t="array" ref="K35">_xlfn.LET(_xlpm.EVENT, _xlfn.XMATCH($A35,'Heat Sheet'!A:A), IF(ISNA(_xlpm.EVENT), "", _xlfn.LET(_xlpm.ADVANCE, INDEX('Heat Sheet'!$A:$I, _xlpm.EVENT+2, 3), IF(_xlpm.ADVANCE=0, "", _xlpm.ADVANCE))))</f>
        <v/>
      </c>
    </row>
    <row r="36" spans="1:11" ht="29.25" customHeight="1" x14ac:dyDescent="0.2">
      <c r="A36" s="12">
        <v>34</v>
      </c>
      <c r="B36" s="7" t="str">
        <f>IFERROR(TEXT(VLOOKUP(A36,'Heat Sheet'!$A:$I, 2, FALSE), "HH:mm"), "")</f>
        <v>11:45</v>
      </c>
      <c r="C36" s="7"/>
      <c r="D36" s="10" t="str" cm="1">
        <f t="array" ref="D36">_xlfn.LET(_xlpm.EVENT, _xlfn.XMATCH($A36,'Heat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36" s="10" t="str" cm="1">
        <f t="array" ref="E36">_xlfn.LET(_xlpm.EVENT, _xlfn.XMATCH($A36,'Heat Sheet'!$A:$A), IF(ISNA(_xlpm.EVENT), "", _xlfn.LET(_xlpm.ADVANCE, INDEX('Heat Sheet'!$A:$I, _xlpm.EVENT, COLUMN()-1), IF(_xlpm.ADVANCE=0, "", _xlpm.ADVANCE))))</f>
        <v/>
      </c>
      <c r="F36" s="10" t="str" cm="1">
        <f t="array" ref="F36">_xlfn.LET(_xlpm.EVENT, _xlfn.XMATCH($A36,'Heat Sheet'!$A:$A), IF(ISNA(_xlpm.EVENT), "", _xlfn.LET(_xlpm.ADVANCE, INDEX('Heat Sheet'!$A:$I, _xlpm.EVENT, COLUMN()-1), IF(_xlpm.ADVANCE=0, "", _xlpm.ADVANCE))))</f>
        <v/>
      </c>
      <c r="G36" s="10" t="str" cm="1">
        <f t="array" ref="G36">_xlfn.LET(_xlpm.EVENT, _xlfn.XMATCH($A36,'Heat Sheet'!$A:$A), IF(ISNA(_xlpm.EVENT), "", _xlfn.LET(_xlpm.ADVANCE, INDEX('Heat Sheet'!$A:$I, _xlpm.EVENT, COLUMN()-1), IF(_xlpm.ADVANCE=0, "", _xlpm.ADVANCE))))</f>
        <v/>
      </c>
      <c r="H36" s="10" t="str" cm="1">
        <f t="array" ref="H36">_xlfn.LET(_xlpm.EVENT, _xlfn.XMATCH($A36,'Heat Sheet'!$A:$A), IF(ISNA(_xlpm.EVENT), "", _xlfn.LET(_xlpm.ADVANCE, INDEX('Heat Sheet'!$A:$I, _xlpm.EVENT, COLUMN()-1), IF(_xlpm.ADVANCE=0, "", _xlpm.ADVANCE))))</f>
        <v/>
      </c>
      <c r="I36" s="10" t="str" cm="1">
        <f t="array" ref="I36">_xlfn.LET(_xlpm.EVENT, _xlfn.XMATCH($A36,'Heat Sheet'!$A:$A), IF(ISNA(_xlpm.EVENT), "", _xlfn.LET(_xlpm.ADVANCE, INDEX('Heat Sheet'!$A:$I, _xlpm.EVENT, COLUMN()-1), IF(_xlpm.ADVANCE=0, "", _xlpm.ADVANCE))))</f>
        <v/>
      </c>
      <c r="J36" s="10" t="str" cm="1">
        <f t="array" ref="J36">_xlfn.LET(_xlpm.EVENT, _xlfn.XMATCH($A36,'Heat Sheet'!$A:$A), IF(ISNA(_xlpm.EVENT), "", _xlfn.LET(_xlpm.ADVANCE, INDEX('Heat Sheet'!$A:$I, _xlpm.EVENT, COLUMN()-1), IF(_xlpm.ADVANCE=0, "", _xlpm.ADVANCE))))</f>
        <v/>
      </c>
      <c r="K36" s="139" t="str" cm="1">
        <f t="array" ref="K36">_xlfn.LET(_xlpm.EVENT, _xlfn.XMATCH($A36,'Heat Sheet'!A:A), IF(ISNA(_xlpm.EVENT), "", _xlfn.LET(_xlpm.ADVANCE, INDEX('Heat Sheet'!$A:$I, _xlpm.EVENT+2, 3), IF(_xlpm.ADVANCE=0, "", _xlpm.ADVANCE))))</f>
        <v/>
      </c>
    </row>
    <row r="37" spans="1:11" ht="29.25" customHeight="1" x14ac:dyDescent="0.2">
      <c r="A37" s="12">
        <v>35</v>
      </c>
      <c r="B37" s="7" t="str">
        <f>IFERROR(TEXT(VLOOKUP(A37,'Heat Sheet'!$A:$I, 2, FALSE), "HH:mm"), "")</f>
        <v>11:50</v>
      </c>
      <c r="C37" s="7"/>
      <c r="D37" s="10" t="str" cm="1">
        <f t="array" ref="D37">_xlfn.LET(_xlpm.EVENT, _xlfn.XMATCH($A37,'Heat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37" s="10" t="str" cm="1">
        <f t="array" ref="E37">_xlfn.LET(_xlpm.EVENT, _xlfn.XMATCH($A37,'Heat Sheet'!$A:$A), IF(ISNA(_xlpm.EVENT), "", _xlfn.LET(_xlpm.ADVANCE, INDEX('Heat Sheet'!$A:$I, _xlpm.EVENT, COLUMN()-1), IF(_xlpm.ADVANCE=0, "", _xlpm.ADVANCE))))</f>
        <v/>
      </c>
      <c r="F37" s="10" t="str" cm="1">
        <f t="array" ref="F37">_xlfn.LET(_xlpm.EVENT, _xlfn.XMATCH($A37,'Heat Sheet'!$A:$A), IF(ISNA(_xlpm.EVENT), "", _xlfn.LET(_xlpm.ADVANCE, INDEX('Heat Sheet'!$A:$I, _xlpm.EVENT, COLUMN()-1), IF(_xlpm.ADVANCE=0, "", _xlpm.ADVANCE))))</f>
        <v/>
      </c>
      <c r="G37" s="10" t="str" cm="1">
        <f t="array" ref="G37">_xlfn.LET(_xlpm.EVENT, _xlfn.XMATCH($A37,'Heat Sheet'!$A:$A), IF(ISNA(_xlpm.EVENT), "", _xlfn.LET(_xlpm.ADVANCE, INDEX('Heat Sheet'!$A:$I, _xlpm.EVENT, COLUMN()-1), IF(_xlpm.ADVANCE=0, "", _xlpm.ADVANCE))))</f>
        <v/>
      </c>
      <c r="H37" s="10" t="str" cm="1">
        <f t="array" ref="H37">_xlfn.LET(_xlpm.EVENT, _xlfn.XMATCH($A37,'Heat Sheet'!$A:$A), IF(ISNA(_xlpm.EVENT), "", _xlfn.LET(_xlpm.ADVANCE, INDEX('Heat Sheet'!$A:$I, _xlpm.EVENT, COLUMN()-1), IF(_xlpm.ADVANCE=0, "", _xlpm.ADVANCE))))</f>
        <v/>
      </c>
      <c r="I37" s="10" t="str" cm="1">
        <f t="array" ref="I37">_xlfn.LET(_xlpm.EVENT, _xlfn.XMATCH($A37,'Heat Sheet'!$A:$A), IF(ISNA(_xlpm.EVENT), "", _xlfn.LET(_xlpm.ADVANCE, INDEX('Heat Sheet'!$A:$I, _xlpm.EVENT, COLUMN()-1), IF(_xlpm.ADVANCE=0, "", _xlpm.ADVANCE))))</f>
        <v/>
      </c>
      <c r="J37" s="10" t="str" cm="1">
        <f t="array" ref="J37">_xlfn.LET(_xlpm.EVENT, _xlfn.XMATCH($A37,'Heat Sheet'!$A:$A), IF(ISNA(_xlpm.EVENT), "", _xlfn.LET(_xlpm.ADVANCE, INDEX('Heat Sheet'!$A:$I, _xlpm.EVENT, COLUMN()-1), IF(_xlpm.ADVANCE=0, "", _xlpm.ADVANCE))))</f>
        <v/>
      </c>
      <c r="K37" s="139" t="str" cm="1">
        <f t="array" ref="K37">_xlfn.LET(_xlpm.EVENT, _xlfn.XMATCH($A37,'Heat Sheet'!A:A), IF(ISNA(_xlpm.EVENT), "", _xlfn.LET(_xlpm.ADVANCE, INDEX('Heat Sheet'!$A:$I, _xlpm.EVENT+2, 3), IF(_xlpm.ADVANCE=0, "", _xlpm.ADVANCE))))</f>
        <v/>
      </c>
    </row>
    <row r="38" spans="1:11" ht="29.25" customHeight="1" x14ac:dyDescent="0.2">
      <c r="A38" s="12">
        <v>36</v>
      </c>
      <c r="B38" s="7" t="str">
        <f>IFERROR(TEXT(VLOOKUP(A38,'Heat Sheet'!$A:$I, 2, FALSE), "HH:mm"), "")</f>
        <v>11:55</v>
      </c>
      <c r="C38" s="7"/>
      <c r="D38" s="10" t="str" cm="1">
        <f t="array" ref="D38">_xlfn.LET(_xlpm.EVENT, _xlfn.XMATCH($A38,'Heat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38" s="10" t="str" cm="1">
        <f t="array" ref="E38">_xlfn.LET(_xlpm.EVENT, _xlfn.XMATCH($A38,'Heat Sheet'!$A:$A), IF(ISNA(_xlpm.EVENT), "", _xlfn.LET(_xlpm.ADVANCE, INDEX('Heat Sheet'!$A:$I, _xlpm.EVENT, COLUMN()-1), IF(_xlpm.ADVANCE=0, "", _xlpm.ADVANCE))))</f>
        <v/>
      </c>
      <c r="F38" s="10" t="str" cm="1">
        <f t="array" ref="F38">_xlfn.LET(_xlpm.EVENT, _xlfn.XMATCH($A38,'Heat Sheet'!$A:$A), IF(ISNA(_xlpm.EVENT), "", _xlfn.LET(_xlpm.ADVANCE, INDEX('Heat Sheet'!$A:$I, _xlpm.EVENT, COLUMN()-1), IF(_xlpm.ADVANCE=0, "", _xlpm.ADVANCE))))</f>
        <v/>
      </c>
      <c r="G38" s="10" t="str" cm="1">
        <f t="array" ref="G38">_xlfn.LET(_xlpm.EVENT, _xlfn.XMATCH($A38,'Heat Sheet'!$A:$A), IF(ISNA(_xlpm.EVENT), "", _xlfn.LET(_xlpm.ADVANCE, INDEX('Heat Sheet'!$A:$I, _xlpm.EVENT, COLUMN()-1), IF(_xlpm.ADVANCE=0, "", _xlpm.ADVANCE))))</f>
        <v/>
      </c>
      <c r="H38" s="10" t="str" cm="1">
        <f t="array" ref="H38">_xlfn.LET(_xlpm.EVENT, _xlfn.XMATCH($A38,'Heat Sheet'!$A:$A), IF(ISNA(_xlpm.EVENT), "", _xlfn.LET(_xlpm.ADVANCE, INDEX('Heat Sheet'!$A:$I, _xlpm.EVENT, COLUMN()-1), IF(_xlpm.ADVANCE=0, "", _xlpm.ADVANCE))))</f>
        <v/>
      </c>
      <c r="I38" s="10" t="str" cm="1">
        <f t="array" ref="I38">_xlfn.LET(_xlpm.EVENT, _xlfn.XMATCH($A38,'Heat Sheet'!$A:$A), IF(ISNA(_xlpm.EVENT), "", _xlfn.LET(_xlpm.ADVANCE, INDEX('Heat Sheet'!$A:$I, _xlpm.EVENT, COLUMN()-1), IF(_xlpm.ADVANCE=0, "", _xlpm.ADVANCE))))</f>
        <v/>
      </c>
      <c r="J38" s="10" t="str" cm="1">
        <f t="array" ref="J38">_xlfn.LET(_xlpm.EVENT, _xlfn.XMATCH($A38,'Heat Sheet'!$A:$A), IF(ISNA(_xlpm.EVENT), "", _xlfn.LET(_xlpm.ADVANCE, INDEX('Heat Sheet'!$A:$I, _xlpm.EVENT, COLUMN()-1), IF(_xlpm.ADVANCE=0, "", _xlpm.ADVANCE))))</f>
        <v/>
      </c>
      <c r="K38" s="139" t="str" cm="1">
        <f t="array" ref="K38">_xlfn.LET(_xlpm.EVENT, _xlfn.XMATCH($A38,'Heat Sheet'!A:A), IF(ISNA(_xlpm.EVENT), "", _xlfn.LET(_xlpm.ADVANCE, INDEX('Heat Sheet'!$A:$I, _xlpm.EVENT+2, 3), IF(_xlpm.ADVANCE=0, "", _xlpm.ADVANCE))))</f>
        <v/>
      </c>
    </row>
    <row r="39" spans="1:11" s="110" customFormat="1" ht="29.25" customHeight="1" x14ac:dyDescent="0.2">
      <c r="A39" s="12">
        <v>37</v>
      </c>
      <c r="B39" s="15" t="str">
        <f>IFERROR(TEXT(VLOOKUP(A39,'Heat Sheet'!$A:$I, 2, FALSE), "HH:mm"), "")</f>
        <v>12:00</v>
      </c>
      <c r="C39" s="15"/>
      <c r="D39" s="10" t="str" cm="1">
        <f t="array" ref="D39">_xlfn.LET(_xlpm.EVENT, _xlfn.XMATCH($A39,'Heat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39" s="10" t="str" cm="1">
        <f t="array" ref="E39">_xlfn.LET(_xlpm.EVENT, _xlfn.XMATCH($A39,'Heat Sheet'!$A:$A), IF(ISNA(_xlpm.EVENT), "", _xlfn.LET(_xlpm.ADVANCE, INDEX('Heat Sheet'!$A:$I, _xlpm.EVENT, COLUMN()-1), IF(_xlpm.ADVANCE=0, "", _xlpm.ADVANCE))))</f>
        <v/>
      </c>
      <c r="F39" s="10" t="str" cm="1">
        <f t="array" ref="F39">_xlfn.LET(_xlpm.EVENT, _xlfn.XMATCH($A39,'Heat Sheet'!$A:$A), IF(ISNA(_xlpm.EVENT), "", _xlfn.LET(_xlpm.ADVANCE, INDEX('Heat Sheet'!$A:$I, _xlpm.EVENT, COLUMN()-1), IF(_xlpm.ADVANCE=0, "", _xlpm.ADVANCE))))</f>
        <v/>
      </c>
      <c r="G39" s="10" t="str" cm="1">
        <f t="array" ref="G39">_xlfn.LET(_xlpm.EVENT, _xlfn.XMATCH($A39,'Heat Sheet'!$A:$A), IF(ISNA(_xlpm.EVENT), "", _xlfn.LET(_xlpm.ADVANCE, INDEX('Heat Sheet'!$A:$I, _xlpm.EVENT, COLUMN()-1), IF(_xlpm.ADVANCE=0, "", _xlpm.ADVANCE))))</f>
        <v/>
      </c>
      <c r="H39" s="10" t="str" cm="1">
        <f t="array" ref="H39">_xlfn.LET(_xlpm.EVENT, _xlfn.XMATCH($A39,'Heat Sheet'!$A:$A), IF(ISNA(_xlpm.EVENT), "", _xlfn.LET(_xlpm.ADVANCE, INDEX('Heat Sheet'!$A:$I, _xlpm.EVENT, COLUMN()-1), IF(_xlpm.ADVANCE=0, "", _xlpm.ADVANCE))))</f>
        <v/>
      </c>
      <c r="I39" s="10" t="str" cm="1">
        <f t="array" ref="I39">_xlfn.LET(_xlpm.EVENT, _xlfn.XMATCH($A39,'Heat Sheet'!$A:$A), IF(ISNA(_xlpm.EVENT), "", _xlfn.LET(_xlpm.ADVANCE, INDEX('Heat Sheet'!$A:$I, _xlpm.EVENT, COLUMN()-1), IF(_xlpm.ADVANCE=0, "", _xlpm.ADVANCE))))</f>
        <v/>
      </c>
      <c r="J39" s="10" t="str" cm="1">
        <f t="array" ref="J39">_xlfn.LET(_xlpm.EVENT, _xlfn.XMATCH($A39,'Heat Sheet'!$A:$A), IF(ISNA(_xlpm.EVENT), "", _xlfn.LET(_xlpm.ADVANCE, INDEX('Heat Sheet'!$A:$I, _xlpm.EVENT, COLUMN()-1), IF(_xlpm.ADVANCE=0, "", _xlpm.ADVANCE))))</f>
        <v/>
      </c>
      <c r="K39" s="139" t="str" cm="1">
        <f t="array" ref="K39">_xlfn.LET(_xlpm.EVENT, _xlfn.XMATCH($A39,'Heat Sheet'!A:A), IF(ISNA(_xlpm.EVENT), "", _xlfn.LET(_xlpm.ADVANCE, INDEX('Heat Sheet'!$A:$I, _xlpm.EVENT+2, 3), IF(_xlpm.ADVANCE=0, "", _xlpm.ADVANCE))))</f>
        <v/>
      </c>
    </row>
    <row r="40" spans="1:11" ht="29.25" customHeight="1" x14ac:dyDescent="0.2">
      <c r="A40" s="12">
        <v>38</v>
      </c>
      <c r="B40" s="15" t="str">
        <f>IFERROR(TEXT(VLOOKUP(A40,'Heat Sheet'!$A:$I, 2, FALSE), "HH:mm"), "")</f>
        <v>12:05</v>
      </c>
      <c r="C40" s="7"/>
      <c r="D40" s="10" t="str" cm="1">
        <f t="array" ref="D40">_xlfn.LET(_xlpm.EVENT, _xlfn.XMATCH($A40,'Heat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40" s="10" t="str" cm="1">
        <f t="array" ref="E40">_xlfn.LET(_xlpm.EVENT, _xlfn.XMATCH($A40,'Heat Sheet'!$A:$A), IF(ISNA(_xlpm.EVENT), "", _xlfn.LET(_xlpm.ADVANCE, INDEX('Heat Sheet'!$A:$I, _xlpm.EVENT, COLUMN()-1), IF(_xlpm.ADVANCE=0, "", _xlpm.ADVANCE))))</f>
        <v/>
      </c>
      <c r="F40" s="10" t="str" cm="1">
        <f t="array" ref="F40">_xlfn.LET(_xlpm.EVENT, _xlfn.XMATCH($A40,'Heat Sheet'!$A:$A), IF(ISNA(_xlpm.EVENT), "", _xlfn.LET(_xlpm.ADVANCE, INDEX('Heat Sheet'!$A:$I, _xlpm.EVENT, COLUMN()-1), IF(_xlpm.ADVANCE=0, "", _xlpm.ADVANCE))))</f>
        <v/>
      </c>
      <c r="G40" s="10" t="str" cm="1">
        <f t="array" ref="G40">_xlfn.LET(_xlpm.EVENT, _xlfn.XMATCH($A40,'Heat Sheet'!$A:$A), IF(ISNA(_xlpm.EVENT), "", _xlfn.LET(_xlpm.ADVANCE, INDEX('Heat Sheet'!$A:$I, _xlpm.EVENT, COLUMN()-1), IF(_xlpm.ADVANCE=0, "", _xlpm.ADVANCE))))</f>
        <v/>
      </c>
      <c r="H40" s="10" t="str" cm="1">
        <f t="array" ref="H40">_xlfn.LET(_xlpm.EVENT, _xlfn.XMATCH($A40,'Heat Sheet'!$A:$A), IF(ISNA(_xlpm.EVENT), "", _xlfn.LET(_xlpm.ADVANCE, INDEX('Heat Sheet'!$A:$I, _xlpm.EVENT, COLUMN()-1), IF(_xlpm.ADVANCE=0, "", _xlpm.ADVANCE))))</f>
        <v/>
      </c>
      <c r="I40" s="10" t="str" cm="1">
        <f t="array" ref="I40">_xlfn.LET(_xlpm.EVENT, _xlfn.XMATCH($A40,'Heat Sheet'!$A:$A), IF(ISNA(_xlpm.EVENT), "", _xlfn.LET(_xlpm.ADVANCE, INDEX('Heat Sheet'!$A:$I, _xlpm.EVENT, COLUMN()-1), IF(_xlpm.ADVANCE=0, "", _xlpm.ADVANCE))))</f>
        <v/>
      </c>
      <c r="J40" s="10" t="str" cm="1">
        <f t="array" ref="J40">_xlfn.LET(_xlpm.EVENT, _xlfn.XMATCH($A40,'Heat Sheet'!$A:$A), IF(ISNA(_xlpm.EVENT), "", _xlfn.LET(_xlpm.ADVANCE, INDEX('Heat Sheet'!$A:$I, _xlpm.EVENT, COLUMN()-1), IF(_xlpm.ADVANCE=0, "", _xlpm.ADVANCE))))</f>
        <v/>
      </c>
      <c r="K40" s="139" t="str" cm="1">
        <f t="array" ref="K40">_xlfn.LET(_xlpm.EVENT, _xlfn.XMATCH($A40,'Heat Sheet'!A:A), IF(ISNA(_xlpm.EVENT), "", _xlfn.LET(_xlpm.ADVANCE, INDEX('Heat Sheet'!$A:$I, _xlpm.EVENT+2, 3), IF(_xlpm.ADVANCE=0, "", _xlpm.ADVANCE))))</f>
        <v/>
      </c>
    </row>
    <row r="41" spans="1:11" ht="29.25" customHeight="1" x14ac:dyDescent="0.2">
      <c r="A41" s="12">
        <v>39</v>
      </c>
      <c r="B41" s="15" t="str">
        <f>IFERROR(TEXT(VLOOKUP(A41,'Heat Sheet'!$A:$I, 2, FALSE), "HH:mm"), "")</f>
        <v>12:10</v>
      </c>
      <c r="C41" s="7"/>
      <c r="D41" s="10" t="str" cm="1">
        <f t="array" ref="D41">_xlfn.LET(_xlpm.EVENT, _xlfn.XMATCH($A41,'Heat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41" s="10" t="str" cm="1">
        <f t="array" ref="E41">_xlfn.LET(_xlpm.EVENT, _xlfn.XMATCH($A41,'Heat Sheet'!$A:$A), IF(ISNA(_xlpm.EVENT), "", _xlfn.LET(_xlpm.ADVANCE, INDEX('Heat Sheet'!$A:$I, _xlpm.EVENT, COLUMN()-1), IF(_xlpm.ADVANCE=0, "", _xlpm.ADVANCE))))</f>
        <v/>
      </c>
      <c r="F41" s="10" t="str" cm="1">
        <f t="array" ref="F41">_xlfn.LET(_xlpm.EVENT, _xlfn.XMATCH($A41,'Heat Sheet'!$A:$A), IF(ISNA(_xlpm.EVENT), "", _xlfn.LET(_xlpm.ADVANCE, INDEX('Heat Sheet'!$A:$I, _xlpm.EVENT, COLUMN()-1), IF(_xlpm.ADVANCE=0, "", _xlpm.ADVANCE))))</f>
        <v/>
      </c>
      <c r="G41" s="10" t="str" cm="1">
        <f t="array" ref="G41">_xlfn.LET(_xlpm.EVENT, _xlfn.XMATCH($A41,'Heat Sheet'!$A:$A), IF(ISNA(_xlpm.EVENT), "", _xlfn.LET(_xlpm.ADVANCE, INDEX('Heat Sheet'!$A:$I, _xlpm.EVENT, COLUMN()-1), IF(_xlpm.ADVANCE=0, "", _xlpm.ADVANCE))))</f>
        <v/>
      </c>
      <c r="H41" s="10" t="str" cm="1">
        <f t="array" ref="H41">_xlfn.LET(_xlpm.EVENT, _xlfn.XMATCH($A41,'Heat Sheet'!$A:$A), IF(ISNA(_xlpm.EVENT), "", _xlfn.LET(_xlpm.ADVANCE, INDEX('Heat Sheet'!$A:$I, _xlpm.EVENT, COLUMN()-1), IF(_xlpm.ADVANCE=0, "", _xlpm.ADVANCE))))</f>
        <v/>
      </c>
      <c r="I41" s="10" t="str" cm="1">
        <f t="array" ref="I41">_xlfn.LET(_xlpm.EVENT, _xlfn.XMATCH($A41,'Heat Sheet'!$A:$A), IF(ISNA(_xlpm.EVENT), "", _xlfn.LET(_xlpm.ADVANCE, INDEX('Heat Sheet'!$A:$I, _xlpm.EVENT, COLUMN()-1), IF(_xlpm.ADVANCE=0, "", _xlpm.ADVANCE))))</f>
        <v/>
      </c>
      <c r="J41" s="10" t="str" cm="1">
        <f t="array" ref="J41">_xlfn.LET(_xlpm.EVENT, _xlfn.XMATCH($A41,'Heat Sheet'!$A:$A), IF(ISNA(_xlpm.EVENT), "", _xlfn.LET(_xlpm.ADVANCE, INDEX('Heat Sheet'!$A:$I, _xlpm.EVENT, COLUMN()-1), IF(_xlpm.ADVANCE=0, "", _xlpm.ADVANCE))))</f>
        <v/>
      </c>
      <c r="K41" s="139" t="str" cm="1">
        <f t="array" ref="K41">_xlfn.LET(_xlpm.EVENT, _xlfn.XMATCH($A41,'Heat Sheet'!A:A), IF(ISNA(_xlpm.EVENT), "", _xlfn.LET(_xlpm.ADVANCE, INDEX('Heat Sheet'!$A:$I, _xlpm.EVENT+2, 3), IF(_xlpm.ADVANCE=0, "", _xlpm.ADVANCE))))</f>
        <v/>
      </c>
    </row>
    <row r="42" spans="1:11" ht="29.25" customHeight="1" x14ac:dyDescent="0.2">
      <c r="A42" s="12">
        <v>40</v>
      </c>
      <c r="B42" s="15" t="str">
        <f>IFERROR(TEXT(VLOOKUP(A42,'Heat Sheet'!$A:$I, 2, FALSE), "HH:mm"), "")</f>
        <v>12:15</v>
      </c>
      <c r="C42" s="7"/>
      <c r="D42" s="10" t="str" cm="1">
        <f t="array" ref="D42">_xlfn.LET(_xlpm.EVENT, _xlfn.XMATCH($A42,'Heat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42" s="10" t="str" cm="1">
        <f t="array" ref="E42">_xlfn.LET(_xlpm.EVENT, _xlfn.XMATCH($A42,'Heat Sheet'!$A:$A), IF(ISNA(_xlpm.EVENT), "", _xlfn.LET(_xlpm.ADVANCE, INDEX('Heat Sheet'!$A:$I, _xlpm.EVENT, COLUMN()-1), IF(_xlpm.ADVANCE=0, "", _xlpm.ADVANCE))))</f>
        <v/>
      </c>
      <c r="F42" s="10" t="str" cm="1">
        <f t="array" ref="F42">_xlfn.LET(_xlpm.EVENT, _xlfn.XMATCH($A42,'Heat Sheet'!$A:$A), IF(ISNA(_xlpm.EVENT), "", _xlfn.LET(_xlpm.ADVANCE, INDEX('Heat Sheet'!$A:$I, _xlpm.EVENT, COLUMN()-1), IF(_xlpm.ADVANCE=0, "", _xlpm.ADVANCE))))</f>
        <v/>
      </c>
      <c r="G42" s="10" t="str" cm="1">
        <f t="array" ref="G42">_xlfn.LET(_xlpm.EVENT, _xlfn.XMATCH($A42,'Heat Sheet'!$A:$A), IF(ISNA(_xlpm.EVENT), "", _xlfn.LET(_xlpm.ADVANCE, INDEX('Heat Sheet'!$A:$I, _xlpm.EVENT, COLUMN()-1), IF(_xlpm.ADVANCE=0, "", _xlpm.ADVANCE))))</f>
        <v/>
      </c>
      <c r="H42" s="10" t="str" cm="1">
        <f t="array" ref="H42">_xlfn.LET(_xlpm.EVENT, _xlfn.XMATCH($A42,'Heat Sheet'!$A:$A), IF(ISNA(_xlpm.EVENT), "", _xlfn.LET(_xlpm.ADVANCE, INDEX('Heat Sheet'!$A:$I, _xlpm.EVENT, COLUMN()-1), IF(_xlpm.ADVANCE=0, "", _xlpm.ADVANCE))))</f>
        <v/>
      </c>
      <c r="I42" s="10" t="str" cm="1">
        <f t="array" ref="I42">_xlfn.LET(_xlpm.EVENT, _xlfn.XMATCH($A42,'Heat Sheet'!$A:$A), IF(ISNA(_xlpm.EVENT), "", _xlfn.LET(_xlpm.ADVANCE, INDEX('Heat Sheet'!$A:$I, _xlpm.EVENT, COLUMN()-1), IF(_xlpm.ADVANCE=0, "", _xlpm.ADVANCE))))</f>
        <v/>
      </c>
      <c r="J42" s="10" t="str" cm="1">
        <f t="array" ref="J42">_xlfn.LET(_xlpm.EVENT, _xlfn.XMATCH($A42,'Heat Sheet'!$A:$A), IF(ISNA(_xlpm.EVENT), "", _xlfn.LET(_xlpm.ADVANCE, INDEX('Heat Sheet'!$A:$I, _xlpm.EVENT, COLUMN()-1), IF(_xlpm.ADVANCE=0, "", _xlpm.ADVANCE))))</f>
        <v/>
      </c>
      <c r="K42" s="139" t="str" cm="1">
        <f t="array" ref="K42">_xlfn.LET(_xlpm.EVENT, _xlfn.XMATCH($A42,'Heat Sheet'!A:A), IF(ISNA(_xlpm.EVENT), "", _xlfn.LET(_xlpm.ADVANCE, INDEX('Heat Sheet'!$A:$I, _xlpm.EVENT+2, 3), IF(_xlpm.ADVANCE=0, "", _xlpm.ADVANCE))))</f>
        <v/>
      </c>
    </row>
    <row r="43" spans="1:11" ht="29.25" customHeight="1" x14ac:dyDescent="0.2">
      <c r="A43" s="12">
        <v>41</v>
      </c>
      <c r="B43" s="15" t="str">
        <f>IFERROR(TEXT(VLOOKUP(A43,'Heat Sheet'!$A:$I, 2, FALSE), "HH:mm"), "")</f>
        <v>13:22</v>
      </c>
      <c r="C43" s="7"/>
      <c r="D43" s="10" t="str" cm="1">
        <f t="array" ref="D43">_xlfn.LET(_xlpm.EVENT, _xlfn.XMATCH($A43,'Heat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43" s="10" t="str" cm="1">
        <f t="array" ref="E43">_xlfn.LET(_xlpm.EVENT, _xlfn.XMATCH($A43,'Heat Sheet'!$A:$A), IF(ISNA(_xlpm.EVENT), "", _xlfn.LET(_xlpm.ADVANCE, INDEX('Heat Sheet'!$A:$I, _xlpm.EVENT, COLUMN()-1), IF(_xlpm.ADVANCE=0, "", _xlpm.ADVANCE))))</f>
        <v/>
      </c>
      <c r="F43" s="10" t="str" cm="1">
        <f t="array" ref="F43">_xlfn.LET(_xlpm.EVENT, _xlfn.XMATCH($A43,'Heat Sheet'!$A:$A), IF(ISNA(_xlpm.EVENT), "", _xlfn.LET(_xlpm.ADVANCE, INDEX('Heat Sheet'!$A:$I, _xlpm.EVENT, COLUMN()-1), IF(_xlpm.ADVANCE=0, "", _xlpm.ADVANCE))))</f>
        <v/>
      </c>
      <c r="G43" s="10" t="str" cm="1">
        <f t="array" ref="G43">_xlfn.LET(_xlpm.EVENT, _xlfn.XMATCH($A43,'Heat Sheet'!$A:$A), IF(ISNA(_xlpm.EVENT), "", _xlfn.LET(_xlpm.ADVANCE, INDEX('Heat Sheet'!$A:$I, _xlpm.EVENT, COLUMN()-1), IF(_xlpm.ADVANCE=0, "", _xlpm.ADVANCE))))</f>
        <v/>
      </c>
      <c r="H43" s="10" t="str" cm="1">
        <f t="array" ref="H43">_xlfn.LET(_xlpm.EVENT, _xlfn.XMATCH($A43,'Heat Sheet'!$A:$A), IF(ISNA(_xlpm.EVENT), "", _xlfn.LET(_xlpm.ADVANCE, INDEX('Heat Sheet'!$A:$I, _xlpm.EVENT, COLUMN()-1), IF(_xlpm.ADVANCE=0, "", _xlpm.ADVANCE))))</f>
        <v/>
      </c>
      <c r="I43" s="10" t="str" cm="1">
        <f t="array" ref="I43">_xlfn.LET(_xlpm.EVENT, _xlfn.XMATCH($A43,'Heat Sheet'!$A:$A), IF(ISNA(_xlpm.EVENT), "", _xlfn.LET(_xlpm.ADVANCE, INDEX('Heat Sheet'!$A:$I, _xlpm.EVENT, COLUMN()-1), IF(_xlpm.ADVANCE=0, "", _xlpm.ADVANCE))))</f>
        <v/>
      </c>
      <c r="J43" s="10" t="str" cm="1">
        <f t="array" ref="J43">_xlfn.LET(_xlpm.EVENT, _xlfn.XMATCH($A43,'Heat Sheet'!$A:$A), IF(ISNA(_xlpm.EVENT), "", _xlfn.LET(_xlpm.ADVANCE, INDEX('Heat Sheet'!$A:$I, _xlpm.EVENT, COLUMN()-1), IF(_xlpm.ADVANCE=0, "", _xlpm.ADVANCE))))</f>
        <v/>
      </c>
      <c r="K43" s="139" t="str" cm="1">
        <f t="array" ref="K43">_xlfn.LET(_xlpm.EVENT, _xlfn.XMATCH($A43,'Heat Sheet'!A:A), IF(ISNA(_xlpm.EVENT), "", _xlfn.LET(_xlpm.ADVANCE, INDEX('Heat Sheet'!$A:$I, _xlpm.EVENT+2, 3), IF(_xlpm.ADVANCE=0, "", _xlpm.ADVANCE))))</f>
        <v/>
      </c>
    </row>
    <row r="44" spans="1:11" ht="29.25" customHeight="1" x14ac:dyDescent="0.2">
      <c r="A44" s="12">
        <v>42</v>
      </c>
      <c r="B44" s="15" t="str">
        <f>IFERROR(TEXT(VLOOKUP(A44,'Heat Sheet'!$A:$I, 2, FALSE), "HH:mm"), "")</f>
        <v>13:27</v>
      </c>
      <c r="C44" s="7"/>
      <c r="D44" s="10" t="str" cm="1">
        <f t="array" ref="D44">_xlfn.LET(_xlpm.EVENT, _xlfn.XMATCH($A44,'Heat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44" s="10" t="str" cm="1">
        <f t="array" ref="E44">_xlfn.LET(_xlpm.EVENT, _xlfn.XMATCH($A44,'Heat Sheet'!$A:$A), IF(ISNA(_xlpm.EVENT), "", _xlfn.LET(_xlpm.ADVANCE, INDEX('Heat Sheet'!$A:$I, _xlpm.EVENT, COLUMN()-1), IF(_xlpm.ADVANCE=0, "", _xlpm.ADVANCE))))</f>
        <v/>
      </c>
      <c r="F44" s="10" t="str" cm="1">
        <f t="array" ref="F44">_xlfn.LET(_xlpm.EVENT, _xlfn.XMATCH($A44,'Heat Sheet'!$A:$A), IF(ISNA(_xlpm.EVENT), "", _xlfn.LET(_xlpm.ADVANCE, INDEX('Heat Sheet'!$A:$I, _xlpm.EVENT, COLUMN()-1), IF(_xlpm.ADVANCE=0, "", _xlpm.ADVANCE))))</f>
        <v/>
      </c>
      <c r="G44" s="10" t="str" cm="1">
        <f t="array" ref="G44">_xlfn.LET(_xlpm.EVENT, _xlfn.XMATCH($A44,'Heat Sheet'!$A:$A), IF(ISNA(_xlpm.EVENT), "", _xlfn.LET(_xlpm.ADVANCE, INDEX('Heat Sheet'!$A:$I, _xlpm.EVENT, COLUMN()-1), IF(_xlpm.ADVANCE=0, "", _xlpm.ADVANCE))))</f>
        <v/>
      </c>
      <c r="H44" s="10" t="str" cm="1">
        <f t="array" ref="H44">_xlfn.LET(_xlpm.EVENT, _xlfn.XMATCH($A44,'Heat Sheet'!$A:$A), IF(ISNA(_xlpm.EVENT), "", _xlfn.LET(_xlpm.ADVANCE, INDEX('Heat Sheet'!$A:$I, _xlpm.EVENT, COLUMN()-1), IF(_xlpm.ADVANCE=0, "", _xlpm.ADVANCE))))</f>
        <v/>
      </c>
      <c r="I44" s="10" t="str" cm="1">
        <f t="array" ref="I44">_xlfn.LET(_xlpm.EVENT, _xlfn.XMATCH($A44,'Heat Sheet'!$A:$A), IF(ISNA(_xlpm.EVENT), "", _xlfn.LET(_xlpm.ADVANCE, INDEX('Heat Sheet'!$A:$I, _xlpm.EVENT, COLUMN()-1), IF(_xlpm.ADVANCE=0, "", _xlpm.ADVANCE))))</f>
        <v/>
      </c>
      <c r="J44" s="10" t="str" cm="1">
        <f t="array" ref="J44">_xlfn.LET(_xlpm.EVENT, _xlfn.XMATCH($A44,'Heat Sheet'!$A:$A), IF(ISNA(_xlpm.EVENT), "", _xlfn.LET(_xlpm.ADVANCE, INDEX('Heat Sheet'!$A:$I, _xlpm.EVENT, COLUMN()-1), IF(_xlpm.ADVANCE=0, "", _xlpm.ADVANCE))))</f>
        <v/>
      </c>
      <c r="K44" s="139" t="str" cm="1">
        <f t="array" ref="K44">_xlfn.LET(_xlpm.EVENT, _xlfn.XMATCH($A44,'Heat Sheet'!A:A), IF(ISNA(_xlpm.EVENT), "", _xlfn.LET(_xlpm.ADVANCE, INDEX('Heat Sheet'!$A:$I, _xlpm.EVENT+2, 3), IF(_xlpm.ADVANCE=0, "", _xlpm.ADVANCE))))</f>
        <v/>
      </c>
    </row>
    <row r="45" spans="1:11" ht="29.25" customHeight="1" x14ac:dyDescent="0.2">
      <c r="A45" s="12">
        <v>43</v>
      </c>
      <c r="B45" s="15" t="str">
        <f>IFERROR(TEXT(VLOOKUP(A45,'Heat Sheet'!$A:$I, 2, FALSE), "HH:mm"), "")</f>
        <v>13:32</v>
      </c>
      <c r="C45" s="7"/>
      <c r="D45" s="10" t="str" cm="1">
        <f t="array" ref="D45">_xlfn.LET(_xlpm.EVENT, _xlfn.XMATCH($A45,'Heat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45" s="10" t="str" cm="1">
        <f t="array" ref="E45">_xlfn.LET(_xlpm.EVENT, _xlfn.XMATCH($A45,'Heat Sheet'!$A:$A), IF(ISNA(_xlpm.EVENT), "", _xlfn.LET(_xlpm.ADVANCE, INDEX('Heat Sheet'!$A:$I, _xlpm.EVENT, COLUMN()-1), IF(_xlpm.ADVANCE=0, "", _xlpm.ADVANCE))))</f>
        <v/>
      </c>
      <c r="F45" s="10" t="str" cm="1">
        <f t="array" ref="F45">_xlfn.LET(_xlpm.EVENT, _xlfn.XMATCH($A45,'Heat Sheet'!$A:$A), IF(ISNA(_xlpm.EVENT), "", _xlfn.LET(_xlpm.ADVANCE, INDEX('Heat Sheet'!$A:$I, _xlpm.EVENT, COLUMN()-1), IF(_xlpm.ADVANCE=0, "", _xlpm.ADVANCE))))</f>
        <v/>
      </c>
      <c r="G45" s="10" t="str" cm="1">
        <f t="array" ref="G45">_xlfn.LET(_xlpm.EVENT, _xlfn.XMATCH($A45,'Heat Sheet'!$A:$A), IF(ISNA(_xlpm.EVENT), "", _xlfn.LET(_xlpm.ADVANCE, INDEX('Heat Sheet'!$A:$I, _xlpm.EVENT, COLUMN()-1), IF(_xlpm.ADVANCE=0, "", _xlpm.ADVANCE))))</f>
        <v/>
      </c>
      <c r="H45" s="10" t="str" cm="1">
        <f t="array" ref="H45">_xlfn.LET(_xlpm.EVENT, _xlfn.XMATCH($A45,'Heat Sheet'!$A:$A), IF(ISNA(_xlpm.EVENT), "", _xlfn.LET(_xlpm.ADVANCE, INDEX('Heat Sheet'!$A:$I, _xlpm.EVENT, COLUMN()-1), IF(_xlpm.ADVANCE=0, "", _xlpm.ADVANCE))))</f>
        <v/>
      </c>
      <c r="I45" s="10" t="str" cm="1">
        <f t="array" ref="I45">_xlfn.LET(_xlpm.EVENT, _xlfn.XMATCH($A45,'Heat Sheet'!$A:$A), IF(ISNA(_xlpm.EVENT), "", _xlfn.LET(_xlpm.ADVANCE, INDEX('Heat Sheet'!$A:$I, _xlpm.EVENT, COLUMN()-1), IF(_xlpm.ADVANCE=0, "", _xlpm.ADVANCE))))</f>
        <v/>
      </c>
      <c r="J45" s="10" t="str" cm="1">
        <f t="array" ref="J45">_xlfn.LET(_xlpm.EVENT, _xlfn.XMATCH($A45,'Heat Sheet'!$A:$A), IF(ISNA(_xlpm.EVENT), "", _xlfn.LET(_xlpm.ADVANCE, INDEX('Heat Sheet'!$A:$I, _xlpm.EVENT, COLUMN()-1), IF(_xlpm.ADVANCE=0, "", _xlpm.ADVANCE))))</f>
        <v/>
      </c>
      <c r="K45" s="139" t="str" cm="1">
        <f t="array" ref="K45">_xlfn.LET(_xlpm.EVENT, _xlfn.XMATCH($A45,'Heat Sheet'!A:A), IF(ISNA(_xlpm.EVENT), "", _xlfn.LET(_xlpm.ADVANCE, INDEX('Heat Sheet'!$A:$I, _xlpm.EVENT+2, 3), IF(_xlpm.ADVANCE=0, "", _xlpm.ADVANCE))))</f>
        <v/>
      </c>
    </row>
    <row r="46" spans="1:11" ht="29.25" customHeight="1" x14ac:dyDescent="0.2">
      <c r="A46" s="12">
        <v>44</v>
      </c>
      <c r="B46" s="15" t="str">
        <f>IFERROR(TEXT(VLOOKUP(A46,'Heat Sheet'!$A:$I, 2, FALSE), "HH:mm"), "")</f>
        <v>13:37</v>
      </c>
      <c r="C46" s="7"/>
      <c r="D46" s="10" t="str" cm="1">
        <f t="array" ref="D46">_xlfn.LET(_xlpm.EVENT, _xlfn.XMATCH($A46,'Heat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46" s="10" t="str" cm="1">
        <f t="array" ref="E46">_xlfn.LET(_xlpm.EVENT, _xlfn.XMATCH($A46,'Heat Sheet'!$A:$A), IF(ISNA(_xlpm.EVENT), "", _xlfn.LET(_xlpm.ADVANCE, INDEX('Heat Sheet'!$A:$I, _xlpm.EVENT, COLUMN()-1), IF(_xlpm.ADVANCE=0, "", _xlpm.ADVANCE))))</f>
        <v/>
      </c>
      <c r="F46" s="10" t="str" cm="1">
        <f t="array" ref="F46">_xlfn.LET(_xlpm.EVENT, _xlfn.XMATCH($A46,'Heat Sheet'!$A:$A), IF(ISNA(_xlpm.EVENT), "", _xlfn.LET(_xlpm.ADVANCE, INDEX('Heat Sheet'!$A:$I, _xlpm.EVENT, COLUMN()-1), IF(_xlpm.ADVANCE=0, "", _xlpm.ADVANCE))))</f>
        <v/>
      </c>
      <c r="G46" s="10" t="str" cm="1">
        <f t="array" ref="G46">_xlfn.LET(_xlpm.EVENT, _xlfn.XMATCH($A46,'Heat Sheet'!$A:$A), IF(ISNA(_xlpm.EVENT), "", _xlfn.LET(_xlpm.ADVANCE, INDEX('Heat Sheet'!$A:$I, _xlpm.EVENT, COLUMN()-1), IF(_xlpm.ADVANCE=0, "", _xlpm.ADVANCE))))</f>
        <v/>
      </c>
      <c r="H46" s="10" t="str" cm="1">
        <f t="array" ref="H46">_xlfn.LET(_xlpm.EVENT, _xlfn.XMATCH($A46,'Heat Sheet'!$A:$A), IF(ISNA(_xlpm.EVENT), "", _xlfn.LET(_xlpm.ADVANCE, INDEX('Heat Sheet'!$A:$I, _xlpm.EVENT, COLUMN()-1), IF(_xlpm.ADVANCE=0, "", _xlpm.ADVANCE))))</f>
        <v/>
      </c>
      <c r="I46" s="10" t="str" cm="1">
        <f t="array" ref="I46">_xlfn.LET(_xlpm.EVENT, _xlfn.XMATCH($A46,'Heat Sheet'!$A:$A), IF(ISNA(_xlpm.EVENT), "", _xlfn.LET(_xlpm.ADVANCE, INDEX('Heat Sheet'!$A:$I, _xlpm.EVENT, COLUMN()-1), IF(_xlpm.ADVANCE=0, "", _xlpm.ADVANCE))))</f>
        <v/>
      </c>
      <c r="J46" s="10" t="str" cm="1">
        <f t="array" ref="J46">_xlfn.LET(_xlpm.EVENT, _xlfn.XMATCH($A46,'Heat Sheet'!$A:$A), IF(ISNA(_xlpm.EVENT), "", _xlfn.LET(_xlpm.ADVANCE, INDEX('Heat Sheet'!$A:$I, _xlpm.EVENT, COLUMN()-1), IF(_xlpm.ADVANCE=0, "", _xlpm.ADVANCE))))</f>
        <v/>
      </c>
      <c r="K46" s="139" t="str" cm="1">
        <f t="array" ref="K46">_xlfn.LET(_xlpm.EVENT, _xlfn.XMATCH($A46,'Heat Sheet'!A:A), IF(ISNA(_xlpm.EVENT), "", _xlfn.LET(_xlpm.ADVANCE, INDEX('Heat Sheet'!$A:$I, _xlpm.EVENT+2, 3), IF(_xlpm.ADVANCE=0, "", _xlpm.ADVANCE))))</f>
        <v/>
      </c>
    </row>
    <row r="47" spans="1:11" ht="29.25" customHeight="1" x14ac:dyDescent="0.2">
      <c r="A47" s="12">
        <v>45</v>
      </c>
      <c r="B47" s="15" t="str">
        <f>IFERROR(TEXT(VLOOKUP(A47,'Heat Sheet'!$A:$I, 2, FALSE), "HH:mm"), "")</f>
        <v>13:42</v>
      </c>
      <c r="C47" s="7"/>
      <c r="D47" s="10" t="str" cm="1">
        <f t="array" ref="D47">_xlfn.LET(_xlpm.EVENT, _xlfn.XMATCH($A47,'Heat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47" s="10" t="str" cm="1">
        <f t="array" ref="E47">_xlfn.LET(_xlpm.EVENT, _xlfn.XMATCH($A47,'Heat Sheet'!$A:$A), IF(ISNA(_xlpm.EVENT), "", _xlfn.LET(_xlpm.ADVANCE, INDEX('Heat Sheet'!$A:$I, _xlpm.EVENT, COLUMN()-1), IF(_xlpm.ADVANCE=0, "", _xlpm.ADVANCE))))</f>
        <v/>
      </c>
      <c r="F47" s="10" t="str" cm="1">
        <f t="array" ref="F47">_xlfn.LET(_xlpm.EVENT, _xlfn.XMATCH($A47,'Heat Sheet'!$A:$A), IF(ISNA(_xlpm.EVENT), "", _xlfn.LET(_xlpm.ADVANCE, INDEX('Heat Sheet'!$A:$I, _xlpm.EVENT, COLUMN()-1), IF(_xlpm.ADVANCE=0, "", _xlpm.ADVANCE))))</f>
        <v/>
      </c>
      <c r="G47" s="10" t="str" cm="1">
        <f t="array" ref="G47">_xlfn.LET(_xlpm.EVENT, _xlfn.XMATCH($A47,'Heat Sheet'!$A:$A), IF(ISNA(_xlpm.EVENT), "", _xlfn.LET(_xlpm.ADVANCE, INDEX('Heat Sheet'!$A:$I, _xlpm.EVENT, COLUMN()-1), IF(_xlpm.ADVANCE=0, "", _xlpm.ADVANCE))))</f>
        <v/>
      </c>
      <c r="H47" s="10" t="str" cm="1">
        <f t="array" ref="H47">_xlfn.LET(_xlpm.EVENT, _xlfn.XMATCH($A47,'Heat Sheet'!$A:$A), IF(ISNA(_xlpm.EVENT), "", _xlfn.LET(_xlpm.ADVANCE, INDEX('Heat Sheet'!$A:$I, _xlpm.EVENT, COLUMN()-1), IF(_xlpm.ADVANCE=0, "", _xlpm.ADVANCE))))</f>
        <v/>
      </c>
      <c r="I47" s="10" t="str" cm="1">
        <f t="array" ref="I47">_xlfn.LET(_xlpm.EVENT, _xlfn.XMATCH($A47,'Heat Sheet'!$A:$A), IF(ISNA(_xlpm.EVENT), "", _xlfn.LET(_xlpm.ADVANCE, INDEX('Heat Sheet'!$A:$I, _xlpm.EVENT, COLUMN()-1), IF(_xlpm.ADVANCE=0, "", _xlpm.ADVANCE))))</f>
        <v/>
      </c>
      <c r="J47" s="10" t="str" cm="1">
        <f t="array" ref="J47">_xlfn.LET(_xlpm.EVENT, _xlfn.XMATCH($A47,'Heat Sheet'!$A:$A), IF(ISNA(_xlpm.EVENT), "", _xlfn.LET(_xlpm.ADVANCE, INDEX('Heat Sheet'!$A:$I, _xlpm.EVENT, COLUMN()-1), IF(_xlpm.ADVANCE=0, "", _xlpm.ADVANCE))))</f>
        <v/>
      </c>
      <c r="K47" s="139" t="str" cm="1">
        <f t="array" ref="K47">_xlfn.LET(_xlpm.EVENT, _xlfn.XMATCH($A47,'Heat Sheet'!A:A), IF(ISNA(_xlpm.EVENT), "", _xlfn.LET(_xlpm.ADVANCE, INDEX('Heat Sheet'!$A:$I, _xlpm.EVENT+2, 3), IF(_xlpm.ADVANCE=0, "", _xlpm.ADVANCE))))</f>
        <v/>
      </c>
    </row>
    <row r="48" spans="1:11" ht="29.25" customHeight="1" x14ac:dyDescent="0.2">
      <c r="A48" s="12">
        <v>46</v>
      </c>
      <c r="B48" s="15" t="str">
        <f>IFERROR(TEXT(VLOOKUP(A48,'Heat Sheet'!$A:$I, 2, FALSE), "HH:mm"), "")</f>
        <v>13:47</v>
      </c>
      <c r="C48" s="7"/>
      <c r="D48" s="10" t="str" cm="1">
        <f t="array" ref="D48">_xlfn.LET(_xlpm.EVENT, _xlfn.XMATCH($A48,'Heat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48" s="10" t="str" cm="1">
        <f t="array" ref="E48">_xlfn.LET(_xlpm.EVENT, _xlfn.XMATCH($A48,'Heat Sheet'!$A:$A), IF(ISNA(_xlpm.EVENT), "", _xlfn.LET(_xlpm.ADVANCE, INDEX('Heat Sheet'!$A:$I, _xlpm.EVENT, COLUMN()-1), IF(_xlpm.ADVANCE=0, "", _xlpm.ADVANCE))))</f>
        <v/>
      </c>
      <c r="F48" s="10" t="str" cm="1">
        <f t="array" ref="F48">_xlfn.LET(_xlpm.EVENT, _xlfn.XMATCH($A48,'Heat Sheet'!$A:$A), IF(ISNA(_xlpm.EVENT), "", _xlfn.LET(_xlpm.ADVANCE, INDEX('Heat Sheet'!$A:$I, _xlpm.EVENT, COLUMN()-1), IF(_xlpm.ADVANCE=0, "", _xlpm.ADVANCE))))</f>
        <v/>
      </c>
      <c r="G48" s="10" t="str" cm="1">
        <f t="array" ref="G48">_xlfn.LET(_xlpm.EVENT, _xlfn.XMATCH($A48,'Heat Sheet'!$A:$A), IF(ISNA(_xlpm.EVENT), "", _xlfn.LET(_xlpm.ADVANCE, INDEX('Heat Sheet'!$A:$I, _xlpm.EVENT, COLUMN()-1), IF(_xlpm.ADVANCE=0, "", _xlpm.ADVANCE))))</f>
        <v/>
      </c>
      <c r="H48" s="10" t="str" cm="1">
        <f t="array" ref="H48">_xlfn.LET(_xlpm.EVENT, _xlfn.XMATCH($A48,'Heat Sheet'!$A:$A), IF(ISNA(_xlpm.EVENT), "", _xlfn.LET(_xlpm.ADVANCE, INDEX('Heat Sheet'!$A:$I, _xlpm.EVENT, COLUMN()-1), IF(_xlpm.ADVANCE=0, "", _xlpm.ADVANCE))))</f>
        <v/>
      </c>
      <c r="I48" s="10" t="str" cm="1">
        <f t="array" ref="I48">_xlfn.LET(_xlpm.EVENT, _xlfn.XMATCH($A48,'Heat Sheet'!$A:$A), IF(ISNA(_xlpm.EVENT), "", _xlfn.LET(_xlpm.ADVANCE, INDEX('Heat Sheet'!$A:$I, _xlpm.EVENT, COLUMN()-1), IF(_xlpm.ADVANCE=0, "", _xlpm.ADVANCE))))</f>
        <v/>
      </c>
      <c r="J48" s="10" t="str" cm="1">
        <f t="array" ref="J48">_xlfn.LET(_xlpm.EVENT, _xlfn.XMATCH($A48,'Heat Sheet'!$A:$A), IF(ISNA(_xlpm.EVENT), "", _xlfn.LET(_xlpm.ADVANCE, INDEX('Heat Sheet'!$A:$I, _xlpm.EVENT, COLUMN()-1), IF(_xlpm.ADVANCE=0, "", _xlpm.ADVANCE))))</f>
        <v/>
      </c>
      <c r="K48" s="139" t="str" cm="1">
        <f t="array" ref="K48">_xlfn.LET(_xlpm.EVENT, _xlfn.XMATCH($A48,'Heat Sheet'!A:A), IF(ISNA(_xlpm.EVENT), "", _xlfn.LET(_xlpm.ADVANCE, INDEX('Heat Sheet'!$A:$I, _xlpm.EVENT+2, 3), IF(_xlpm.ADVANCE=0, "", _xlpm.ADVANCE))))</f>
        <v/>
      </c>
    </row>
    <row r="49" spans="1:11" ht="29.25" customHeight="1" x14ac:dyDescent="0.2">
      <c r="A49" s="12">
        <v>47</v>
      </c>
      <c r="B49" s="15" t="str">
        <f>IFERROR(TEXT(VLOOKUP(A49,'Heat Sheet'!$A:$I, 2, FALSE), "HH:mm"), "")</f>
        <v>13:52</v>
      </c>
      <c r="C49" s="7"/>
      <c r="D49" s="10" t="str" cm="1">
        <f t="array" ref="D49">_xlfn.LET(_xlpm.EVENT, _xlfn.XMATCH($A49,'Heat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49" s="10" t="str" cm="1">
        <f t="array" ref="E49">_xlfn.LET(_xlpm.EVENT, _xlfn.XMATCH($A49,'Heat Sheet'!$A:$A), IF(ISNA(_xlpm.EVENT), "", _xlfn.LET(_xlpm.ADVANCE, INDEX('Heat Sheet'!$A:$I, _xlpm.EVENT, COLUMN()-1), IF(_xlpm.ADVANCE=0, "", _xlpm.ADVANCE))))</f>
        <v/>
      </c>
      <c r="F49" s="10" t="str" cm="1">
        <f t="array" ref="F49">_xlfn.LET(_xlpm.EVENT, _xlfn.XMATCH($A49,'Heat Sheet'!$A:$A), IF(ISNA(_xlpm.EVENT), "", _xlfn.LET(_xlpm.ADVANCE, INDEX('Heat Sheet'!$A:$I, _xlpm.EVENT, COLUMN()-1), IF(_xlpm.ADVANCE=0, "", _xlpm.ADVANCE))))</f>
        <v/>
      </c>
      <c r="G49" s="10" t="str" cm="1">
        <f t="array" ref="G49">_xlfn.LET(_xlpm.EVENT, _xlfn.XMATCH($A49,'Heat Sheet'!$A:$A), IF(ISNA(_xlpm.EVENT), "", _xlfn.LET(_xlpm.ADVANCE, INDEX('Heat Sheet'!$A:$I, _xlpm.EVENT, COLUMN()-1), IF(_xlpm.ADVANCE=0, "", _xlpm.ADVANCE))))</f>
        <v/>
      </c>
      <c r="H49" s="10" t="str" cm="1">
        <f t="array" ref="H49">_xlfn.LET(_xlpm.EVENT, _xlfn.XMATCH($A49,'Heat Sheet'!$A:$A), IF(ISNA(_xlpm.EVENT), "", _xlfn.LET(_xlpm.ADVANCE, INDEX('Heat Sheet'!$A:$I, _xlpm.EVENT, COLUMN()-1), IF(_xlpm.ADVANCE=0, "", _xlpm.ADVANCE))))</f>
        <v/>
      </c>
      <c r="I49" s="10" t="str" cm="1">
        <f t="array" ref="I49">_xlfn.LET(_xlpm.EVENT, _xlfn.XMATCH($A49,'Heat Sheet'!$A:$A), IF(ISNA(_xlpm.EVENT), "", _xlfn.LET(_xlpm.ADVANCE, INDEX('Heat Sheet'!$A:$I, _xlpm.EVENT, COLUMN()-1), IF(_xlpm.ADVANCE=0, "", _xlpm.ADVANCE))))</f>
        <v/>
      </c>
      <c r="J49" s="10" t="str" cm="1">
        <f t="array" ref="J49">_xlfn.LET(_xlpm.EVENT, _xlfn.XMATCH($A49,'Heat Sheet'!$A:$A), IF(ISNA(_xlpm.EVENT), "", _xlfn.LET(_xlpm.ADVANCE, INDEX('Heat Sheet'!$A:$I, _xlpm.EVENT, COLUMN()-1), IF(_xlpm.ADVANCE=0, "", _xlpm.ADVANCE))))</f>
        <v/>
      </c>
      <c r="K49" s="139" t="str" cm="1">
        <f t="array" ref="K49">_xlfn.LET(_xlpm.EVENT, _xlfn.XMATCH($A49,'Heat Sheet'!A:A), IF(ISNA(_xlpm.EVENT), "", _xlfn.LET(_xlpm.ADVANCE, INDEX('Heat Sheet'!$A:$I, _xlpm.EVENT+2, 3), IF(_xlpm.ADVANCE=0, "", _xlpm.ADVANCE))))</f>
        <v/>
      </c>
    </row>
    <row r="50" spans="1:11" ht="29.25" customHeight="1" x14ac:dyDescent="0.2">
      <c r="A50" s="12">
        <v>48</v>
      </c>
      <c r="B50" s="15" t="str">
        <f>IFERROR(TEXT(VLOOKUP(A50,'Heat Sheet'!$A:$I, 2, FALSE), "HH:mm"), "")</f>
        <v>13:57</v>
      </c>
      <c r="C50" s="7"/>
      <c r="D50" s="10" t="str" cm="1">
        <f t="array" ref="D50">_xlfn.LET(_xlpm.EVENT, _xlfn.XMATCH($A50,'Heat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50" s="10" t="str" cm="1">
        <f t="array" ref="E50">_xlfn.LET(_xlpm.EVENT, _xlfn.XMATCH($A50,'Heat Sheet'!$A:$A), IF(ISNA(_xlpm.EVENT), "", _xlfn.LET(_xlpm.ADVANCE, INDEX('Heat Sheet'!$A:$I, _xlpm.EVENT, COLUMN()-1), IF(_xlpm.ADVANCE=0, "", _xlpm.ADVANCE))))</f>
        <v/>
      </c>
      <c r="F50" s="10" t="str" cm="1">
        <f t="array" ref="F50">_xlfn.LET(_xlpm.EVENT, _xlfn.XMATCH($A50,'Heat Sheet'!$A:$A), IF(ISNA(_xlpm.EVENT), "", _xlfn.LET(_xlpm.ADVANCE, INDEX('Heat Sheet'!$A:$I, _xlpm.EVENT, COLUMN()-1), IF(_xlpm.ADVANCE=0, "", _xlpm.ADVANCE))))</f>
        <v/>
      </c>
      <c r="G50" s="10" t="str" cm="1">
        <f t="array" ref="G50">_xlfn.LET(_xlpm.EVENT, _xlfn.XMATCH($A50,'Heat Sheet'!$A:$A), IF(ISNA(_xlpm.EVENT), "", _xlfn.LET(_xlpm.ADVANCE, INDEX('Heat Sheet'!$A:$I, _xlpm.EVENT, COLUMN()-1), IF(_xlpm.ADVANCE=0, "", _xlpm.ADVANCE))))</f>
        <v/>
      </c>
      <c r="H50" s="10" t="str" cm="1">
        <f t="array" ref="H50">_xlfn.LET(_xlpm.EVENT, _xlfn.XMATCH($A50,'Heat Sheet'!$A:$A), IF(ISNA(_xlpm.EVENT), "", _xlfn.LET(_xlpm.ADVANCE, INDEX('Heat Sheet'!$A:$I, _xlpm.EVENT, COLUMN()-1), IF(_xlpm.ADVANCE=0, "", _xlpm.ADVANCE))))</f>
        <v/>
      </c>
      <c r="I50" s="10" t="str" cm="1">
        <f t="array" ref="I50">_xlfn.LET(_xlpm.EVENT, _xlfn.XMATCH($A50,'Heat Sheet'!$A:$A), IF(ISNA(_xlpm.EVENT), "", _xlfn.LET(_xlpm.ADVANCE, INDEX('Heat Sheet'!$A:$I, _xlpm.EVENT, COLUMN()-1), IF(_xlpm.ADVANCE=0, "", _xlpm.ADVANCE))))</f>
        <v/>
      </c>
      <c r="J50" s="10" t="str" cm="1">
        <f t="array" ref="J50">_xlfn.LET(_xlpm.EVENT, _xlfn.XMATCH($A50,'Heat Sheet'!$A:$A), IF(ISNA(_xlpm.EVENT), "", _xlfn.LET(_xlpm.ADVANCE, INDEX('Heat Sheet'!$A:$I, _xlpm.EVENT, COLUMN()-1), IF(_xlpm.ADVANCE=0, "", _xlpm.ADVANCE))))</f>
        <v/>
      </c>
      <c r="K50" s="139" t="str" cm="1">
        <f t="array" ref="K50">_xlfn.LET(_xlpm.EVENT, _xlfn.XMATCH($A50,'Heat Sheet'!A:A), IF(ISNA(_xlpm.EVENT), "", _xlfn.LET(_xlpm.ADVANCE, INDEX('Heat Sheet'!$A:$I, _xlpm.EVENT+2, 3), IF(_xlpm.ADVANCE=0, "", _xlpm.ADVANCE))))</f>
        <v/>
      </c>
    </row>
    <row r="51" spans="1:11" ht="29.25" customHeight="1" x14ac:dyDescent="0.2">
      <c r="A51" s="12">
        <v>49</v>
      </c>
      <c r="B51" s="15" t="str">
        <f>IFERROR(TEXT(VLOOKUP(A51,'Heat Sheet'!$A:$I, 2, FALSE), "HH:mm"), "")</f>
        <v>14:02</v>
      </c>
      <c r="C51" s="7"/>
      <c r="D51" s="10" t="str" cm="1">
        <f t="array" ref="D51">_xlfn.LET(_xlpm.EVENT, _xlfn.XMATCH($A51,'Heat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51" s="10" t="str" cm="1">
        <f t="array" ref="E51">_xlfn.LET(_xlpm.EVENT, _xlfn.XMATCH($A51,'Heat Sheet'!$A:$A), IF(ISNA(_xlpm.EVENT), "", _xlfn.LET(_xlpm.ADVANCE, INDEX('Heat Sheet'!$A:$I, _xlpm.EVENT, COLUMN()-1), IF(_xlpm.ADVANCE=0, "", _xlpm.ADVANCE))))</f>
        <v/>
      </c>
      <c r="F51" s="10" t="str" cm="1">
        <f t="array" ref="F51">_xlfn.LET(_xlpm.EVENT, _xlfn.XMATCH($A51,'Heat Sheet'!$A:$A), IF(ISNA(_xlpm.EVENT), "", _xlfn.LET(_xlpm.ADVANCE, INDEX('Heat Sheet'!$A:$I, _xlpm.EVENT, COLUMN()-1), IF(_xlpm.ADVANCE=0, "", _xlpm.ADVANCE))))</f>
        <v/>
      </c>
      <c r="G51" s="10" t="str" cm="1">
        <f t="array" ref="G51">_xlfn.LET(_xlpm.EVENT, _xlfn.XMATCH($A51,'Heat Sheet'!$A:$A), IF(ISNA(_xlpm.EVENT), "", _xlfn.LET(_xlpm.ADVANCE, INDEX('Heat Sheet'!$A:$I, _xlpm.EVENT, COLUMN()-1), IF(_xlpm.ADVANCE=0, "", _xlpm.ADVANCE))))</f>
        <v/>
      </c>
      <c r="H51" s="10" t="str" cm="1">
        <f t="array" ref="H51">_xlfn.LET(_xlpm.EVENT, _xlfn.XMATCH($A51,'Heat Sheet'!$A:$A), IF(ISNA(_xlpm.EVENT), "", _xlfn.LET(_xlpm.ADVANCE, INDEX('Heat Sheet'!$A:$I, _xlpm.EVENT, COLUMN()-1), IF(_xlpm.ADVANCE=0, "", _xlpm.ADVANCE))))</f>
        <v/>
      </c>
      <c r="I51" s="10" t="str" cm="1">
        <f t="array" ref="I51">_xlfn.LET(_xlpm.EVENT, _xlfn.XMATCH($A51,'Heat Sheet'!$A:$A), IF(ISNA(_xlpm.EVENT), "", _xlfn.LET(_xlpm.ADVANCE, INDEX('Heat Sheet'!$A:$I, _xlpm.EVENT, COLUMN()-1), IF(_xlpm.ADVANCE=0, "", _xlpm.ADVANCE))))</f>
        <v/>
      </c>
      <c r="J51" s="10" t="str" cm="1">
        <f t="array" ref="J51">_xlfn.LET(_xlpm.EVENT, _xlfn.XMATCH($A51,'Heat Sheet'!$A:$A), IF(ISNA(_xlpm.EVENT), "", _xlfn.LET(_xlpm.ADVANCE, INDEX('Heat Sheet'!$A:$I, _xlpm.EVENT, COLUMN()-1), IF(_xlpm.ADVANCE=0, "", _xlpm.ADVANCE))))</f>
        <v/>
      </c>
      <c r="K51" s="139" t="str" cm="1">
        <f t="array" ref="K51">_xlfn.LET(_xlpm.EVENT, _xlfn.XMATCH($A51,'Heat Sheet'!A:A), IF(ISNA(_xlpm.EVENT), "", _xlfn.LET(_xlpm.ADVANCE, INDEX('Heat Sheet'!$A:$I, _xlpm.EVENT+2, 3), IF(_xlpm.ADVANCE=0, "", _xlpm.ADVANCE))))</f>
        <v/>
      </c>
    </row>
    <row r="52" spans="1:11" ht="29.25" customHeight="1" x14ac:dyDescent="0.2">
      <c r="A52" s="12">
        <v>50</v>
      </c>
      <c r="B52" s="15" t="str">
        <f>IFERROR(TEXT(VLOOKUP(A52,'Heat Sheet'!$A:$I, 2, FALSE), "HH:mm"), "")</f>
        <v>14:07</v>
      </c>
      <c r="C52" s="7"/>
      <c r="D52" s="10" t="str" cm="1">
        <f t="array" ref="D52">_xlfn.LET(_xlpm.EVENT, _xlfn.XMATCH($A52,'Heat Sheet'!A:A), IF(ISNA(_xlpm.EVENT), "", INDEX('Heat Sheet'!$A:$I, _xlpm.EVENT, 3)&amp;" "&amp;SUBSTITUTE(SUBSTITUTE(SUBSTITUTE(INDEX('Heat Sheet'!$A:$I, _xlpm.EVENT+1, 3), "Heat ", "H"), "Final", "F"), "Flight ", "F")))</f>
        <v xml:space="preserve"> </v>
      </c>
      <c r="E52" s="10" t="str" cm="1">
        <f t="array" ref="E52">_xlfn.LET(_xlpm.EVENT, _xlfn.XMATCH($A52,'Heat Sheet'!$A:$A), IF(ISNA(_xlpm.EVENT), "", _xlfn.LET(_xlpm.ADVANCE, INDEX('Heat Sheet'!$A:$I, _xlpm.EVENT, COLUMN()-1), IF(_xlpm.ADVANCE=0, "", _xlpm.ADVANCE))))</f>
        <v/>
      </c>
      <c r="F52" s="10" t="str" cm="1">
        <f t="array" ref="F52">_xlfn.LET(_xlpm.EVENT, _xlfn.XMATCH($A52,'Heat Sheet'!$A:$A), IF(ISNA(_xlpm.EVENT), "", _xlfn.LET(_xlpm.ADVANCE, INDEX('Heat Sheet'!$A:$I, _xlpm.EVENT, COLUMN()-1), IF(_xlpm.ADVANCE=0, "", _xlpm.ADVANCE))))</f>
        <v/>
      </c>
      <c r="G52" s="10" t="str" cm="1">
        <f t="array" ref="G52">_xlfn.LET(_xlpm.EVENT, _xlfn.XMATCH($A52,'Heat Sheet'!$A:$A), IF(ISNA(_xlpm.EVENT), "", _xlfn.LET(_xlpm.ADVANCE, INDEX('Heat Sheet'!$A:$I, _xlpm.EVENT, COLUMN()-1), IF(_xlpm.ADVANCE=0, "", _xlpm.ADVANCE))))</f>
        <v/>
      </c>
      <c r="H52" s="10" t="str" cm="1">
        <f t="array" ref="H52">_xlfn.LET(_xlpm.EVENT, _xlfn.XMATCH($A52,'Heat Sheet'!$A:$A), IF(ISNA(_xlpm.EVENT), "", _xlfn.LET(_xlpm.ADVANCE, INDEX('Heat Sheet'!$A:$I, _xlpm.EVENT, COLUMN()-1), IF(_xlpm.ADVANCE=0, "", _xlpm.ADVANCE))))</f>
        <v/>
      </c>
      <c r="I52" s="10" t="str" cm="1">
        <f t="array" ref="I52">_xlfn.LET(_xlpm.EVENT, _xlfn.XMATCH($A52,'Heat Sheet'!$A:$A), IF(ISNA(_xlpm.EVENT), "", _xlfn.LET(_xlpm.ADVANCE, INDEX('Heat Sheet'!$A:$I, _xlpm.EVENT, COLUMN()-1), IF(_xlpm.ADVANCE=0, "", _xlpm.ADVANCE))))</f>
        <v/>
      </c>
      <c r="J52" s="10" t="str" cm="1">
        <f t="array" ref="J52">_xlfn.LET(_xlpm.EVENT, _xlfn.XMATCH($A52,'Heat Sheet'!$A:$A), IF(ISNA(_xlpm.EVENT), "", _xlfn.LET(_xlpm.ADVANCE, INDEX('Heat Sheet'!$A:$I, _xlpm.EVENT, COLUMN()-1), IF(_xlpm.ADVANCE=0, "", _xlpm.ADVANCE))))</f>
        <v/>
      </c>
      <c r="K52" s="139" t="str" cm="1">
        <f t="array" ref="K52">_xlfn.LET(_xlpm.EVENT, _xlfn.XMATCH($A52,'Heat Sheet'!A:A), IF(ISNA(_xlpm.EVENT), "", _xlfn.LET(_xlpm.ADVANCE, INDEX('Heat Sheet'!$A:$I, _xlpm.EVENT+2, 3), IF(_xlpm.ADVANCE=0, "", _xlpm.ADVANCE))))</f>
        <v/>
      </c>
    </row>
    <row r="53" spans="1:11" ht="29.25" customHeight="1" x14ac:dyDescent="0.2">
      <c r="A53" s="12">
        <v>51</v>
      </c>
      <c r="B53" s="15" t="str">
        <f>IFERROR(TEXT(VLOOKUP(A53,'Heat Sheet'!$A:$I, 2, FALSE), "HH:mm"), "")</f>
        <v/>
      </c>
      <c r="C53" s="7"/>
      <c r="D53" s="10" t="str" cm="1">
        <f t="array" ref="D53">_xlfn.LET(_xlpm.EVENT, _xlfn.XMATCH($A53,'Heat Sheet'!A:A), IF(ISNA(_xlpm.EVENT), "", INDEX('Heat Sheet'!$A:$I, _xlpm.EVENT, 3)&amp;" "&amp;SUBSTITUTE(SUBSTITUTE(SUBSTITUTE(INDEX('Heat Sheet'!$A:$I, _xlpm.EVENT+1, 3), "Heat ", "H"), "Final", "F"), "Flight ", "F")))</f>
        <v/>
      </c>
      <c r="E53" s="10" t="str" cm="1">
        <f t="array" ref="E53">_xlfn.LET(_xlpm.EVENT, _xlfn.XMATCH($A53,'Heat Sheet'!$A:$A), IF(ISNA(_xlpm.EVENT), "", _xlfn.LET(_xlpm.ADVANCE, INDEX('Heat Sheet'!$A:$I, _xlpm.EVENT, COLUMN()-1), IF(_xlpm.ADVANCE=0, "", _xlpm.ADVANCE))))</f>
        <v/>
      </c>
      <c r="F53" s="10" t="str" cm="1">
        <f t="array" ref="F53">_xlfn.LET(_xlpm.EVENT, _xlfn.XMATCH($A53,'Heat Sheet'!$A:$A), IF(ISNA(_xlpm.EVENT), "", _xlfn.LET(_xlpm.ADVANCE, INDEX('Heat Sheet'!$A:$I, _xlpm.EVENT, COLUMN()-1), IF(_xlpm.ADVANCE=0, "", _xlpm.ADVANCE))))</f>
        <v/>
      </c>
      <c r="G53" s="10" t="str" cm="1">
        <f t="array" ref="G53">_xlfn.LET(_xlpm.EVENT, _xlfn.XMATCH($A53,'Heat Sheet'!$A:$A), IF(ISNA(_xlpm.EVENT), "", _xlfn.LET(_xlpm.ADVANCE, INDEX('Heat Sheet'!$A:$I, _xlpm.EVENT, COLUMN()-1), IF(_xlpm.ADVANCE=0, "", _xlpm.ADVANCE))))</f>
        <v/>
      </c>
      <c r="H53" s="10" t="str" cm="1">
        <f t="array" ref="H53">_xlfn.LET(_xlpm.EVENT, _xlfn.XMATCH($A53,'Heat Sheet'!$A:$A), IF(ISNA(_xlpm.EVENT), "", _xlfn.LET(_xlpm.ADVANCE, INDEX('Heat Sheet'!$A:$I, _xlpm.EVENT, COLUMN()-1), IF(_xlpm.ADVANCE=0, "", _xlpm.ADVANCE))))</f>
        <v/>
      </c>
      <c r="I53" s="10" t="str" cm="1">
        <f t="array" ref="I53">_xlfn.LET(_xlpm.EVENT, _xlfn.XMATCH($A53,'Heat Sheet'!$A:$A), IF(ISNA(_xlpm.EVENT), "", _xlfn.LET(_xlpm.ADVANCE, INDEX('Heat Sheet'!$A:$I, _xlpm.EVENT, COLUMN()-1), IF(_xlpm.ADVANCE=0, "", _xlpm.ADVANCE))))</f>
        <v/>
      </c>
      <c r="J53" s="10" t="str" cm="1">
        <f t="array" ref="J53">_xlfn.LET(_xlpm.EVENT, _xlfn.XMATCH($A53,'Heat Sheet'!$A:$A), IF(ISNA(_xlpm.EVENT), "", _xlfn.LET(_xlpm.ADVANCE, INDEX('Heat Sheet'!$A:$I, _xlpm.EVENT, COLUMN()-1), IF(_xlpm.ADVANCE=0, "", _xlpm.ADVANCE))))</f>
        <v/>
      </c>
      <c r="K53" s="139" t="str" cm="1">
        <f t="array" ref="K53">_xlfn.LET(_xlpm.EVENT, _xlfn.XMATCH($A53,'Heat Sheet'!A:A), IF(ISNA(_xlpm.EVENT), "", _xlfn.LET(_xlpm.ADVANCE, INDEX('Heat Sheet'!$A:$I, _xlpm.EVENT+2, 3), IF(_xlpm.ADVANCE=0, "", _xlpm.ADVANCE))))</f>
        <v/>
      </c>
    </row>
    <row r="54" spans="1:11" ht="29.25" customHeight="1" x14ac:dyDescent="0.2">
      <c r="A54" s="12">
        <v>52</v>
      </c>
      <c r="B54" s="15" t="str">
        <f>IFERROR(TEXT(VLOOKUP(A54,'Heat Sheet'!$A:$I, 2, FALSE), "HH:mm"), "")</f>
        <v/>
      </c>
      <c r="C54" s="7"/>
      <c r="D54" s="10" t="str" cm="1">
        <f t="array" ref="D54">_xlfn.LET(_xlpm.EVENT, _xlfn.XMATCH($A54,'Heat Sheet'!A:A), IF(ISNA(_xlpm.EVENT), "", INDEX('Heat Sheet'!$A:$I, _xlpm.EVENT, 3)&amp;" "&amp;SUBSTITUTE(SUBSTITUTE(SUBSTITUTE(INDEX('Heat Sheet'!$A:$I, _xlpm.EVENT+1, 3), "Heat ", "H"), "Final", "F"), "Flight ", "F")))</f>
        <v/>
      </c>
      <c r="E54" s="10" t="str" cm="1">
        <f t="array" ref="E54">_xlfn.LET(_xlpm.EVENT, _xlfn.XMATCH($A54,'Heat Sheet'!$A:$A), IF(ISNA(_xlpm.EVENT), "", _xlfn.LET(_xlpm.ADVANCE, INDEX('Heat Sheet'!$A:$I, _xlpm.EVENT, COLUMN()-1), IF(_xlpm.ADVANCE=0, "", _xlpm.ADVANCE))))</f>
        <v/>
      </c>
      <c r="F54" s="10" t="str" cm="1">
        <f t="array" ref="F54">_xlfn.LET(_xlpm.EVENT, _xlfn.XMATCH($A54,'Heat Sheet'!$A:$A), IF(ISNA(_xlpm.EVENT), "", _xlfn.LET(_xlpm.ADVANCE, INDEX('Heat Sheet'!$A:$I, _xlpm.EVENT, COLUMN()-1), IF(_xlpm.ADVANCE=0, "", _xlpm.ADVANCE))))</f>
        <v/>
      </c>
      <c r="G54" s="10" t="str" cm="1">
        <f t="array" ref="G54">_xlfn.LET(_xlpm.EVENT, _xlfn.XMATCH($A54,'Heat Sheet'!$A:$A), IF(ISNA(_xlpm.EVENT), "", _xlfn.LET(_xlpm.ADVANCE, INDEX('Heat Sheet'!$A:$I, _xlpm.EVENT, COLUMN()-1), IF(_xlpm.ADVANCE=0, "", _xlpm.ADVANCE))))</f>
        <v/>
      </c>
      <c r="H54" s="10" t="str" cm="1">
        <f t="array" ref="H54">_xlfn.LET(_xlpm.EVENT, _xlfn.XMATCH($A54,'Heat Sheet'!$A:$A), IF(ISNA(_xlpm.EVENT), "", _xlfn.LET(_xlpm.ADVANCE, INDEX('Heat Sheet'!$A:$I, _xlpm.EVENT, COLUMN()-1), IF(_xlpm.ADVANCE=0, "", _xlpm.ADVANCE))))</f>
        <v/>
      </c>
      <c r="I54" s="10" t="str" cm="1">
        <f t="array" ref="I54">_xlfn.LET(_xlpm.EVENT, _xlfn.XMATCH($A54,'Heat Sheet'!$A:$A), IF(ISNA(_xlpm.EVENT), "", _xlfn.LET(_xlpm.ADVANCE, INDEX('Heat Sheet'!$A:$I, _xlpm.EVENT, COLUMN()-1), IF(_xlpm.ADVANCE=0, "", _xlpm.ADVANCE))))</f>
        <v/>
      </c>
      <c r="J54" s="10" t="str" cm="1">
        <f t="array" ref="J54">_xlfn.LET(_xlpm.EVENT, _xlfn.XMATCH($A54,'Heat Sheet'!$A:$A), IF(ISNA(_xlpm.EVENT), "", _xlfn.LET(_xlpm.ADVANCE, INDEX('Heat Sheet'!$A:$I, _xlpm.EVENT, COLUMN()-1), IF(_xlpm.ADVANCE=0, "", _xlpm.ADVANCE))))</f>
        <v/>
      </c>
      <c r="K54" s="139" t="str" cm="1">
        <f t="array" ref="K54">_xlfn.LET(_xlpm.EVENT, _xlfn.XMATCH($A54,'Heat Sheet'!A:A), IF(ISNA(_xlpm.EVENT), "", _xlfn.LET(_xlpm.ADVANCE, INDEX('Heat Sheet'!$A:$I, _xlpm.EVENT+2, 3), IF(_xlpm.ADVANCE=0, "", _xlpm.ADVANCE))))</f>
        <v/>
      </c>
    </row>
    <row r="55" spans="1:11" ht="29.25" customHeight="1" x14ac:dyDescent="0.2">
      <c r="A55" s="12">
        <v>53</v>
      </c>
      <c r="B55" s="15" t="str">
        <f>IFERROR(TEXT(VLOOKUP(A55,'Heat Sheet'!$A:$I, 2, FALSE), "HH:mm"), "")</f>
        <v/>
      </c>
      <c r="C55" s="7"/>
      <c r="D55" s="10" t="str" cm="1">
        <f t="array" ref="D55">_xlfn.LET(_xlpm.EVENT, _xlfn.XMATCH($A55,'Heat Sheet'!A:A), IF(ISNA(_xlpm.EVENT), "", INDEX('Heat Sheet'!$A:$I, _xlpm.EVENT, 3)&amp;" "&amp;SUBSTITUTE(SUBSTITUTE(SUBSTITUTE(INDEX('Heat Sheet'!$A:$I, _xlpm.EVENT+1, 3), "Heat ", "H"), "Final", "F"), "Flight ", "F")))</f>
        <v/>
      </c>
      <c r="E55" s="10" t="str" cm="1">
        <f t="array" ref="E55">_xlfn.LET(_xlpm.EVENT, _xlfn.XMATCH($A55,'Heat Sheet'!$A:$A), IF(ISNA(_xlpm.EVENT), "", _xlfn.LET(_xlpm.ADVANCE, INDEX('Heat Sheet'!$A:$I, _xlpm.EVENT, COLUMN()-1), IF(_xlpm.ADVANCE=0, "", _xlpm.ADVANCE))))</f>
        <v/>
      </c>
      <c r="F55" s="10" t="str" cm="1">
        <f t="array" ref="F55">_xlfn.LET(_xlpm.EVENT, _xlfn.XMATCH($A55,'Heat Sheet'!$A:$A), IF(ISNA(_xlpm.EVENT), "", _xlfn.LET(_xlpm.ADVANCE, INDEX('Heat Sheet'!$A:$I, _xlpm.EVENT, COLUMN()-1), IF(_xlpm.ADVANCE=0, "", _xlpm.ADVANCE))))</f>
        <v/>
      </c>
      <c r="G55" s="10" t="str" cm="1">
        <f t="array" ref="G55">_xlfn.LET(_xlpm.EVENT, _xlfn.XMATCH($A55,'Heat Sheet'!$A:$A), IF(ISNA(_xlpm.EVENT), "", _xlfn.LET(_xlpm.ADVANCE, INDEX('Heat Sheet'!$A:$I, _xlpm.EVENT, COLUMN()-1), IF(_xlpm.ADVANCE=0, "", _xlpm.ADVANCE))))</f>
        <v/>
      </c>
      <c r="H55" s="10" t="str" cm="1">
        <f t="array" ref="H55">_xlfn.LET(_xlpm.EVENT, _xlfn.XMATCH($A55,'Heat Sheet'!$A:$A), IF(ISNA(_xlpm.EVENT), "", _xlfn.LET(_xlpm.ADVANCE, INDEX('Heat Sheet'!$A:$I, _xlpm.EVENT, COLUMN()-1), IF(_xlpm.ADVANCE=0, "", _xlpm.ADVANCE))))</f>
        <v/>
      </c>
      <c r="I55" s="10" t="str" cm="1">
        <f t="array" ref="I55">_xlfn.LET(_xlpm.EVENT, _xlfn.XMATCH($A55,'Heat Sheet'!$A:$A), IF(ISNA(_xlpm.EVENT), "", _xlfn.LET(_xlpm.ADVANCE, INDEX('Heat Sheet'!$A:$I, _xlpm.EVENT, COLUMN()-1), IF(_xlpm.ADVANCE=0, "", _xlpm.ADVANCE))))</f>
        <v/>
      </c>
      <c r="J55" s="10" t="str" cm="1">
        <f t="array" ref="J55">_xlfn.LET(_xlpm.EVENT, _xlfn.XMATCH($A55,'Heat Sheet'!$A:$A), IF(ISNA(_xlpm.EVENT), "", _xlfn.LET(_xlpm.ADVANCE, INDEX('Heat Sheet'!$A:$I, _xlpm.EVENT, COLUMN()-1), IF(_xlpm.ADVANCE=0, "", _xlpm.ADVANCE))))</f>
        <v/>
      </c>
      <c r="K55" s="139" t="str" cm="1">
        <f t="array" ref="K55">_xlfn.LET(_xlpm.EVENT, _xlfn.XMATCH($A55,'Heat Sheet'!A:A), IF(ISNA(_xlpm.EVENT), "", _xlfn.LET(_xlpm.ADVANCE, INDEX('Heat Sheet'!$A:$I, _xlpm.EVENT+2, 3), IF(_xlpm.ADVANCE=0, "", _xlpm.ADVANCE))))</f>
        <v/>
      </c>
    </row>
    <row r="56" spans="1:11" ht="29.25" customHeight="1" x14ac:dyDescent="0.2">
      <c r="A56" s="12">
        <v>54</v>
      </c>
      <c r="B56" s="15" t="str">
        <f>IFERROR(TEXT(VLOOKUP(A56,'Heat Sheet'!$A:$I, 2, FALSE), "HH:mm"), "")</f>
        <v/>
      </c>
      <c r="C56" s="7"/>
      <c r="D56" s="10" t="str" cm="1">
        <f t="array" ref="D56">_xlfn.LET(_xlpm.EVENT, _xlfn.XMATCH($A56,'Heat Sheet'!A:A), IF(ISNA(_xlpm.EVENT), "", INDEX('Heat Sheet'!$A:$I, _xlpm.EVENT, 3)&amp;" "&amp;SUBSTITUTE(SUBSTITUTE(SUBSTITUTE(INDEX('Heat Sheet'!$A:$I, _xlpm.EVENT+1, 3), "Heat ", "H"), "Final", "F"), "Flight ", "F")))</f>
        <v/>
      </c>
      <c r="E56" s="10" t="str" cm="1">
        <f t="array" ref="E56">_xlfn.LET(_xlpm.EVENT, _xlfn.XMATCH($A56,'Heat Sheet'!$A:$A), IF(ISNA(_xlpm.EVENT), "", _xlfn.LET(_xlpm.ADVANCE, INDEX('Heat Sheet'!$A:$I, _xlpm.EVENT, COLUMN()-1), IF(_xlpm.ADVANCE=0, "", _xlpm.ADVANCE))))</f>
        <v/>
      </c>
      <c r="F56" s="10" t="str" cm="1">
        <f t="array" ref="F56">_xlfn.LET(_xlpm.EVENT, _xlfn.XMATCH($A56,'Heat Sheet'!$A:$A), IF(ISNA(_xlpm.EVENT), "", _xlfn.LET(_xlpm.ADVANCE, INDEX('Heat Sheet'!$A:$I, _xlpm.EVENT, COLUMN()-1), IF(_xlpm.ADVANCE=0, "", _xlpm.ADVANCE))))</f>
        <v/>
      </c>
      <c r="G56" s="10" t="str" cm="1">
        <f t="array" ref="G56">_xlfn.LET(_xlpm.EVENT, _xlfn.XMATCH($A56,'Heat Sheet'!$A:$A), IF(ISNA(_xlpm.EVENT), "", _xlfn.LET(_xlpm.ADVANCE, INDEX('Heat Sheet'!$A:$I, _xlpm.EVENT, COLUMN()-1), IF(_xlpm.ADVANCE=0, "", _xlpm.ADVANCE))))</f>
        <v/>
      </c>
      <c r="H56" s="10" t="str" cm="1">
        <f t="array" ref="H56">_xlfn.LET(_xlpm.EVENT, _xlfn.XMATCH($A56,'Heat Sheet'!$A:$A), IF(ISNA(_xlpm.EVENT), "", _xlfn.LET(_xlpm.ADVANCE, INDEX('Heat Sheet'!$A:$I, _xlpm.EVENT, COLUMN()-1), IF(_xlpm.ADVANCE=0, "", _xlpm.ADVANCE))))</f>
        <v/>
      </c>
      <c r="I56" s="10" t="str" cm="1">
        <f t="array" ref="I56">_xlfn.LET(_xlpm.EVENT, _xlfn.XMATCH($A56,'Heat Sheet'!$A:$A), IF(ISNA(_xlpm.EVENT), "", _xlfn.LET(_xlpm.ADVANCE, INDEX('Heat Sheet'!$A:$I, _xlpm.EVENT, COLUMN()-1), IF(_xlpm.ADVANCE=0, "", _xlpm.ADVANCE))))</f>
        <v/>
      </c>
      <c r="J56" s="10" t="str" cm="1">
        <f t="array" ref="J56">_xlfn.LET(_xlpm.EVENT, _xlfn.XMATCH($A56,'Heat Sheet'!$A:$A), IF(ISNA(_xlpm.EVENT), "", _xlfn.LET(_xlpm.ADVANCE, INDEX('Heat Sheet'!$A:$I, _xlpm.EVENT, COLUMN()-1), IF(_xlpm.ADVANCE=0, "", _xlpm.ADVANCE))))</f>
        <v/>
      </c>
      <c r="K56" s="139" t="str" cm="1">
        <f t="array" ref="K56">_xlfn.LET(_xlpm.EVENT, _xlfn.XMATCH($A56,'Heat Sheet'!A:A), IF(ISNA(_xlpm.EVENT), "", _xlfn.LET(_xlpm.ADVANCE, INDEX('Heat Sheet'!$A:$I, _xlpm.EVENT+2, 3), IF(_xlpm.ADVANCE=0, "", _xlpm.ADVANCE))))</f>
        <v/>
      </c>
    </row>
    <row r="57" spans="1:11" ht="29.25" customHeight="1" x14ac:dyDescent="0.2">
      <c r="A57" s="12">
        <v>55</v>
      </c>
      <c r="B57" s="7" t="str">
        <f>IFERROR(TEXT(VLOOKUP(A57,'Heat Sheet'!$A:$I, 2, FALSE), "HH:mm"), "")</f>
        <v/>
      </c>
      <c r="C57" s="7"/>
      <c r="D57" s="10" t="str" cm="1">
        <f t="array" ref="D57">_xlfn.LET(_xlpm.EVENT, _xlfn.XMATCH($A57,'Heat Sheet'!A:A), IF(ISNA(_xlpm.EVENT), "", INDEX('Heat Sheet'!$A:$I, _xlpm.EVENT, 3)&amp;" "&amp;SUBSTITUTE(SUBSTITUTE(SUBSTITUTE(INDEX('Heat Sheet'!$A:$I, _xlpm.EVENT+1, 3), "Heat ", "H"), "Final", "F"), "Flight ", "F")))</f>
        <v/>
      </c>
      <c r="E57" s="10" t="str" cm="1">
        <f t="array" ref="E57">_xlfn.LET(_xlpm.EVENT, _xlfn.XMATCH($A57,'Heat Sheet'!$A:$A), IF(ISNA(_xlpm.EVENT), "", _xlfn.LET(_xlpm.ADVANCE, INDEX('Heat Sheet'!$A:$I, _xlpm.EVENT, COLUMN()-1), IF(_xlpm.ADVANCE=0, "", _xlpm.ADVANCE))))</f>
        <v/>
      </c>
      <c r="F57" s="10" t="str" cm="1">
        <f t="array" ref="F57">_xlfn.LET(_xlpm.EVENT, _xlfn.XMATCH($A57,'Heat Sheet'!$A:$A), IF(ISNA(_xlpm.EVENT), "", _xlfn.LET(_xlpm.ADVANCE, INDEX('Heat Sheet'!$A:$I, _xlpm.EVENT, COLUMN()-1), IF(_xlpm.ADVANCE=0, "", _xlpm.ADVANCE))))</f>
        <v/>
      </c>
      <c r="G57" s="10" t="str" cm="1">
        <f t="array" ref="G57">_xlfn.LET(_xlpm.EVENT, _xlfn.XMATCH($A57,'Heat Sheet'!$A:$A), IF(ISNA(_xlpm.EVENT), "", _xlfn.LET(_xlpm.ADVANCE, INDEX('Heat Sheet'!$A:$I, _xlpm.EVENT, COLUMN()-1), IF(_xlpm.ADVANCE=0, "", _xlpm.ADVANCE))))</f>
        <v/>
      </c>
      <c r="H57" s="10" t="str" cm="1">
        <f t="array" ref="H57">_xlfn.LET(_xlpm.EVENT, _xlfn.XMATCH($A57,'Heat Sheet'!$A:$A), IF(ISNA(_xlpm.EVENT), "", _xlfn.LET(_xlpm.ADVANCE, INDEX('Heat Sheet'!$A:$I, _xlpm.EVENT, COLUMN()-1), IF(_xlpm.ADVANCE=0, "", _xlpm.ADVANCE))))</f>
        <v/>
      </c>
      <c r="I57" s="10" t="str" cm="1">
        <f t="array" ref="I57">_xlfn.LET(_xlpm.EVENT, _xlfn.XMATCH($A57,'Heat Sheet'!$A:$A), IF(ISNA(_xlpm.EVENT), "", _xlfn.LET(_xlpm.ADVANCE, INDEX('Heat Sheet'!$A:$I, _xlpm.EVENT, COLUMN()-1), IF(_xlpm.ADVANCE=0, "", _xlpm.ADVANCE))))</f>
        <v/>
      </c>
      <c r="J57" s="10" t="str" cm="1">
        <f t="array" ref="J57">_xlfn.LET(_xlpm.EVENT, _xlfn.XMATCH($A57,'Heat Sheet'!$A:$A), IF(ISNA(_xlpm.EVENT), "", _xlfn.LET(_xlpm.ADVANCE, INDEX('Heat Sheet'!$A:$I, _xlpm.EVENT, COLUMN()-1), IF(_xlpm.ADVANCE=0, "", _xlpm.ADVANCE))))</f>
        <v/>
      </c>
      <c r="K57" s="139" t="str" cm="1">
        <f t="array" ref="K57">_xlfn.LET(_xlpm.EVENT, _xlfn.XMATCH($A57,'Heat Sheet'!A:A), IF(ISNA(_xlpm.EVENT), "", _xlfn.LET(_xlpm.ADVANCE, INDEX('Heat Sheet'!$A:$I, _xlpm.EVENT+2, 3), IF(_xlpm.ADVANCE=0, "", _xlpm.ADVANCE))))</f>
        <v/>
      </c>
    </row>
    <row r="58" spans="1:11" ht="29.25" customHeight="1" x14ac:dyDescent="0.2">
      <c r="A58" s="12">
        <v>56</v>
      </c>
      <c r="B58" s="7" t="str">
        <f>IFERROR(TEXT(VLOOKUP(A58,'Heat Sheet'!$A:$I, 2, FALSE), "HH:mm"), "")</f>
        <v/>
      </c>
      <c r="C58" s="7"/>
      <c r="D58" s="10" t="str" cm="1">
        <f t="array" ref="D58">_xlfn.LET(_xlpm.EVENT, _xlfn.XMATCH($A58,'Heat Sheet'!A:A), IF(ISNA(_xlpm.EVENT), "", INDEX('Heat Sheet'!$A:$I, _xlpm.EVENT, 3)&amp;" "&amp;SUBSTITUTE(SUBSTITUTE(SUBSTITUTE(INDEX('Heat Sheet'!$A:$I, _xlpm.EVENT+1, 3), "Heat ", "H"), "Final", "F"), "Flight ", "F")))</f>
        <v/>
      </c>
      <c r="E58" s="10" t="str" cm="1">
        <f t="array" ref="E58">_xlfn.LET(_xlpm.EVENT, _xlfn.XMATCH($A58,'Heat Sheet'!$A:$A), IF(ISNA(_xlpm.EVENT), "", _xlfn.LET(_xlpm.ADVANCE, INDEX('Heat Sheet'!$A:$I, _xlpm.EVENT, COLUMN()-1), IF(_xlpm.ADVANCE=0, "", _xlpm.ADVANCE))))</f>
        <v/>
      </c>
      <c r="F58" s="10" t="str" cm="1">
        <f t="array" ref="F58">_xlfn.LET(_xlpm.EVENT, _xlfn.XMATCH($A58,'Heat Sheet'!$A:$A), IF(ISNA(_xlpm.EVENT), "", _xlfn.LET(_xlpm.ADVANCE, INDEX('Heat Sheet'!$A:$I, _xlpm.EVENT, COLUMN()-1), IF(_xlpm.ADVANCE=0, "", _xlpm.ADVANCE))))</f>
        <v/>
      </c>
      <c r="G58" s="10" t="str" cm="1">
        <f t="array" ref="G58">_xlfn.LET(_xlpm.EVENT, _xlfn.XMATCH($A58,'Heat Sheet'!$A:$A), IF(ISNA(_xlpm.EVENT), "", _xlfn.LET(_xlpm.ADVANCE, INDEX('Heat Sheet'!$A:$I, _xlpm.EVENT, COLUMN()-1), IF(_xlpm.ADVANCE=0, "", _xlpm.ADVANCE))))</f>
        <v/>
      </c>
      <c r="H58" s="10" t="str" cm="1">
        <f t="array" ref="H58">_xlfn.LET(_xlpm.EVENT, _xlfn.XMATCH($A58,'Heat Sheet'!$A:$A), IF(ISNA(_xlpm.EVENT), "", _xlfn.LET(_xlpm.ADVANCE, INDEX('Heat Sheet'!$A:$I, _xlpm.EVENT, COLUMN()-1), IF(_xlpm.ADVANCE=0, "", _xlpm.ADVANCE))))</f>
        <v/>
      </c>
      <c r="I58" s="10" t="str" cm="1">
        <f t="array" ref="I58">_xlfn.LET(_xlpm.EVENT, _xlfn.XMATCH($A58,'Heat Sheet'!$A:$A), IF(ISNA(_xlpm.EVENT), "", _xlfn.LET(_xlpm.ADVANCE, INDEX('Heat Sheet'!$A:$I, _xlpm.EVENT, COLUMN()-1), IF(_xlpm.ADVANCE=0, "", _xlpm.ADVANCE))))</f>
        <v/>
      </c>
      <c r="J58" s="10" t="str" cm="1">
        <f t="array" ref="J58">_xlfn.LET(_xlpm.EVENT, _xlfn.XMATCH($A58,'Heat Sheet'!$A:$A), IF(ISNA(_xlpm.EVENT), "", _xlfn.LET(_xlpm.ADVANCE, INDEX('Heat Sheet'!$A:$I, _xlpm.EVENT, COLUMN()-1), IF(_xlpm.ADVANCE=0, "", _xlpm.ADVANCE))))</f>
        <v/>
      </c>
      <c r="K58" s="139" t="str" cm="1">
        <f t="array" ref="K58">_xlfn.LET(_xlpm.EVENT, _xlfn.XMATCH($A58,'Heat Sheet'!A:A), IF(ISNA(_xlpm.EVENT), "", _xlfn.LET(_xlpm.ADVANCE, INDEX('Heat Sheet'!$A:$I, _xlpm.EVENT+2, 3), IF(_xlpm.ADVANCE=0, "", _xlpm.ADVANCE))))</f>
        <v/>
      </c>
    </row>
    <row r="59" spans="1:11" ht="29.25" customHeight="1" x14ac:dyDescent="0.2">
      <c r="A59" s="12">
        <v>57</v>
      </c>
      <c r="B59" s="7" t="str">
        <f>IFERROR(TEXT(VLOOKUP(A59,'Heat Sheet'!$A:$I, 2, FALSE), "HH:mm"), "")</f>
        <v/>
      </c>
      <c r="C59" s="7"/>
      <c r="D59" s="10" t="str" cm="1">
        <f t="array" ref="D59">_xlfn.LET(_xlpm.EVENT, _xlfn.XMATCH($A59,'Heat Sheet'!A:A), IF(ISNA(_xlpm.EVENT), "", INDEX('Heat Sheet'!$A:$I, _xlpm.EVENT, 3)&amp;" "&amp;SUBSTITUTE(SUBSTITUTE(SUBSTITUTE(INDEX('Heat Sheet'!$A:$I, _xlpm.EVENT+1, 3), "Heat ", "H"), "Final", "F"), "Flight ", "F")))</f>
        <v/>
      </c>
      <c r="E59" s="10" t="str" cm="1">
        <f t="array" ref="E59">_xlfn.LET(_xlpm.EVENT, _xlfn.XMATCH($A59,'Heat Sheet'!$A:$A), IF(ISNA(_xlpm.EVENT), "", _xlfn.LET(_xlpm.ADVANCE, INDEX('Heat Sheet'!$A:$I, _xlpm.EVENT, COLUMN()-1), IF(_xlpm.ADVANCE=0, "", _xlpm.ADVANCE))))</f>
        <v/>
      </c>
      <c r="F59" s="10" t="str" cm="1">
        <f t="array" ref="F59">_xlfn.LET(_xlpm.EVENT, _xlfn.XMATCH($A59,'Heat Sheet'!$A:$A), IF(ISNA(_xlpm.EVENT), "", _xlfn.LET(_xlpm.ADVANCE, INDEX('Heat Sheet'!$A:$I, _xlpm.EVENT, COLUMN()-1), IF(_xlpm.ADVANCE=0, "", _xlpm.ADVANCE))))</f>
        <v/>
      </c>
      <c r="G59" s="10" t="str" cm="1">
        <f t="array" ref="G59">_xlfn.LET(_xlpm.EVENT, _xlfn.XMATCH($A59,'Heat Sheet'!$A:$A), IF(ISNA(_xlpm.EVENT), "", _xlfn.LET(_xlpm.ADVANCE, INDEX('Heat Sheet'!$A:$I, _xlpm.EVENT, COLUMN()-1), IF(_xlpm.ADVANCE=0, "", _xlpm.ADVANCE))))</f>
        <v/>
      </c>
      <c r="H59" s="10" t="str" cm="1">
        <f t="array" ref="H59">_xlfn.LET(_xlpm.EVENT, _xlfn.XMATCH($A59,'Heat Sheet'!$A:$A), IF(ISNA(_xlpm.EVENT), "", _xlfn.LET(_xlpm.ADVANCE, INDEX('Heat Sheet'!$A:$I, _xlpm.EVENT, COLUMN()-1), IF(_xlpm.ADVANCE=0, "", _xlpm.ADVANCE))))</f>
        <v/>
      </c>
      <c r="I59" s="10" t="str" cm="1">
        <f t="array" ref="I59">_xlfn.LET(_xlpm.EVENT, _xlfn.XMATCH($A59,'Heat Sheet'!$A:$A), IF(ISNA(_xlpm.EVENT), "", _xlfn.LET(_xlpm.ADVANCE, INDEX('Heat Sheet'!$A:$I, _xlpm.EVENT, COLUMN()-1), IF(_xlpm.ADVANCE=0, "", _xlpm.ADVANCE))))</f>
        <v/>
      </c>
      <c r="J59" s="10" t="str" cm="1">
        <f t="array" ref="J59">_xlfn.LET(_xlpm.EVENT, _xlfn.XMATCH($A59,'Heat Sheet'!$A:$A), IF(ISNA(_xlpm.EVENT), "", _xlfn.LET(_xlpm.ADVANCE, INDEX('Heat Sheet'!$A:$I, _xlpm.EVENT, COLUMN()-1), IF(_xlpm.ADVANCE=0, "", _xlpm.ADVANCE))))</f>
        <v/>
      </c>
      <c r="K59" s="139" t="str" cm="1">
        <f t="array" ref="K59">_xlfn.LET(_xlpm.EVENT, _xlfn.XMATCH($A59,'Heat Sheet'!A:A), IF(ISNA(_xlpm.EVENT), "", _xlfn.LET(_xlpm.ADVANCE, INDEX('Heat Sheet'!$A:$I, _xlpm.EVENT+2, 3), IF(_xlpm.ADVANCE=0, "", _xlpm.ADVANCE))))</f>
        <v/>
      </c>
    </row>
    <row r="60" spans="1:11" ht="29.25" customHeight="1" x14ac:dyDescent="0.2">
      <c r="A60" s="12">
        <v>58</v>
      </c>
      <c r="B60" s="7" t="str">
        <f>IFERROR(TEXT(VLOOKUP(A60,'Heat Sheet'!$A:$I, 2, FALSE), "HH:mm"), "")</f>
        <v/>
      </c>
      <c r="C60" s="7"/>
      <c r="D60" s="10" t="str" cm="1">
        <f t="array" ref="D60">_xlfn.LET(_xlpm.EVENT, _xlfn.XMATCH($A60,'Heat Sheet'!A:A), IF(ISNA(_xlpm.EVENT), "", INDEX('Heat Sheet'!$A:$I, _xlpm.EVENT, 3)&amp;" "&amp;SUBSTITUTE(SUBSTITUTE(SUBSTITUTE(INDEX('Heat Sheet'!$A:$I, _xlpm.EVENT+1, 3), "Heat ", "H"), "Final", "F"), "Flight ", "F")))</f>
        <v/>
      </c>
      <c r="E60" s="10" t="str" cm="1">
        <f t="array" ref="E60">_xlfn.LET(_xlpm.EVENT, _xlfn.XMATCH($A60,'Heat Sheet'!$A:$A), IF(ISNA(_xlpm.EVENT), "", _xlfn.LET(_xlpm.ADVANCE, INDEX('Heat Sheet'!$A:$I, _xlpm.EVENT, COLUMN()-1), IF(_xlpm.ADVANCE=0, "", _xlpm.ADVANCE))))</f>
        <v/>
      </c>
      <c r="F60" s="10" t="str" cm="1">
        <f t="array" ref="F60">_xlfn.LET(_xlpm.EVENT, _xlfn.XMATCH($A60,'Heat Sheet'!$A:$A), IF(ISNA(_xlpm.EVENT), "", _xlfn.LET(_xlpm.ADVANCE, INDEX('Heat Sheet'!$A:$I, _xlpm.EVENT, COLUMN()-1), IF(_xlpm.ADVANCE=0, "", _xlpm.ADVANCE))))</f>
        <v/>
      </c>
      <c r="G60" s="10" t="str" cm="1">
        <f t="array" ref="G60">_xlfn.LET(_xlpm.EVENT, _xlfn.XMATCH($A60,'Heat Sheet'!$A:$A), IF(ISNA(_xlpm.EVENT), "", _xlfn.LET(_xlpm.ADVANCE, INDEX('Heat Sheet'!$A:$I, _xlpm.EVENT, COLUMN()-1), IF(_xlpm.ADVANCE=0, "", _xlpm.ADVANCE))))</f>
        <v/>
      </c>
      <c r="H60" s="10" t="str" cm="1">
        <f t="array" ref="H60">_xlfn.LET(_xlpm.EVENT, _xlfn.XMATCH($A60,'Heat Sheet'!$A:$A), IF(ISNA(_xlpm.EVENT), "", _xlfn.LET(_xlpm.ADVANCE, INDEX('Heat Sheet'!$A:$I, _xlpm.EVENT, COLUMN()-1), IF(_xlpm.ADVANCE=0, "", _xlpm.ADVANCE))))</f>
        <v/>
      </c>
      <c r="I60" s="10" t="str" cm="1">
        <f t="array" ref="I60">_xlfn.LET(_xlpm.EVENT, _xlfn.XMATCH($A60,'Heat Sheet'!$A:$A), IF(ISNA(_xlpm.EVENT), "", _xlfn.LET(_xlpm.ADVANCE, INDEX('Heat Sheet'!$A:$I, _xlpm.EVENT, COLUMN()-1), IF(_xlpm.ADVANCE=0, "", _xlpm.ADVANCE))))</f>
        <v/>
      </c>
      <c r="J60" s="10" t="str" cm="1">
        <f t="array" ref="J60">_xlfn.LET(_xlpm.EVENT, _xlfn.XMATCH($A60,'Heat Sheet'!$A:$A), IF(ISNA(_xlpm.EVENT), "", _xlfn.LET(_xlpm.ADVANCE, INDEX('Heat Sheet'!$A:$I, _xlpm.EVENT, COLUMN()-1), IF(_xlpm.ADVANCE=0, "", _xlpm.ADVANCE))))</f>
        <v/>
      </c>
      <c r="K60" s="139" t="str" cm="1">
        <f t="array" ref="K60">_xlfn.LET(_xlpm.EVENT, _xlfn.XMATCH($A60,'Heat Sheet'!A:A), IF(ISNA(_xlpm.EVENT), "", _xlfn.LET(_xlpm.ADVANCE, INDEX('Heat Sheet'!$A:$I, _xlpm.EVENT+2, 3), IF(_xlpm.ADVANCE=0, "", _xlpm.ADVANCE))))</f>
        <v/>
      </c>
    </row>
    <row r="61" spans="1:11" ht="29.25" customHeight="1" x14ac:dyDescent="0.2">
      <c r="A61" s="12">
        <v>59</v>
      </c>
      <c r="B61" s="7" t="str">
        <f>IFERROR(TEXT(VLOOKUP(A61,'Heat Sheet'!$A:$I, 2, FALSE), "HH:mm"), "")</f>
        <v/>
      </c>
      <c r="C61" s="7"/>
      <c r="D61" s="10" t="str" cm="1">
        <f t="array" ref="D61">_xlfn.LET(_xlpm.EVENT, _xlfn.XMATCH($A61,'Heat Sheet'!A:A), IF(ISNA(_xlpm.EVENT), "", INDEX('Heat Sheet'!$A:$I, _xlpm.EVENT, 3)&amp;" "&amp;SUBSTITUTE(SUBSTITUTE(SUBSTITUTE(INDEX('Heat Sheet'!$A:$I, _xlpm.EVENT+1, 3), "Heat ", "H"), "Final", "F"), "Flight ", "F")))</f>
        <v/>
      </c>
      <c r="E61" s="10" t="str" cm="1">
        <f t="array" ref="E61">_xlfn.LET(_xlpm.EVENT, _xlfn.XMATCH($A61,'Heat Sheet'!$A:$A), IF(ISNA(_xlpm.EVENT), "", _xlfn.LET(_xlpm.ADVANCE, INDEX('Heat Sheet'!$A:$I, _xlpm.EVENT, COLUMN()-1), IF(_xlpm.ADVANCE=0, "", _xlpm.ADVANCE))))</f>
        <v/>
      </c>
      <c r="F61" s="10" t="str" cm="1">
        <f t="array" ref="F61">_xlfn.LET(_xlpm.EVENT, _xlfn.XMATCH($A61,'Heat Sheet'!$A:$A), IF(ISNA(_xlpm.EVENT), "", _xlfn.LET(_xlpm.ADVANCE, INDEX('Heat Sheet'!$A:$I, _xlpm.EVENT, COLUMN()-1), IF(_xlpm.ADVANCE=0, "", _xlpm.ADVANCE))))</f>
        <v/>
      </c>
      <c r="G61" s="10" t="str" cm="1">
        <f t="array" ref="G61">_xlfn.LET(_xlpm.EVENT, _xlfn.XMATCH($A61,'Heat Sheet'!$A:$A), IF(ISNA(_xlpm.EVENT), "", _xlfn.LET(_xlpm.ADVANCE, INDEX('Heat Sheet'!$A:$I, _xlpm.EVENT, COLUMN()-1), IF(_xlpm.ADVANCE=0, "", _xlpm.ADVANCE))))</f>
        <v/>
      </c>
      <c r="H61" s="10" t="str" cm="1">
        <f t="array" ref="H61">_xlfn.LET(_xlpm.EVENT, _xlfn.XMATCH($A61,'Heat Sheet'!$A:$A), IF(ISNA(_xlpm.EVENT), "", _xlfn.LET(_xlpm.ADVANCE, INDEX('Heat Sheet'!$A:$I, _xlpm.EVENT, COLUMN()-1), IF(_xlpm.ADVANCE=0, "", _xlpm.ADVANCE))))</f>
        <v/>
      </c>
      <c r="I61" s="10" t="str" cm="1">
        <f t="array" ref="I61">_xlfn.LET(_xlpm.EVENT, _xlfn.XMATCH($A61,'Heat Sheet'!$A:$A), IF(ISNA(_xlpm.EVENT), "", _xlfn.LET(_xlpm.ADVANCE, INDEX('Heat Sheet'!$A:$I, _xlpm.EVENT, COLUMN()-1), IF(_xlpm.ADVANCE=0, "", _xlpm.ADVANCE))))</f>
        <v/>
      </c>
      <c r="J61" s="10" t="str" cm="1">
        <f t="array" ref="J61">_xlfn.LET(_xlpm.EVENT, _xlfn.XMATCH($A61,'Heat Sheet'!$A:$A), IF(ISNA(_xlpm.EVENT), "", _xlfn.LET(_xlpm.ADVANCE, INDEX('Heat Sheet'!$A:$I, _xlpm.EVENT, COLUMN()-1), IF(_xlpm.ADVANCE=0, "", _xlpm.ADVANCE))))</f>
        <v/>
      </c>
      <c r="K61" s="139" t="str" cm="1">
        <f t="array" ref="K61">_xlfn.LET(_xlpm.EVENT, _xlfn.XMATCH($A61,'Heat Sheet'!A:A), IF(ISNA(_xlpm.EVENT), "", _xlfn.LET(_xlpm.ADVANCE, INDEX('Heat Sheet'!$A:$I, _xlpm.EVENT+2, 3), IF(_xlpm.ADVANCE=0, "", _xlpm.ADVANCE))))</f>
        <v/>
      </c>
    </row>
    <row r="62" spans="1:11" ht="29.25" customHeight="1" x14ac:dyDescent="0.2">
      <c r="A62" s="12">
        <v>60</v>
      </c>
      <c r="B62" s="7" t="str">
        <f>IFERROR(TEXT(VLOOKUP(A62,'Heat Sheet'!$A:$I, 2, FALSE), "HH:mm"), "")</f>
        <v/>
      </c>
      <c r="C62" s="7"/>
      <c r="D62" s="10" t="str" cm="1">
        <f t="array" ref="D62">_xlfn.LET(_xlpm.EVENT, _xlfn.XMATCH($A62,'Heat Sheet'!A:A), IF(ISNA(_xlpm.EVENT), "", INDEX('Heat Sheet'!$A:$I, _xlpm.EVENT, 3)&amp;" "&amp;SUBSTITUTE(SUBSTITUTE(SUBSTITUTE(INDEX('Heat Sheet'!$A:$I, _xlpm.EVENT+1, 3), "Heat ", "H"), "Final", "F"), "Flight ", "F")))</f>
        <v/>
      </c>
      <c r="E62" s="10" t="str" cm="1">
        <f t="array" ref="E62">_xlfn.LET(_xlpm.EVENT, _xlfn.XMATCH($A62,'Heat Sheet'!$A:$A), IF(ISNA(_xlpm.EVENT), "", _xlfn.LET(_xlpm.ADVANCE, INDEX('Heat Sheet'!$A:$I, _xlpm.EVENT, COLUMN()-1), IF(_xlpm.ADVANCE=0, "", _xlpm.ADVANCE))))</f>
        <v/>
      </c>
      <c r="F62" s="10" t="str" cm="1">
        <f t="array" ref="F62">_xlfn.LET(_xlpm.EVENT, _xlfn.XMATCH($A62,'Heat Sheet'!$A:$A), IF(ISNA(_xlpm.EVENT), "", _xlfn.LET(_xlpm.ADVANCE, INDEX('Heat Sheet'!$A:$I, _xlpm.EVENT, COLUMN()-1), IF(_xlpm.ADVANCE=0, "", _xlpm.ADVANCE))))</f>
        <v/>
      </c>
      <c r="G62" s="10" t="str" cm="1">
        <f t="array" ref="G62">_xlfn.LET(_xlpm.EVENT, _xlfn.XMATCH($A62,'Heat Sheet'!$A:$A), IF(ISNA(_xlpm.EVENT), "", _xlfn.LET(_xlpm.ADVANCE, INDEX('Heat Sheet'!$A:$I, _xlpm.EVENT, COLUMN()-1), IF(_xlpm.ADVANCE=0, "", _xlpm.ADVANCE))))</f>
        <v/>
      </c>
      <c r="H62" s="10" t="str" cm="1">
        <f t="array" ref="H62">_xlfn.LET(_xlpm.EVENT, _xlfn.XMATCH($A62,'Heat Sheet'!$A:$A), IF(ISNA(_xlpm.EVENT), "", _xlfn.LET(_xlpm.ADVANCE, INDEX('Heat Sheet'!$A:$I, _xlpm.EVENT, COLUMN()-1), IF(_xlpm.ADVANCE=0, "", _xlpm.ADVANCE))))</f>
        <v/>
      </c>
      <c r="I62" s="10" t="str" cm="1">
        <f t="array" ref="I62">_xlfn.LET(_xlpm.EVENT, _xlfn.XMATCH($A62,'Heat Sheet'!$A:$A), IF(ISNA(_xlpm.EVENT), "", _xlfn.LET(_xlpm.ADVANCE, INDEX('Heat Sheet'!$A:$I, _xlpm.EVENT, COLUMN()-1), IF(_xlpm.ADVANCE=0, "", _xlpm.ADVANCE))))</f>
        <v/>
      </c>
      <c r="J62" s="10" t="str" cm="1">
        <f t="array" ref="J62">_xlfn.LET(_xlpm.EVENT, _xlfn.XMATCH($A62,'Heat Sheet'!$A:$A), IF(ISNA(_xlpm.EVENT), "", _xlfn.LET(_xlpm.ADVANCE, INDEX('Heat Sheet'!$A:$I, _xlpm.EVENT, COLUMN()-1), IF(_xlpm.ADVANCE=0, "", _xlpm.ADVANCE))))</f>
        <v/>
      </c>
      <c r="K62" s="139" t="str" cm="1">
        <f t="array" ref="K62">_xlfn.LET(_xlpm.EVENT, _xlfn.XMATCH($A62,'Heat Sheet'!A:A), IF(ISNA(_xlpm.EVENT), "", _xlfn.LET(_xlpm.ADVANCE, INDEX('Heat Sheet'!$A:$I, _xlpm.EVENT+2, 3), IF(_xlpm.ADVANCE=0, "", _xlpm.ADVANCE))))</f>
        <v/>
      </c>
    </row>
    <row r="63" spans="1:11" ht="29.25" customHeight="1" x14ac:dyDescent="0.2">
      <c r="A63" s="12">
        <v>61</v>
      </c>
      <c r="B63" s="7" t="str">
        <f>IFERROR(TEXT(VLOOKUP(A63,'Heat Sheet'!$A:$I, 2, FALSE), "HH:mm"), "")</f>
        <v/>
      </c>
      <c r="C63" s="7"/>
      <c r="D63" s="10" t="str" cm="1">
        <f t="array" ref="D63">_xlfn.LET(_xlpm.EVENT, _xlfn.XMATCH($A63,'Heat Sheet'!A:A), IF(ISNA(_xlpm.EVENT), "", INDEX('Heat Sheet'!$A:$I, _xlpm.EVENT, 3)&amp;" "&amp;SUBSTITUTE(SUBSTITUTE(SUBSTITUTE(INDEX('Heat Sheet'!$A:$I, _xlpm.EVENT+1, 3), "Heat ", "H"), "Final", "F"), "Flight ", "F")))</f>
        <v/>
      </c>
      <c r="E63" s="10" t="str" cm="1">
        <f t="array" ref="E63">_xlfn.LET(_xlpm.EVENT, _xlfn.XMATCH($A63,'Heat Sheet'!$A:$A), IF(ISNA(_xlpm.EVENT), "", _xlfn.LET(_xlpm.ADVANCE, INDEX('Heat Sheet'!$A:$I, _xlpm.EVENT, COLUMN()-1), IF(_xlpm.ADVANCE=0, "", _xlpm.ADVANCE))))</f>
        <v/>
      </c>
      <c r="F63" s="10" t="str" cm="1">
        <f t="array" ref="F63">_xlfn.LET(_xlpm.EVENT, _xlfn.XMATCH($A63,'Heat Sheet'!$A:$A), IF(ISNA(_xlpm.EVENT), "", _xlfn.LET(_xlpm.ADVANCE, INDEX('Heat Sheet'!$A:$I, _xlpm.EVENT, COLUMN()-1), IF(_xlpm.ADVANCE=0, "", _xlpm.ADVANCE))))</f>
        <v/>
      </c>
      <c r="G63" s="10" t="str" cm="1">
        <f t="array" ref="G63">_xlfn.LET(_xlpm.EVENT, _xlfn.XMATCH($A63,'Heat Sheet'!$A:$A), IF(ISNA(_xlpm.EVENT), "", _xlfn.LET(_xlpm.ADVANCE, INDEX('Heat Sheet'!$A:$I, _xlpm.EVENT, COLUMN()-1), IF(_xlpm.ADVANCE=0, "", _xlpm.ADVANCE))))</f>
        <v/>
      </c>
      <c r="H63" s="10" t="str" cm="1">
        <f t="array" ref="H63">_xlfn.LET(_xlpm.EVENT, _xlfn.XMATCH($A63,'Heat Sheet'!$A:$A), IF(ISNA(_xlpm.EVENT), "", _xlfn.LET(_xlpm.ADVANCE, INDEX('Heat Sheet'!$A:$I, _xlpm.EVENT, COLUMN()-1), IF(_xlpm.ADVANCE=0, "", _xlpm.ADVANCE))))</f>
        <v/>
      </c>
      <c r="I63" s="10" t="str" cm="1">
        <f t="array" ref="I63">_xlfn.LET(_xlpm.EVENT, _xlfn.XMATCH($A63,'Heat Sheet'!$A:$A), IF(ISNA(_xlpm.EVENT), "", _xlfn.LET(_xlpm.ADVANCE, INDEX('Heat Sheet'!$A:$I, _xlpm.EVENT, COLUMN()-1), IF(_xlpm.ADVANCE=0, "", _xlpm.ADVANCE))))</f>
        <v/>
      </c>
      <c r="J63" s="10" t="str" cm="1">
        <f t="array" ref="J63">_xlfn.LET(_xlpm.EVENT, _xlfn.XMATCH($A63,'Heat Sheet'!$A:$A), IF(ISNA(_xlpm.EVENT), "", _xlfn.LET(_xlpm.ADVANCE, INDEX('Heat Sheet'!$A:$I, _xlpm.EVENT, COLUMN()-1), IF(_xlpm.ADVANCE=0, "", _xlpm.ADVANCE))))</f>
        <v/>
      </c>
      <c r="K63" s="139" t="str" cm="1">
        <f t="array" ref="K63">_xlfn.LET(_xlpm.EVENT, _xlfn.XMATCH($A63,'Heat Sheet'!A:A), IF(ISNA(_xlpm.EVENT), "", _xlfn.LET(_xlpm.ADVANCE, INDEX('Heat Sheet'!$A:$I, _xlpm.EVENT+2, 3), IF(_xlpm.ADVANCE=0, "", _xlpm.ADVANCE))))</f>
        <v/>
      </c>
    </row>
    <row r="64" spans="1:11" ht="29.25" customHeight="1" x14ac:dyDescent="0.2">
      <c r="A64" s="12">
        <v>62</v>
      </c>
      <c r="B64" s="7" t="str">
        <f>IFERROR(TEXT(VLOOKUP(A64,'Heat Sheet'!$A:$I, 2, FALSE), "HH:mm"), "")</f>
        <v/>
      </c>
      <c r="C64" s="7"/>
      <c r="D64" s="10" t="str" cm="1">
        <f t="array" ref="D64">_xlfn.LET(_xlpm.EVENT, _xlfn.XMATCH($A64,'Heat Sheet'!A:A), IF(ISNA(_xlpm.EVENT), "", INDEX('Heat Sheet'!$A:$I, _xlpm.EVENT, 3)&amp;" "&amp;SUBSTITUTE(SUBSTITUTE(SUBSTITUTE(INDEX('Heat Sheet'!$A:$I, _xlpm.EVENT+1, 3), "Heat ", "H"), "Final", "F"), "Flight ", "F")))</f>
        <v/>
      </c>
      <c r="E64" s="10" t="str" cm="1">
        <f t="array" ref="E64">_xlfn.LET(_xlpm.EVENT, _xlfn.XMATCH($A64,'Heat Sheet'!$A:$A), IF(ISNA(_xlpm.EVENT), "", _xlfn.LET(_xlpm.ADVANCE, INDEX('Heat Sheet'!$A:$I, _xlpm.EVENT, COLUMN()-1), IF(_xlpm.ADVANCE=0, "", _xlpm.ADVANCE))))</f>
        <v/>
      </c>
      <c r="F64" s="10" t="str" cm="1">
        <f t="array" ref="F64">_xlfn.LET(_xlpm.EVENT, _xlfn.XMATCH($A64,'Heat Sheet'!$A:$A), IF(ISNA(_xlpm.EVENT), "", _xlfn.LET(_xlpm.ADVANCE, INDEX('Heat Sheet'!$A:$I, _xlpm.EVENT, COLUMN()-1), IF(_xlpm.ADVANCE=0, "", _xlpm.ADVANCE))))</f>
        <v/>
      </c>
      <c r="G64" s="10" t="str" cm="1">
        <f t="array" ref="G64">_xlfn.LET(_xlpm.EVENT, _xlfn.XMATCH($A64,'Heat Sheet'!$A:$A), IF(ISNA(_xlpm.EVENT), "", _xlfn.LET(_xlpm.ADVANCE, INDEX('Heat Sheet'!$A:$I, _xlpm.EVENT, COLUMN()-1), IF(_xlpm.ADVANCE=0, "", _xlpm.ADVANCE))))</f>
        <v/>
      </c>
      <c r="H64" s="10" t="str" cm="1">
        <f t="array" ref="H64">_xlfn.LET(_xlpm.EVENT, _xlfn.XMATCH($A64,'Heat Sheet'!$A:$A), IF(ISNA(_xlpm.EVENT), "", _xlfn.LET(_xlpm.ADVANCE, INDEX('Heat Sheet'!$A:$I, _xlpm.EVENT, COLUMN()-1), IF(_xlpm.ADVANCE=0, "", _xlpm.ADVANCE))))</f>
        <v/>
      </c>
      <c r="I64" s="10" t="str" cm="1">
        <f t="array" ref="I64">_xlfn.LET(_xlpm.EVENT, _xlfn.XMATCH($A64,'Heat Sheet'!$A:$A), IF(ISNA(_xlpm.EVENT), "", _xlfn.LET(_xlpm.ADVANCE, INDEX('Heat Sheet'!$A:$I, _xlpm.EVENT, COLUMN()-1), IF(_xlpm.ADVANCE=0, "", _xlpm.ADVANCE))))</f>
        <v/>
      </c>
      <c r="J64" s="10" t="str" cm="1">
        <f t="array" ref="J64">_xlfn.LET(_xlpm.EVENT, _xlfn.XMATCH($A64,'Heat Sheet'!$A:$A), IF(ISNA(_xlpm.EVENT), "", _xlfn.LET(_xlpm.ADVANCE, INDEX('Heat Sheet'!$A:$I, _xlpm.EVENT, COLUMN()-1), IF(_xlpm.ADVANCE=0, "", _xlpm.ADVANCE))))</f>
        <v/>
      </c>
      <c r="K64" s="139" t="str" cm="1">
        <f t="array" ref="K64">_xlfn.LET(_xlpm.EVENT, _xlfn.XMATCH($A64,'Heat Sheet'!A:A), IF(ISNA(_xlpm.EVENT), "", _xlfn.LET(_xlpm.ADVANCE, INDEX('Heat Sheet'!$A:$I, _xlpm.EVENT+2, 3), IF(_xlpm.ADVANCE=0, "", _xlpm.ADVANCE))))</f>
        <v/>
      </c>
    </row>
    <row r="65" spans="1:11" ht="29.25" customHeight="1" x14ac:dyDescent="0.2">
      <c r="A65" s="12">
        <v>63</v>
      </c>
      <c r="B65" s="7" t="str">
        <f>IFERROR(TEXT(VLOOKUP(A65,'Heat Sheet'!$A:$I, 2, FALSE), "HH:mm"), "")</f>
        <v/>
      </c>
      <c r="C65" s="7"/>
      <c r="D65" s="10" t="str" cm="1">
        <f t="array" ref="D65">_xlfn.LET(_xlpm.EVENT, _xlfn.XMATCH($A65,'Heat Sheet'!A:A), IF(ISNA(_xlpm.EVENT), "", INDEX('Heat Sheet'!$A:$I, _xlpm.EVENT, 3)&amp;" "&amp;SUBSTITUTE(SUBSTITUTE(SUBSTITUTE(INDEX('Heat Sheet'!$A:$I, _xlpm.EVENT+1, 3), "Heat ", "H"), "Final", "F"), "Flight ", "F")))</f>
        <v/>
      </c>
      <c r="E65" s="10" t="str" cm="1">
        <f t="array" ref="E65">_xlfn.LET(_xlpm.EVENT, _xlfn.XMATCH($A65,'Heat Sheet'!$A:$A), IF(ISNA(_xlpm.EVENT), "", _xlfn.LET(_xlpm.ADVANCE, INDEX('Heat Sheet'!$A:$I, _xlpm.EVENT, COLUMN()-1), IF(_xlpm.ADVANCE=0, "", _xlpm.ADVANCE))))</f>
        <v/>
      </c>
      <c r="F65" s="10" t="str" cm="1">
        <f t="array" ref="F65">_xlfn.LET(_xlpm.EVENT, _xlfn.XMATCH($A65,'Heat Sheet'!$A:$A), IF(ISNA(_xlpm.EVENT), "", _xlfn.LET(_xlpm.ADVANCE, INDEX('Heat Sheet'!$A:$I, _xlpm.EVENT, COLUMN()-1), IF(_xlpm.ADVANCE=0, "", _xlpm.ADVANCE))))</f>
        <v/>
      </c>
      <c r="G65" s="10" t="str" cm="1">
        <f t="array" ref="G65">_xlfn.LET(_xlpm.EVENT, _xlfn.XMATCH($A65,'Heat Sheet'!$A:$A), IF(ISNA(_xlpm.EVENT), "", _xlfn.LET(_xlpm.ADVANCE, INDEX('Heat Sheet'!$A:$I, _xlpm.EVENT, COLUMN()-1), IF(_xlpm.ADVANCE=0, "", _xlpm.ADVANCE))))</f>
        <v/>
      </c>
      <c r="H65" s="10" t="str" cm="1">
        <f t="array" ref="H65">_xlfn.LET(_xlpm.EVENT, _xlfn.XMATCH($A65,'Heat Sheet'!$A:$A), IF(ISNA(_xlpm.EVENT), "", _xlfn.LET(_xlpm.ADVANCE, INDEX('Heat Sheet'!$A:$I, _xlpm.EVENT, COLUMN()-1), IF(_xlpm.ADVANCE=0, "", _xlpm.ADVANCE))))</f>
        <v/>
      </c>
      <c r="I65" s="10" t="str" cm="1">
        <f t="array" ref="I65">_xlfn.LET(_xlpm.EVENT, _xlfn.XMATCH($A65,'Heat Sheet'!$A:$A), IF(ISNA(_xlpm.EVENT), "", _xlfn.LET(_xlpm.ADVANCE, INDEX('Heat Sheet'!$A:$I, _xlpm.EVENT, COLUMN()-1), IF(_xlpm.ADVANCE=0, "", _xlpm.ADVANCE))))</f>
        <v/>
      </c>
      <c r="J65" s="10" t="str" cm="1">
        <f t="array" ref="J65">_xlfn.LET(_xlpm.EVENT, _xlfn.XMATCH($A65,'Heat Sheet'!$A:$A), IF(ISNA(_xlpm.EVENT), "", _xlfn.LET(_xlpm.ADVANCE, INDEX('Heat Sheet'!$A:$I, _xlpm.EVENT, COLUMN()-1), IF(_xlpm.ADVANCE=0, "", _xlpm.ADVANCE))))</f>
        <v/>
      </c>
      <c r="K65" s="139" t="str" cm="1">
        <f t="array" ref="K65">_xlfn.LET(_xlpm.EVENT, _xlfn.XMATCH($A65,'Heat Sheet'!A:A), IF(ISNA(_xlpm.EVENT), "", _xlfn.LET(_xlpm.ADVANCE, INDEX('Heat Sheet'!$A:$I, _xlpm.EVENT+2, 3), IF(_xlpm.ADVANCE=0, "", _xlpm.ADVANCE))))</f>
        <v/>
      </c>
    </row>
    <row r="66" spans="1:11" ht="29.25" customHeight="1" x14ac:dyDescent="0.2">
      <c r="A66" s="12">
        <v>64</v>
      </c>
      <c r="B66" s="7" t="str">
        <f>IFERROR(TEXT(VLOOKUP(A66,'Heat Sheet'!$A:$I, 2, FALSE), "HH:mm"), "")</f>
        <v/>
      </c>
      <c r="C66" s="7"/>
      <c r="D66" s="10" t="str" cm="1">
        <f t="array" ref="D66">_xlfn.LET(_xlpm.EVENT, _xlfn.XMATCH($A66,'Heat Sheet'!A:A), IF(ISNA(_xlpm.EVENT), "", INDEX('Heat Sheet'!$A:$I, _xlpm.EVENT, 3)&amp;" "&amp;SUBSTITUTE(SUBSTITUTE(SUBSTITUTE(INDEX('Heat Sheet'!$A:$I, _xlpm.EVENT+1, 3), "Heat ", "H"), "Final", "F"), "Flight ", "F")))</f>
        <v/>
      </c>
      <c r="E66" s="10" t="str" cm="1">
        <f t="array" ref="E66">_xlfn.LET(_xlpm.EVENT, _xlfn.XMATCH($A66,'Heat Sheet'!$A:$A), IF(ISNA(_xlpm.EVENT), "", _xlfn.LET(_xlpm.ADVANCE, INDEX('Heat Sheet'!$A:$I, _xlpm.EVENT, COLUMN()-1), IF(_xlpm.ADVANCE=0, "", _xlpm.ADVANCE))))</f>
        <v/>
      </c>
      <c r="F66" s="10" t="str" cm="1">
        <f t="array" ref="F66">_xlfn.LET(_xlpm.EVENT, _xlfn.XMATCH($A66,'Heat Sheet'!$A:$A), IF(ISNA(_xlpm.EVENT), "", _xlfn.LET(_xlpm.ADVANCE, INDEX('Heat Sheet'!$A:$I, _xlpm.EVENT, COLUMN()-1), IF(_xlpm.ADVANCE=0, "", _xlpm.ADVANCE))))</f>
        <v/>
      </c>
      <c r="G66" s="10" t="str" cm="1">
        <f t="array" ref="G66">_xlfn.LET(_xlpm.EVENT, _xlfn.XMATCH($A66,'Heat Sheet'!$A:$A), IF(ISNA(_xlpm.EVENT), "", _xlfn.LET(_xlpm.ADVANCE, INDEX('Heat Sheet'!$A:$I, _xlpm.EVENT, COLUMN()-1), IF(_xlpm.ADVANCE=0, "", _xlpm.ADVANCE))))</f>
        <v/>
      </c>
      <c r="H66" s="10" t="str" cm="1">
        <f t="array" ref="H66">_xlfn.LET(_xlpm.EVENT, _xlfn.XMATCH($A66,'Heat Sheet'!$A:$A), IF(ISNA(_xlpm.EVENT), "", _xlfn.LET(_xlpm.ADVANCE, INDEX('Heat Sheet'!$A:$I, _xlpm.EVENT, COLUMN()-1), IF(_xlpm.ADVANCE=0, "", _xlpm.ADVANCE))))</f>
        <v/>
      </c>
      <c r="I66" s="10" t="str" cm="1">
        <f t="array" ref="I66">_xlfn.LET(_xlpm.EVENT, _xlfn.XMATCH($A66,'Heat Sheet'!$A:$A), IF(ISNA(_xlpm.EVENT), "", _xlfn.LET(_xlpm.ADVANCE, INDEX('Heat Sheet'!$A:$I, _xlpm.EVENT, COLUMN()-1), IF(_xlpm.ADVANCE=0, "", _xlpm.ADVANCE))))</f>
        <v/>
      </c>
      <c r="J66" s="10" t="str" cm="1">
        <f t="array" ref="J66">_xlfn.LET(_xlpm.EVENT, _xlfn.XMATCH($A66,'Heat Sheet'!$A:$A), IF(ISNA(_xlpm.EVENT), "", _xlfn.LET(_xlpm.ADVANCE, INDEX('Heat Sheet'!$A:$I, _xlpm.EVENT, COLUMN()-1), IF(_xlpm.ADVANCE=0, "", _xlpm.ADVANCE))))</f>
        <v/>
      </c>
      <c r="K66" s="139" t="str" cm="1">
        <f t="array" ref="K66">_xlfn.LET(_xlpm.EVENT, _xlfn.XMATCH($A66,'Heat Sheet'!A:A), IF(ISNA(_xlpm.EVENT), "", _xlfn.LET(_xlpm.ADVANCE, INDEX('Heat Sheet'!$A:$I, _xlpm.EVENT+2, 3), IF(_xlpm.ADVANCE=0, "", _xlpm.ADVANCE))))</f>
        <v/>
      </c>
    </row>
    <row r="67" spans="1:11" ht="29.25" customHeight="1" x14ac:dyDescent="0.2">
      <c r="A67" s="12">
        <v>65</v>
      </c>
      <c r="B67" s="7" t="str">
        <f>IFERROR(TEXT(VLOOKUP(A67,'Heat Sheet'!$A:$I, 2, FALSE), "HH:mm"), "")</f>
        <v/>
      </c>
      <c r="C67" s="7"/>
      <c r="D67" s="10" t="str" cm="1">
        <f t="array" ref="D67">_xlfn.LET(_xlpm.EVENT, _xlfn.XMATCH($A67,'Heat Sheet'!A:A), IF(ISNA(_xlpm.EVENT), "", INDEX('Heat Sheet'!$A:$I, _xlpm.EVENT, 3)&amp;" "&amp;SUBSTITUTE(SUBSTITUTE(SUBSTITUTE(INDEX('Heat Sheet'!$A:$I, _xlpm.EVENT+1, 3), "Heat ", "H"), "Final", "F"), "Flight ", "F")))</f>
        <v/>
      </c>
      <c r="E67" s="10" t="str" cm="1">
        <f t="array" ref="E67">_xlfn.LET(_xlpm.EVENT, _xlfn.XMATCH($A67,'Heat Sheet'!$A:$A), IF(ISNA(_xlpm.EVENT), "", _xlfn.LET(_xlpm.ADVANCE, INDEX('Heat Sheet'!$A:$I, _xlpm.EVENT, COLUMN()-1), IF(_xlpm.ADVANCE=0, "", _xlpm.ADVANCE))))</f>
        <v/>
      </c>
      <c r="F67" s="10" t="str" cm="1">
        <f t="array" ref="F67">_xlfn.LET(_xlpm.EVENT, _xlfn.XMATCH($A67,'Heat Sheet'!$A:$A), IF(ISNA(_xlpm.EVENT), "", _xlfn.LET(_xlpm.ADVANCE, INDEX('Heat Sheet'!$A:$I, _xlpm.EVENT, COLUMN()-1), IF(_xlpm.ADVANCE=0, "", _xlpm.ADVANCE))))</f>
        <v/>
      </c>
      <c r="G67" s="10" t="str" cm="1">
        <f t="array" ref="G67">_xlfn.LET(_xlpm.EVENT, _xlfn.XMATCH($A67,'Heat Sheet'!$A:$A), IF(ISNA(_xlpm.EVENT), "", _xlfn.LET(_xlpm.ADVANCE, INDEX('Heat Sheet'!$A:$I, _xlpm.EVENT, COLUMN()-1), IF(_xlpm.ADVANCE=0, "", _xlpm.ADVANCE))))</f>
        <v/>
      </c>
      <c r="H67" s="10" t="str" cm="1">
        <f t="array" ref="H67">_xlfn.LET(_xlpm.EVENT, _xlfn.XMATCH($A67,'Heat Sheet'!$A:$A), IF(ISNA(_xlpm.EVENT), "", _xlfn.LET(_xlpm.ADVANCE, INDEX('Heat Sheet'!$A:$I, _xlpm.EVENT, COLUMN()-1), IF(_xlpm.ADVANCE=0, "", _xlpm.ADVANCE))))</f>
        <v/>
      </c>
      <c r="I67" s="10" t="str" cm="1">
        <f t="array" ref="I67">_xlfn.LET(_xlpm.EVENT, _xlfn.XMATCH($A67,'Heat Sheet'!$A:$A), IF(ISNA(_xlpm.EVENT), "", _xlfn.LET(_xlpm.ADVANCE, INDEX('Heat Sheet'!$A:$I, _xlpm.EVENT, COLUMN()-1), IF(_xlpm.ADVANCE=0, "", _xlpm.ADVANCE))))</f>
        <v/>
      </c>
      <c r="J67" s="10" t="str" cm="1">
        <f t="array" ref="J67">_xlfn.LET(_xlpm.EVENT, _xlfn.XMATCH($A67,'Heat Sheet'!$A:$A), IF(ISNA(_xlpm.EVENT), "", _xlfn.LET(_xlpm.ADVANCE, INDEX('Heat Sheet'!$A:$I, _xlpm.EVENT, COLUMN()-1), IF(_xlpm.ADVANCE=0, "", _xlpm.ADVANCE))))</f>
        <v/>
      </c>
      <c r="K67" s="139" t="str" cm="1">
        <f t="array" ref="K67">_xlfn.LET(_xlpm.EVENT, _xlfn.XMATCH($A67,'Heat Sheet'!A:A), IF(ISNA(_xlpm.EVENT), "", _xlfn.LET(_xlpm.ADVANCE, INDEX('Heat Sheet'!$A:$I, _xlpm.EVENT+2, 3), IF(_xlpm.ADVANCE=0, "", _xlpm.ADVANCE))))</f>
        <v/>
      </c>
    </row>
    <row r="68" spans="1:11" ht="29.25" customHeight="1" x14ac:dyDescent="0.2">
      <c r="A68" s="12">
        <v>66</v>
      </c>
      <c r="B68" s="7" t="str">
        <f>IFERROR(TEXT(VLOOKUP(A68,'Heat Sheet'!$A:$I, 2, FALSE), "HH:mm"), "")</f>
        <v/>
      </c>
      <c r="C68" s="7"/>
      <c r="D68" s="10" t="str" cm="1">
        <f t="array" ref="D68">_xlfn.LET(_xlpm.EVENT, _xlfn.XMATCH($A68,'Heat Sheet'!A:A), IF(ISNA(_xlpm.EVENT), "", INDEX('Heat Sheet'!$A:$I, _xlpm.EVENT, 3)&amp;" "&amp;SUBSTITUTE(SUBSTITUTE(SUBSTITUTE(INDEX('Heat Sheet'!$A:$I, _xlpm.EVENT+1, 3), "Heat ", "H"), "Final", "F"), "Flight ", "F")))</f>
        <v/>
      </c>
      <c r="E68" s="10" t="str" cm="1">
        <f t="array" ref="E68">_xlfn.LET(_xlpm.EVENT, _xlfn.XMATCH($A68,'Heat Sheet'!$A:$A), IF(ISNA(_xlpm.EVENT), "", _xlfn.LET(_xlpm.ADVANCE, INDEX('Heat Sheet'!$A:$I, _xlpm.EVENT, COLUMN()-1), IF(_xlpm.ADVANCE=0, "", _xlpm.ADVANCE))))</f>
        <v/>
      </c>
      <c r="F68" s="10" t="str" cm="1">
        <f t="array" ref="F68">_xlfn.LET(_xlpm.EVENT, _xlfn.XMATCH($A68,'Heat Sheet'!$A:$A), IF(ISNA(_xlpm.EVENT), "", _xlfn.LET(_xlpm.ADVANCE, INDEX('Heat Sheet'!$A:$I, _xlpm.EVENT, COLUMN()-1), IF(_xlpm.ADVANCE=0, "", _xlpm.ADVANCE))))</f>
        <v/>
      </c>
      <c r="G68" s="10" t="str" cm="1">
        <f t="array" ref="G68">_xlfn.LET(_xlpm.EVENT, _xlfn.XMATCH($A68,'Heat Sheet'!$A:$A), IF(ISNA(_xlpm.EVENT), "", _xlfn.LET(_xlpm.ADVANCE, INDEX('Heat Sheet'!$A:$I, _xlpm.EVENT, COLUMN()-1), IF(_xlpm.ADVANCE=0, "", _xlpm.ADVANCE))))</f>
        <v/>
      </c>
      <c r="H68" s="10" t="str" cm="1">
        <f t="array" ref="H68">_xlfn.LET(_xlpm.EVENT, _xlfn.XMATCH($A68,'Heat Sheet'!$A:$A), IF(ISNA(_xlpm.EVENT), "", _xlfn.LET(_xlpm.ADVANCE, INDEX('Heat Sheet'!$A:$I, _xlpm.EVENT, COLUMN()-1), IF(_xlpm.ADVANCE=0, "", _xlpm.ADVANCE))))</f>
        <v/>
      </c>
      <c r="I68" s="10" t="str" cm="1">
        <f t="array" ref="I68">_xlfn.LET(_xlpm.EVENT, _xlfn.XMATCH($A68,'Heat Sheet'!$A:$A), IF(ISNA(_xlpm.EVENT), "", _xlfn.LET(_xlpm.ADVANCE, INDEX('Heat Sheet'!$A:$I, _xlpm.EVENT, COLUMN()-1), IF(_xlpm.ADVANCE=0, "", _xlpm.ADVANCE))))</f>
        <v/>
      </c>
      <c r="J68" s="10" t="str" cm="1">
        <f t="array" ref="J68">_xlfn.LET(_xlpm.EVENT, _xlfn.XMATCH($A68,'Heat Sheet'!$A:$A), IF(ISNA(_xlpm.EVENT), "", _xlfn.LET(_xlpm.ADVANCE, INDEX('Heat Sheet'!$A:$I, _xlpm.EVENT, COLUMN()-1), IF(_xlpm.ADVANCE=0, "", _xlpm.ADVANCE))))</f>
        <v/>
      </c>
      <c r="K68" s="139" t="str" cm="1">
        <f t="array" ref="K68">_xlfn.LET(_xlpm.EVENT, _xlfn.XMATCH($A68,'Heat Sheet'!A:A), IF(ISNA(_xlpm.EVENT), "", _xlfn.LET(_xlpm.ADVANCE, INDEX('Heat Sheet'!$A:$I, _xlpm.EVENT+2, 3), IF(_xlpm.ADVANCE=0, "", _xlpm.ADVANCE))))</f>
        <v/>
      </c>
    </row>
    <row r="69" spans="1:11" ht="29.25" customHeight="1" x14ac:dyDescent="0.2">
      <c r="A69" s="12">
        <v>67</v>
      </c>
      <c r="B69" s="7" t="str">
        <f>IFERROR(TEXT(VLOOKUP(A69,'Heat Sheet'!$A:$I, 2, FALSE), "HH:mm"), "")</f>
        <v/>
      </c>
      <c r="C69" s="7"/>
      <c r="D69" s="10" t="str" cm="1">
        <f t="array" ref="D69">_xlfn.LET(_xlpm.EVENT, _xlfn.XMATCH($A69,'Heat Sheet'!A:A), IF(ISNA(_xlpm.EVENT), "", INDEX('Heat Sheet'!$A:$I, _xlpm.EVENT, 3)&amp;" "&amp;SUBSTITUTE(SUBSTITUTE(SUBSTITUTE(INDEX('Heat Sheet'!$A:$I, _xlpm.EVENT+1, 3), "Heat ", "H"), "Final", "F"), "Flight ", "F")))</f>
        <v/>
      </c>
      <c r="E69" s="10" t="str" cm="1">
        <f t="array" ref="E69">_xlfn.LET(_xlpm.EVENT, _xlfn.XMATCH($A69,'Heat Sheet'!$A:$A), IF(ISNA(_xlpm.EVENT), "", _xlfn.LET(_xlpm.ADVANCE, INDEX('Heat Sheet'!$A:$I, _xlpm.EVENT, COLUMN()-1), IF(_xlpm.ADVANCE=0, "", _xlpm.ADVANCE))))</f>
        <v/>
      </c>
      <c r="F69" s="10" t="str" cm="1">
        <f t="array" ref="F69">_xlfn.LET(_xlpm.EVENT, _xlfn.XMATCH($A69,'Heat Sheet'!$A:$A), IF(ISNA(_xlpm.EVENT), "", _xlfn.LET(_xlpm.ADVANCE, INDEX('Heat Sheet'!$A:$I, _xlpm.EVENT, COLUMN()-1), IF(_xlpm.ADVANCE=0, "", _xlpm.ADVANCE))))</f>
        <v/>
      </c>
      <c r="G69" s="10" t="str" cm="1">
        <f t="array" ref="G69">_xlfn.LET(_xlpm.EVENT, _xlfn.XMATCH($A69,'Heat Sheet'!$A:$A), IF(ISNA(_xlpm.EVENT), "", _xlfn.LET(_xlpm.ADVANCE, INDEX('Heat Sheet'!$A:$I, _xlpm.EVENT, COLUMN()-1), IF(_xlpm.ADVANCE=0, "", _xlpm.ADVANCE))))</f>
        <v/>
      </c>
      <c r="H69" s="10" t="str" cm="1">
        <f t="array" ref="H69">_xlfn.LET(_xlpm.EVENT, _xlfn.XMATCH($A69,'Heat Sheet'!$A:$A), IF(ISNA(_xlpm.EVENT), "", _xlfn.LET(_xlpm.ADVANCE, INDEX('Heat Sheet'!$A:$I, _xlpm.EVENT, COLUMN()-1), IF(_xlpm.ADVANCE=0, "", _xlpm.ADVANCE))))</f>
        <v/>
      </c>
      <c r="I69" s="10" t="str" cm="1">
        <f t="array" ref="I69">_xlfn.LET(_xlpm.EVENT, _xlfn.XMATCH($A69,'Heat Sheet'!$A:$A), IF(ISNA(_xlpm.EVENT), "", _xlfn.LET(_xlpm.ADVANCE, INDEX('Heat Sheet'!$A:$I, _xlpm.EVENT, COLUMN()-1), IF(_xlpm.ADVANCE=0, "", _xlpm.ADVANCE))))</f>
        <v/>
      </c>
      <c r="J69" s="10" t="str" cm="1">
        <f t="array" ref="J69">_xlfn.LET(_xlpm.EVENT, _xlfn.XMATCH($A69,'Heat Sheet'!$A:$A), IF(ISNA(_xlpm.EVENT), "", _xlfn.LET(_xlpm.ADVANCE, INDEX('Heat Sheet'!$A:$I, _xlpm.EVENT, COLUMN()-1), IF(_xlpm.ADVANCE=0, "", _xlpm.ADVANCE))))</f>
        <v/>
      </c>
      <c r="K69" s="139" t="str" cm="1">
        <f t="array" ref="K69">_xlfn.LET(_xlpm.EVENT, _xlfn.XMATCH($A69,'Heat Sheet'!A:A), IF(ISNA(_xlpm.EVENT), "", _xlfn.LET(_xlpm.ADVANCE, INDEX('Heat Sheet'!$A:$I, _xlpm.EVENT+2, 3), IF(_xlpm.ADVANCE=0, "", _xlpm.ADVANCE))))</f>
        <v/>
      </c>
    </row>
    <row r="70" spans="1:11" ht="29.25" customHeight="1" x14ac:dyDescent="0.2">
      <c r="A70" s="12">
        <v>68</v>
      </c>
      <c r="B70" s="7" t="str">
        <f>IFERROR(TEXT(VLOOKUP(A70,'Heat Sheet'!$A:$I, 2, FALSE), "HH:mm"), "")</f>
        <v/>
      </c>
      <c r="C70" s="7"/>
      <c r="D70" s="10" t="str" cm="1">
        <f t="array" ref="D70">_xlfn.LET(_xlpm.EVENT, _xlfn.XMATCH($A70,'Heat Sheet'!A:A), IF(ISNA(_xlpm.EVENT), "", INDEX('Heat Sheet'!$A:$I, _xlpm.EVENT, 3)&amp;" "&amp;SUBSTITUTE(SUBSTITUTE(SUBSTITUTE(INDEX('Heat Sheet'!$A:$I, _xlpm.EVENT+1, 3), "Heat ", "H"), "Final", "F"), "Flight ", "F")))</f>
        <v/>
      </c>
      <c r="E70" s="10" t="str" cm="1">
        <f t="array" ref="E70">_xlfn.LET(_xlpm.EVENT, _xlfn.XMATCH($A70,'Heat Sheet'!$A:$A), IF(ISNA(_xlpm.EVENT), "", _xlfn.LET(_xlpm.ADVANCE, INDEX('Heat Sheet'!$A:$I, _xlpm.EVENT, COLUMN()-1), IF(_xlpm.ADVANCE=0, "", _xlpm.ADVANCE))))</f>
        <v/>
      </c>
      <c r="F70" s="10" t="str" cm="1">
        <f t="array" ref="F70">_xlfn.LET(_xlpm.EVENT, _xlfn.XMATCH($A70,'Heat Sheet'!$A:$A), IF(ISNA(_xlpm.EVENT), "", _xlfn.LET(_xlpm.ADVANCE, INDEX('Heat Sheet'!$A:$I, _xlpm.EVENT, COLUMN()-1), IF(_xlpm.ADVANCE=0, "", _xlpm.ADVANCE))))</f>
        <v/>
      </c>
      <c r="G70" s="10" t="str" cm="1">
        <f t="array" ref="G70">_xlfn.LET(_xlpm.EVENT, _xlfn.XMATCH($A70,'Heat Sheet'!$A:$A), IF(ISNA(_xlpm.EVENT), "", _xlfn.LET(_xlpm.ADVANCE, INDEX('Heat Sheet'!$A:$I, _xlpm.EVENT, COLUMN()-1), IF(_xlpm.ADVANCE=0, "", _xlpm.ADVANCE))))</f>
        <v/>
      </c>
      <c r="H70" s="10" t="str" cm="1">
        <f t="array" ref="H70">_xlfn.LET(_xlpm.EVENT, _xlfn.XMATCH($A70,'Heat Sheet'!$A:$A), IF(ISNA(_xlpm.EVENT), "", _xlfn.LET(_xlpm.ADVANCE, INDEX('Heat Sheet'!$A:$I, _xlpm.EVENT, COLUMN()-1), IF(_xlpm.ADVANCE=0, "", _xlpm.ADVANCE))))</f>
        <v/>
      </c>
      <c r="I70" s="10" t="str" cm="1">
        <f t="array" ref="I70">_xlfn.LET(_xlpm.EVENT, _xlfn.XMATCH($A70,'Heat Sheet'!$A:$A), IF(ISNA(_xlpm.EVENT), "", _xlfn.LET(_xlpm.ADVANCE, INDEX('Heat Sheet'!$A:$I, _xlpm.EVENT, COLUMN()-1), IF(_xlpm.ADVANCE=0, "", _xlpm.ADVANCE))))</f>
        <v/>
      </c>
      <c r="J70" s="10" t="str" cm="1">
        <f t="array" ref="J70">_xlfn.LET(_xlpm.EVENT, _xlfn.XMATCH($A70,'Heat Sheet'!$A:$A), IF(ISNA(_xlpm.EVENT), "", _xlfn.LET(_xlpm.ADVANCE, INDEX('Heat Sheet'!$A:$I, _xlpm.EVENT, COLUMN()-1), IF(_xlpm.ADVANCE=0, "", _xlpm.ADVANCE))))</f>
        <v/>
      </c>
      <c r="K70" s="139" t="str" cm="1">
        <f t="array" ref="K70">_xlfn.LET(_xlpm.EVENT, _xlfn.XMATCH($A70,'Heat Sheet'!A:A), IF(ISNA(_xlpm.EVENT), "", _xlfn.LET(_xlpm.ADVANCE, INDEX('Heat Sheet'!$A:$I, _xlpm.EVENT+2, 3), IF(_xlpm.ADVANCE=0, "", _xlpm.ADVANCE))))</f>
        <v/>
      </c>
    </row>
    <row r="71" spans="1:11" ht="29.25" customHeight="1" x14ac:dyDescent="0.2">
      <c r="A71" s="12">
        <v>69</v>
      </c>
      <c r="B71" s="7" t="str">
        <f>IFERROR(TEXT(VLOOKUP(A71,'Heat Sheet'!$A:$I, 2, FALSE), "HH:mm"), "")</f>
        <v/>
      </c>
      <c r="C71" s="7"/>
      <c r="D71" s="10" t="str" cm="1">
        <f t="array" ref="D71">_xlfn.LET(_xlpm.EVENT, _xlfn.XMATCH($A71,'Heat Sheet'!A:A), IF(ISNA(_xlpm.EVENT), "", INDEX('Heat Sheet'!$A:$I, _xlpm.EVENT, 3)&amp;" "&amp;SUBSTITUTE(SUBSTITUTE(SUBSTITUTE(INDEX('Heat Sheet'!$A:$I, _xlpm.EVENT+1, 3), "Heat ", "H"), "Final", "F"), "Flight ", "F")))</f>
        <v/>
      </c>
      <c r="E71" s="10" t="str" cm="1">
        <f t="array" ref="E71">_xlfn.LET(_xlpm.EVENT, _xlfn.XMATCH($A71,'Heat Sheet'!$A:$A), IF(ISNA(_xlpm.EVENT), "", _xlfn.LET(_xlpm.ADVANCE, INDEX('Heat Sheet'!$A:$I, _xlpm.EVENT, COLUMN()-1), IF(_xlpm.ADVANCE=0, "", _xlpm.ADVANCE))))</f>
        <v/>
      </c>
      <c r="F71" s="10" t="str" cm="1">
        <f t="array" ref="F71">_xlfn.LET(_xlpm.EVENT, _xlfn.XMATCH($A71,'Heat Sheet'!$A:$A), IF(ISNA(_xlpm.EVENT), "", _xlfn.LET(_xlpm.ADVANCE, INDEX('Heat Sheet'!$A:$I, _xlpm.EVENT, COLUMN()-1), IF(_xlpm.ADVANCE=0, "", _xlpm.ADVANCE))))</f>
        <v/>
      </c>
      <c r="G71" s="10" t="str" cm="1">
        <f t="array" ref="G71">_xlfn.LET(_xlpm.EVENT, _xlfn.XMATCH($A71,'Heat Sheet'!$A:$A), IF(ISNA(_xlpm.EVENT), "", _xlfn.LET(_xlpm.ADVANCE, INDEX('Heat Sheet'!$A:$I, _xlpm.EVENT, COLUMN()-1), IF(_xlpm.ADVANCE=0, "", _xlpm.ADVANCE))))</f>
        <v/>
      </c>
      <c r="H71" s="10" t="str" cm="1">
        <f t="array" ref="H71">_xlfn.LET(_xlpm.EVENT, _xlfn.XMATCH($A71,'Heat Sheet'!$A:$A), IF(ISNA(_xlpm.EVENT), "", _xlfn.LET(_xlpm.ADVANCE, INDEX('Heat Sheet'!$A:$I, _xlpm.EVENT, COLUMN()-1), IF(_xlpm.ADVANCE=0, "", _xlpm.ADVANCE))))</f>
        <v/>
      </c>
      <c r="I71" s="10" t="str" cm="1">
        <f t="array" ref="I71">_xlfn.LET(_xlpm.EVENT, _xlfn.XMATCH($A71,'Heat Sheet'!$A:$A), IF(ISNA(_xlpm.EVENT), "", _xlfn.LET(_xlpm.ADVANCE, INDEX('Heat Sheet'!$A:$I, _xlpm.EVENT, COLUMN()-1), IF(_xlpm.ADVANCE=0, "", _xlpm.ADVANCE))))</f>
        <v/>
      </c>
      <c r="J71" s="10" t="str" cm="1">
        <f t="array" ref="J71">_xlfn.LET(_xlpm.EVENT, _xlfn.XMATCH($A71,'Heat Sheet'!$A:$A), IF(ISNA(_xlpm.EVENT), "", _xlfn.LET(_xlpm.ADVANCE, INDEX('Heat Sheet'!$A:$I, _xlpm.EVENT, COLUMN()-1), IF(_xlpm.ADVANCE=0, "", _xlpm.ADVANCE))))</f>
        <v/>
      </c>
      <c r="K71" s="139" t="str" cm="1">
        <f t="array" ref="K71">_xlfn.LET(_xlpm.EVENT, _xlfn.XMATCH($A71,'Heat Sheet'!A:A), IF(ISNA(_xlpm.EVENT), "", _xlfn.LET(_xlpm.ADVANCE, INDEX('Heat Sheet'!$A:$I, _xlpm.EVENT+2, 3), IF(_xlpm.ADVANCE=0, "", _xlpm.ADVANCE))))</f>
        <v/>
      </c>
    </row>
    <row r="72" spans="1:11" ht="29.25" customHeight="1" x14ac:dyDescent="0.2">
      <c r="A72" s="137">
        <v>70</v>
      </c>
      <c r="B72" s="7" t="str">
        <f>IFERROR(TEXT(VLOOKUP(A72,'Heat Sheet'!$A:$I, 2, FALSE), "HH:mm"), "")</f>
        <v/>
      </c>
      <c r="C72" s="138"/>
      <c r="D72" s="10" t="str" cm="1">
        <f t="array" ref="D72">_xlfn.LET(_xlpm.EVENT, _xlfn.XMATCH($A72,'Heat Sheet'!A:A), IF(ISNA(_xlpm.EVENT), "", INDEX('Heat Sheet'!$A:$I, _xlpm.EVENT, 3)&amp;" "&amp;SUBSTITUTE(SUBSTITUTE(SUBSTITUTE(INDEX('Heat Sheet'!$A:$I, _xlpm.EVENT+1, 3), "Heat ", "H"), "Final", "F"), "Flight ", "F")))</f>
        <v/>
      </c>
      <c r="E72" s="10" t="str" cm="1">
        <f t="array" ref="E72">_xlfn.LET(_xlpm.EVENT, _xlfn.XMATCH($A72,'Heat Sheet'!$A:$A), IF(ISNA(_xlpm.EVENT), "", _xlfn.LET(_xlpm.ADVANCE, INDEX('Heat Sheet'!$A:$I, _xlpm.EVENT, COLUMN()-1), IF(_xlpm.ADVANCE=0, "", _xlpm.ADVANCE))))</f>
        <v/>
      </c>
      <c r="F72" s="10" t="str" cm="1">
        <f t="array" ref="F72">_xlfn.LET(_xlpm.EVENT, _xlfn.XMATCH($A72,'Heat Sheet'!$A:$A), IF(ISNA(_xlpm.EVENT), "", _xlfn.LET(_xlpm.ADVANCE, INDEX('Heat Sheet'!$A:$I, _xlpm.EVENT, COLUMN()-1), IF(_xlpm.ADVANCE=0, "", _xlpm.ADVANCE))))</f>
        <v/>
      </c>
      <c r="G72" s="10" t="str" cm="1">
        <f t="array" ref="G72">_xlfn.LET(_xlpm.EVENT, _xlfn.XMATCH($A72,'Heat Sheet'!$A:$A), IF(ISNA(_xlpm.EVENT), "", _xlfn.LET(_xlpm.ADVANCE, INDEX('Heat Sheet'!$A:$I, _xlpm.EVENT, COLUMN()-1), IF(_xlpm.ADVANCE=0, "", _xlpm.ADVANCE))))</f>
        <v/>
      </c>
      <c r="H72" s="10" t="str" cm="1">
        <f t="array" ref="H72">_xlfn.LET(_xlpm.EVENT, _xlfn.XMATCH($A72,'Heat Sheet'!$A:$A), IF(ISNA(_xlpm.EVENT), "", _xlfn.LET(_xlpm.ADVANCE, INDEX('Heat Sheet'!$A:$I, _xlpm.EVENT, COLUMN()-1), IF(_xlpm.ADVANCE=0, "", _xlpm.ADVANCE))))</f>
        <v/>
      </c>
      <c r="I72" s="10" t="str" cm="1">
        <f t="array" ref="I72">_xlfn.LET(_xlpm.EVENT, _xlfn.XMATCH($A72,'Heat Sheet'!$A:$A), IF(ISNA(_xlpm.EVENT), "", _xlfn.LET(_xlpm.ADVANCE, INDEX('Heat Sheet'!$A:$I, _xlpm.EVENT, COLUMN()-1), IF(_xlpm.ADVANCE=0, "", _xlpm.ADVANCE))))</f>
        <v/>
      </c>
      <c r="J72" s="10" t="str" cm="1">
        <f t="array" ref="J72">_xlfn.LET(_xlpm.EVENT, _xlfn.XMATCH($A72,'Heat Sheet'!$A:$A), IF(ISNA(_xlpm.EVENT), "", _xlfn.LET(_xlpm.ADVANCE, INDEX('Heat Sheet'!$A:$I, _xlpm.EVENT, COLUMN()-1), IF(_xlpm.ADVANCE=0, "", _xlpm.ADVANCE))))</f>
        <v/>
      </c>
      <c r="K72" s="139" t="str" cm="1">
        <f t="array" ref="K72">_xlfn.LET(_xlpm.EVENT, _xlfn.XMATCH($A72,'Heat Sheet'!A:A), IF(ISNA(_xlpm.EVENT), "", _xlfn.LET(_xlpm.ADVANCE, INDEX('Heat Sheet'!$A:$I, _xlpm.EVENT+2, 3), IF(_xlpm.ADVANCE=0, "", _xlpm.ADVANCE))))</f>
        <v/>
      </c>
    </row>
    <row r="73" spans="1:11" ht="29.25" customHeight="1" x14ac:dyDescent="0.2">
      <c r="A73" s="137">
        <v>71</v>
      </c>
      <c r="B73" s="7" t="str">
        <f>IFERROR(TEXT(VLOOKUP(A73,'Heat Sheet'!$A:$I, 2, FALSE), "HH:mm"), "")</f>
        <v/>
      </c>
      <c r="C73" s="138"/>
      <c r="D73" s="10" t="str" cm="1">
        <f t="array" ref="D73">_xlfn.LET(_xlpm.EVENT, _xlfn.XMATCH($A73,'Heat Sheet'!A:A), IF(ISNA(_xlpm.EVENT), "", INDEX('Heat Sheet'!$A:$I, _xlpm.EVENT, 3)&amp;" "&amp;SUBSTITUTE(SUBSTITUTE(SUBSTITUTE(INDEX('Heat Sheet'!$A:$I, _xlpm.EVENT+1, 3), "Heat ", "H"), "Final", "F"), "Flight ", "F")))</f>
        <v/>
      </c>
      <c r="E73" s="10" t="str" cm="1">
        <f t="array" ref="E73">_xlfn.LET(_xlpm.EVENT, _xlfn.XMATCH($A73,'Heat Sheet'!$A:$A), IF(ISNA(_xlpm.EVENT), "", _xlfn.LET(_xlpm.ADVANCE, INDEX('Heat Sheet'!$A:$I, _xlpm.EVENT, COLUMN()-1), IF(_xlpm.ADVANCE=0, "", _xlpm.ADVANCE))))</f>
        <v/>
      </c>
      <c r="F73" s="10" t="str" cm="1">
        <f t="array" ref="F73">_xlfn.LET(_xlpm.EVENT, _xlfn.XMATCH($A73,'Heat Sheet'!$A:$A), IF(ISNA(_xlpm.EVENT), "", _xlfn.LET(_xlpm.ADVANCE, INDEX('Heat Sheet'!$A:$I, _xlpm.EVENT, COLUMN()-1), IF(_xlpm.ADVANCE=0, "", _xlpm.ADVANCE))))</f>
        <v/>
      </c>
      <c r="G73" s="10" t="str" cm="1">
        <f t="array" ref="G73">_xlfn.LET(_xlpm.EVENT, _xlfn.XMATCH($A73,'Heat Sheet'!$A:$A), IF(ISNA(_xlpm.EVENT), "", _xlfn.LET(_xlpm.ADVANCE, INDEX('Heat Sheet'!$A:$I, _xlpm.EVENT, COLUMN()-1), IF(_xlpm.ADVANCE=0, "", _xlpm.ADVANCE))))</f>
        <v/>
      </c>
      <c r="H73" s="10" t="str" cm="1">
        <f t="array" ref="H73">_xlfn.LET(_xlpm.EVENT, _xlfn.XMATCH($A73,'Heat Sheet'!$A:$A), IF(ISNA(_xlpm.EVENT), "", _xlfn.LET(_xlpm.ADVANCE, INDEX('Heat Sheet'!$A:$I, _xlpm.EVENT, COLUMN()-1), IF(_xlpm.ADVANCE=0, "", _xlpm.ADVANCE))))</f>
        <v/>
      </c>
      <c r="I73" s="10" t="str" cm="1">
        <f t="array" ref="I73">_xlfn.LET(_xlpm.EVENT, _xlfn.XMATCH($A73,'Heat Sheet'!$A:$A), IF(ISNA(_xlpm.EVENT), "", _xlfn.LET(_xlpm.ADVANCE, INDEX('Heat Sheet'!$A:$I, _xlpm.EVENT, COLUMN()-1), IF(_xlpm.ADVANCE=0, "", _xlpm.ADVANCE))))</f>
        <v/>
      </c>
      <c r="J73" s="10" t="str" cm="1">
        <f t="array" ref="J73">_xlfn.LET(_xlpm.EVENT, _xlfn.XMATCH($A73,'Heat Sheet'!$A:$A), IF(ISNA(_xlpm.EVENT), "", _xlfn.LET(_xlpm.ADVANCE, INDEX('Heat Sheet'!$A:$I, _xlpm.EVENT, COLUMN()-1), IF(_xlpm.ADVANCE=0, "", _xlpm.ADVANCE))))</f>
        <v/>
      </c>
      <c r="K73" s="139" t="str" cm="1">
        <f t="array" ref="K73">_xlfn.LET(_xlpm.EVENT, _xlfn.XMATCH($A73,'Heat Sheet'!A:A), IF(ISNA(_xlpm.EVENT), "", _xlfn.LET(_xlpm.ADVANCE, INDEX('Heat Sheet'!$A:$I, _xlpm.EVENT+2, 3), IF(_xlpm.ADVANCE=0, "", _xlpm.ADVANCE))))</f>
        <v/>
      </c>
    </row>
    <row r="74" spans="1:11" ht="29.25" customHeight="1" x14ac:dyDescent="0.2">
      <c r="A74" s="137">
        <v>72</v>
      </c>
      <c r="B74" s="7" t="str">
        <f>IFERROR(TEXT(VLOOKUP(A74,'Heat Sheet'!$A:$I, 2, FALSE), "HH:mm"), "")</f>
        <v/>
      </c>
      <c r="C74" s="138"/>
      <c r="D74" s="10" t="str" cm="1">
        <f t="array" ref="D74">_xlfn.LET(_xlpm.EVENT, _xlfn.XMATCH($A74,'Heat Sheet'!A:A), IF(ISNA(_xlpm.EVENT), "", INDEX('Heat Sheet'!$A:$I, _xlpm.EVENT, 3)&amp;" "&amp;SUBSTITUTE(SUBSTITUTE(SUBSTITUTE(INDEX('Heat Sheet'!$A:$I, _xlpm.EVENT+1, 3), "Heat ", "H"), "Final", "F"), "Flight ", "F")))</f>
        <v/>
      </c>
      <c r="E74" s="10" t="str" cm="1">
        <f t="array" ref="E74">_xlfn.LET(_xlpm.EVENT, _xlfn.XMATCH($A74,'Heat Sheet'!$A:$A), IF(ISNA(_xlpm.EVENT), "", _xlfn.LET(_xlpm.ADVANCE, INDEX('Heat Sheet'!$A:$I, _xlpm.EVENT, COLUMN()-1), IF(_xlpm.ADVANCE=0, "", _xlpm.ADVANCE))))</f>
        <v/>
      </c>
      <c r="F74" s="10" t="str" cm="1">
        <f t="array" ref="F74">_xlfn.LET(_xlpm.EVENT, _xlfn.XMATCH($A74,'Heat Sheet'!$A:$A), IF(ISNA(_xlpm.EVENT), "", _xlfn.LET(_xlpm.ADVANCE, INDEX('Heat Sheet'!$A:$I, _xlpm.EVENT, COLUMN()-1), IF(_xlpm.ADVANCE=0, "", _xlpm.ADVANCE))))</f>
        <v/>
      </c>
      <c r="G74" s="10" t="str" cm="1">
        <f t="array" ref="G74">_xlfn.LET(_xlpm.EVENT, _xlfn.XMATCH($A74,'Heat Sheet'!$A:$A), IF(ISNA(_xlpm.EVENT), "", _xlfn.LET(_xlpm.ADVANCE, INDEX('Heat Sheet'!$A:$I, _xlpm.EVENT, COLUMN()-1), IF(_xlpm.ADVANCE=0, "", _xlpm.ADVANCE))))</f>
        <v/>
      </c>
      <c r="H74" s="10" t="str" cm="1">
        <f t="array" ref="H74">_xlfn.LET(_xlpm.EVENT, _xlfn.XMATCH($A74,'Heat Sheet'!$A:$A), IF(ISNA(_xlpm.EVENT), "", _xlfn.LET(_xlpm.ADVANCE, INDEX('Heat Sheet'!$A:$I, _xlpm.EVENT, COLUMN()-1), IF(_xlpm.ADVANCE=0, "", _xlpm.ADVANCE))))</f>
        <v/>
      </c>
      <c r="I74" s="10" t="str" cm="1">
        <f t="array" ref="I74">_xlfn.LET(_xlpm.EVENT, _xlfn.XMATCH($A74,'Heat Sheet'!$A:$A), IF(ISNA(_xlpm.EVENT), "", _xlfn.LET(_xlpm.ADVANCE, INDEX('Heat Sheet'!$A:$I, _xlpm.EVENT, COLUMN()-1), IF(_xlpm.ADVANCE=0, "", _xlpm.ADVANCE))))</f>
        <v/>
      </c>
      <c r="J74" s="10" t="str" cm="1">
        <f t="array" ref="J74">_xlfn.LET(_xlpm.EVENT, _xlfn.XMATCH($A74,'Heat Sheet'!$A:$A), IF(ISNA(_xlpm.EVENT), "", _xlfn.LET(_xlpm.ADVANCE, INDEX('Heat Sheet'!$A:$I, _xlpm.EVENT, COLUMN()-1), IF(_xlpm.ADVANCE=0, "", _xlpm.ADVANCE))))</f>
        <v/>
      </c>
      <c r="K74" s="139" t="str" cm="1">
        <f t="array" ref="K74">_xlfn.LET(_xlpm.EVENT, _xlfn.XMATCH($A74,'Heat Sheet'!A:A), IF(ISNA(_xlpm.EVENT), "", _xlfn.LET(_xlpm.ADVANCE, INDEX('Heat Sheet'!$A:$I, _xlpm.EVENT+2, 3), IF(_xlpm.ADVANCE=0, "", _xlpm.ADVANCE))))</f>
        <v/>
      </c>
    </row>
    <row r="75" spans="1:11" ht="29.25" customHeight="1" x14ac:dyDescent="0.2">
      <c r="A75" s="137">
        <v>73</v>
      </c>
      <c r="B75" s="7" t="str">
        <f>IFERROR(TEXT(VLOOKUP(A75,'Heat Sheet'!$A:$I, 2, FALSE), "HH:mm"), "")</f>
        <v/>
      </c>
      <c r="C75" s="138"/>
      <c r="D75" s="10" t="str" cm="1">
        <f t="array" ref="D75">_xlfn.LET(_xlpm.EVENT, _xlfn.XMATCH($A75,'Heat Sheet'!A:A), IF(ISNA(_xlpm.EVENT), "", INDEX('Heat Sheet'!$A:$I, _xlpm.EVENT, 3)&amp;" "&amp;SUBSTITUTE(SUBSTITUTE(SUBSTITUTE(INDEX('Heat Sheet'!$A:$I, _xlpm.EVENT+1, 3), "Heat ", "H"), "Final", "F"), "Flight ", "F")))</f>
        <v/>
      </c>
      <c r="E75" s="10" t="str" cm="1">
        <f t="array" ref="E75">_xlfn.LET(_xlpm.EVENT, _xlfn.XMATCH($A75,'Heat Sheet'!$A:$A), IF(ISNA(_xlpm.EVENT), "", _xlfn.LET(_xlpm.ADVANCE, INDEX('Heat Sheet'!$A:$I, _xlpm.EVENT, COLUMN()-1), IF(_xlpm.ADVANCE=0, "", _xlpm.ADVANCE))))</f>
        <v/>
      </c>
      <c r="F75" s="10" t="str" cm="1">
        <f t="array" ref="F75">_xlfn.LET(_xlpm.EVENT, _xlfn.XMATCH($A75,'Heat Sheet'!$A:$A), IF(ISNA(_xlpm.EVENT), "", _xlfn.LET(_xlpm.ADVANCE, INDEX('Heat Sheet'!$A:$I, _xlpm.EVENT, COLUMN()-1), IF(_xlpm.ADVANCE=0, "", _xlpm.ADVANCE))))</f>
        <v/>
      </c>
      <c r="G75" s="10" t="str" cm="1">
        <f t="array" ref="G75">_xlfn.LET(_xlpm.EVENT, _xlfn.XMATCH($A75,'Heat Sheet'!$A:$A), IF(ISNA(_xlpm.EVENT), "", _xlfn.LET(_xlpm.ADVANCE, INDEX('Heat Sheet'!$A:$I, _xlpm.EVENT, COLUMN()-1), IF(_xlpm.ADVANCE=0, "", _xlpm.ADVANCE))))</f>
        <v/>
      </c>
      <c r="H75" s="10" t="str" cm="1">
        <f t="array" ref="H75">_xlfn.LET(_xlpm.EVENT, _xlfn.XMATCH($A75,'Heat Sheet'!$A:$A), IF(ISNA(_xlpm.EVENT), "", _xlfn.LET(_xlpm.ADVANCE, INDEX('Heat Sheet'!$A:$I, _xlpm.EVENT, COLUMN()-1), IF(_xlpm.ADVANCE=0, "", _xlpm.ADVANCE))))</f>
        <v/>
      </c>
      <c r="I75" s="10" t="str" cm="1">
        <f t="array" ref="I75">_xlfn.LET(_xlpm.EVENT, _xlfn.XMATCH($A75,'Heat Sheet'!$A:$A), IF(ISNA(_xlpm.EVENT), "", _xlfn.LET(_xlpm.ADVANCE, INDEX('Heat Sheet'!$A:$I, _xlpm.EVENT, COLUMN()-1), IF(_xlpm.ADVANCE=0, "", _xlpm.ADVANCE))))</f>
        <v/>
      </c>
      <c r="J75" s="10" t="str" cm="1">
        <f t="array" ref="J75">_xlfn.LET(_xlpm.EVENT, _xlfn.XMATCH($A75,'Heat Sheet'!$A:$A), IF(ISNA(_xlpm.EVENT), "", _xlfn.LET(_xlpm.ADVANCE, INDEX('Heat Sheet'!$A:$I, _xlpm.EVENT, COLUMN()-1), IF(_xlpm.ADVANCE=0, "", _xlpm.ADVANCE))))</f>
        <v/>
      </c>
      <c r="K75" s="139" t="str" cm="1">
        <f t="array" ref="K75">_xlfn.LET(_xlpm.EVENT, _xlfn.XMATCH($A75,'Heat Sheet'!A:A), IF(ISNA(_xlpm.EVENT), "", _xlfn.LET(_xlpm.ADVANCE, INDEX('Heat Sheet'!$A:$I, _xlpm.EVENT+2, 3), IF(_xlpm.ADVANCE=0, "", _xlpm.ADVANCE))))</f>
        <v/>
      </c>
    </row>
    <row r="76" spans="1:11" ht="29.25" customHeight="1" x14ac:dyDescent="0.2">
      <c r="A76" s="137">
        <v>74</v>
      </c>
      <c r="B76" s="7" t="str">
        <f>IFERROR(TEXT(VLOOKUP(A76,'Heat Sheet'!$A:$I, 2, FALSE), "HH:mm"), "")</f>
        <v/>
      </c>
      <c r="C76" s="138"/>
      <c r="D76" s="10" t="str" cm="1">
        <f t="array" ref="D76">_xlfn.LET(_xlpm.EVENT, _xlfn.XMATCH($A76,'Heat Sheet'!A:A), IF(ISNA(_xlpm.EVENT), "", INDEX('Heat Sheet'!$A:$I, _xlpm.EVENT, 3)&amp;" "&amp;SUBSTITUTE(SUBSTITUTE(SUBSTITUTE(INDEX('Heat Sheet'!$A:$I, _xlpm.EVENT+1, 3), "Heat ", "H"), "Final", "F"), "Flight ", "F")))</f>
        <v/>
      </c>
      <c r="E76" s="10" t="str" cm="1">
        <f t="array" ref="E76">_xlfn.LET(_xlpm.EVENT, _xlfn.XMATCH($A76,'Heat Sheet'!$A:$A), IF(ISNA(_xlpm.EVENT), "", _xlfn.LET(_xlpm.ADVANCE, INDEX('Heat Sheet'!$A:$I, _xlpm.EVENT, COLUMN()-1), IF(_xlpm.ADVANCE=0, "", _xlpm.ADVANCE))))</f>
        <v/>
      </c>
      <c r="F76" s="10" t="str" cm="1">
        <f t="array" ref="F76">_xlfn.LET(_xlpm.EVENT, _xlfn.XMATCH($A76,'Heat Sheet'!$A:$A), IF(ISNA(_xlpm.EVENT), "", _xlfn.LET(_xlpm.ADVANCE, INDEX('Heat Sheet'!$A:$I, _xlpm.EVENT, COLUMN()-1), IF(_xlpm.ADVANCE=0, "", _xlpm.ADVANCE))))</f>
        <v/>
      </c>
      <c r="G76" s="10" t="str" cm="1">
        <f t="array" ref="G76">_xlfn.LET(_xlpm.EVENT, _xlfn.XMATCH($A76,'Heat Sheet'!$A:$A), IF(ISNA(_xlpm.EVENT), "", _xlfn.LET(_xlpm.ADVANCE, INDEX('Heat Sheet'!$A:$I, _xlpm.EVENT, COLUMN()-1), IF(_xlpm.ADVANCE=0, "", _xlpm.ADVANCE))))</f>
        <v/>
      </c>
      <c r="H76" s="10" t="str" cm="1">
        <f t="array" ref="H76">_xlfn.LET(_xlpm.EVENT, _xlfn.XMATCH($A76,'Heat Sheet'!$A:$A), IF(ISNA(_xlpm.EVENT), "", _xlfn.LET(_xlpm.ADVANCE, INDEX('Heat Sheet'!$A:$I, _xlpm.EVENT, COLUMN()-1), IF(_xlpm.ADVANCE=0, "", _xlpm.ADVANCE))))</f>
        <v/>
      </c>
      <c r="I76" s="10" t="str" cm="1">
        <f t="array" ref="I76">_xlfn.LET(_xlpm.EVENT, _xlfn.XMATCH($A76,'Heat Sheet'!$A:$A), IF(ISNA(_xlpm.EVENT), "", _xlfn.LET(_xlpm.ADVANCE, INDEX('Heat Sheet'!$A:$I, _xlpm.EVENT, COLUMN()-1), IF(_xlpm.ADVANCE=0, "", _xlpm.ADVANCE))))</f>
        <v/>
      </c>
      <c r="J76" s="10" t="str" cm="1">
        <f t="array" ref="J76">_xlfn.LET(_xlpm.EVENT, _xlfn.XMATCH($A76,'Heat Sheet'!$A:$A), IF(ISNA(_xlpm.EVENT), "", _xlfn.LET(_xlpm.ADVANCE, INDEX('Heat Sheet'!$A:$I, _xlpm.EVENT, COLUMN()-1), IF(_xlpm.ADVANCE=0, "", _xlpm.ADVANCE))))</f>
        <v/>
      </c>
      <c r="K76" s="139" t="str" cm="1">
        <f t="array" ref="K76">_xlfn.LET(_xlpm.EVENT, _xlfn.XMATCH($A76,'Heat Sheet'!A:A), IF(ISNA(_xlpm.EVENT), "", _xlfn.LET(_xlpm.ADVANCE, INDEX('Heat Sheet'!$A:$I, _xlpm.EVENT+2, 3), IF(_xlpm.ADVANCE=0, "", _xlpm.ADVANCE))))</f>
        <v/>
      </c>
    </row>
    <row r="77" spans="1:11" ht="29.25" customHeight="1" x14ac:dyDescent="0.2">
      <c r="A77" s="137">
        <v>75</v>
      </c>
      <c r="B77" s="7" t="str">
        <f>IFERROR(TEXT(VLOOKUP(A77,'Heat Sheet'!$A:$I, 2, FALSE), "HH:mm"), "")</f>
        <v/>
      </c>
      <c r="C77" s="138"/>
      <c r="D77" s="10" t="str" cm="1">
        <f t="array" ref="D77">_xlfn.LET(_xlpm.EVENT, _xlfn.XMATCH($A77,'Heat Sheet'!A:A), IF(ISNA(_xlpm.EVENT), "", INDEX('Heat Sheet'!$A:$I, _xlpm.EVENT, 3)&amp;" "&amp;SUBSTITUTE(SUBSTITUTE(SUBSTITUTE(INDEX('Heat Sheet'!$A:$I, _xlpm.EVENT+1, 3), "Heat ", "H"), "Final", "F"), "Flight ", "F")))</f>
        <v/>
      </c>
      <c r="E77" s="10" t="str" cm="1">
        <f t="array" ref="E77">_xlfn.LET(_xlpm.EVENT, _xlfn.XMATCH($A77,'Heat Sheet'!$A:$A), IF(ISNA(_xlpm.EVENT), "", _xlfn.LET(_xlpm.ADVANCE, INDEX('Heat Sheet'!$A:$I, _xlpm.EVENT, COLUMN()-1), IF(_xlpm.ADVANCE=0, "", _xlpm.ADVANCE))))</f>
        <v/>
      </c>
      <c r="F77" s="10" t="str" cm="1">
        <f t="array" ref="F77">_xlfn.LET(_xlpm.EVENT, _xlfn.XMATCH($A77,'Heat Sheet'!$A:$A), IF(ISNA(_xlpm.EVENT), "", _xlfn.LET(_xlpm.ADVANCE, INDEX('Heat Sheet'!$A:$I, _xlpm.EVENT, COLUMN()-1), IF(_xlpm.ADVANCE=0, "", _xlpm.ADVANCE))))</f>
        <v/>
      </c>
      <c r="G77" s="10" t="str" cm="1">
        <f t="array" ref="G77">_xlfn.LET(_xlpm.EVENT, _xlfn.XMATCH($A77,'Heat Sheet'!$A:$A), IF(ISNA(_xlpm.EVENT), "", _xlfn.LET(_xlpm.ADVANCE, INDEX('Heat Sheet'!$A:$I, _xlpm.EVENT, COLUMN()-1), IF(_xlpm.ADVANCE=0, "", _xlpm.ADVANCE))))</f>
        <v/>
      </c>
      <c r="H77" s="10" t="str" cm="1">
        <f t="array" ref="H77">_xlfn.LET(_xlpm.EVENT, _xlfn.XMATCH($A77,'Heat Sheet'!$A:$A), IF(ISNA(_xlpm.EVENT), "", _xlfn.LET(_xlpm.ADVANCE, INDEX('Heat Sheet'!$A:$I, _xlpm.EVENT, COLUMN()-1), IF(_xlpm.ADVANCE=0, "", _xlpm.ADVANCE))))</f>
        <v/>
      </c>
      <c r="I77" s="10" t="str" cm="1">
        <f t="array" ref="I77">_xlfn.LET(_xlpm.EVENT, _xlfn.XMATCH($A77,'Heat Sheet'!$A:$A), IF(ISNA(_xlpm.EVENT), "", _xlfn.LET(_xlpm.ADVANCE, INDEX('Heat Sheet'!$A:$I, _xlpm.EVENT, COLUMN()-1), IF(_xlpm.ADVANCE=0, "", _xlpm.ADVANCE))))</f>
        <v/>
      </c>
      <c r="J77" s="10" t="str" cm="1">
        <f t="array" ref="J77">_xlfn.LET(_xlpm.EVENT, _xlfn.XMATCH($A77,'Heat Sheet'!$A:$A), IF(ISNA(_xlpm.EVENT), "", _xlfn.LET(_xlpm.ADVANCE, INDEX('Heat Sheet'!$A:$I, _xlpm.EVENT, COLUMN()-1), IF(_xlpm.ADVANCE=0, "", _xlpm.ADVANCE))))</f>
        <v/>
      </c>
      <c r="K77" s="139" t="str" cm="1">
        <f t="array" ref="K77">_xlfn.LET(_xlpm.EVENT, _xlfn.XMATCH($A77,'Heat Sheet'!A:A), IF(ISNA(_xlpm.EVENT), "", _xlfn.LET(_xlpm.ADVANCE, INDEX('Heat Sheet'!$A:$I, _xlpm.EVENT+2, 3), IF(_xlpm.ADVANCE=0, "", _xlpm.ADVANCE))))</f>
        <v/>
      </c>
    </row>
    <row r="78" spans="1:11" ht="29.25" customHeight="1" x14ac:dyDescent="0.2">
      <c r="A78" s="137">
        <v>76</v>
      </c>
      <c r="B78" s="7" t="str">
        <f>IFERROR(TEXT(VLOOKUP(A78,'Heat Sheet'!$A:$I, 2, FALSE), "HH:mm"), "")</f>
        <v/>
      </c>
      <c r="C78" s="138"/>
      <c r="D78" s="10" t="str" cm="1">
        <f t="array" ref="D78">_xlfn.LET(_xlpm.EVENT, _xlfn.XMATCH($A78,'Heat Sheet'!A:A), IF(ISNA(_xlpm.EVENT), "", INDEX('Heat Sheet'!$A:$I, _xlpm.EVENT, 3)&amp;" "&amp;SUBSTITUTE(SUBSTITUTE(SUBSTITUTE(INDEX('Heat Sheet'!$A:$I, _xlpm.EVENT+1, 3), "Heat ", "H"), "Final", "F"), "Flight ", "F")))</f>
        <v/>
      </c>
      <c r="E78" s="10" t="str" cm="1">
        <f t="array" ref="E78">_xlfn.LET(_xlpm.EVENT, _xlfn.XMATCH($A78,'Heat Sheet'!$A:$A), IF(ISNA(_xlpm.EVENT), "", _xlfn.LET(_xlpm.ADVANCE, INDEX('Heat Sheet'!$A:$I, _xlpm.EVENT, COLUMN()-1), IF(_xlpm.ADVANCE=0, "", _xlpm.ADVANCE))))</f>
        <v/>
      </c>
      <c r="F78" s="10" t="str" cm="1">
        <f t="array" ref="F78">_xlfn.LET(_xlpm.EVENT, _xlfn.XMATCH($A78,'Heat Sheet'!$A:$A), IF(ISNA(_xlpm.EVENT), "", _xlfn.LET(_xlpm.ADVANCE, INDEX('Heat Sheet'!$A:$I, _xlpm.EVENT, COLUMN()-1), IF(_xlpm.ADVANCE=0, "", _xlpm.ADVANCE))))</f>
        <v/>
      </c>
      <c r="G78" s="10" t="str" cm="1">
        <f t="array" ref="G78">_xlfn.LET(_xlpm.EVENT, _xlfn.XMATCH($A78,'Heat Sheet'!$A:$A), IF(ISNA(_xlpm.EVENT), "", _xlfn.LET(_xlpm.ADVANCE, INDEX('Heat Sheet'!$A:$I, _xlpm.EVENT, COLUMN()-1), IF(_xlpm.ADVANCE=0, "", _xlpm.ADVANCE))))</f>
        <v/>
      </c>
      <c r="H78" s="10" t="str" cm="1">
        <f t="array" ref="H78">_xlfn.LET(_xlpm.EVENT, _xlfn.XMATCH($A78,'Heat Sheet'!$A:$A), IF(ISNA(_xlpm.EVENT), "", _xlfn.LET(_xlpm.ADVANCE, INDEX('Heat Sheet'!$A:$I, _xlpm.EVENT, COLUMN()-1), IF(_xlpm.ADVANCE=0, "", _xlpm.ADVANCE))))</f>
        <v/>
      </c>
      <c r="I78" s="10" t="str" cm="1">
        <f t="array" ref="I78">_xlfn.LET(_xlpm.EVENT, _xlfn.XMATCH($A78,'Heat Sheet'!$A:$A), IF(ISNA(_xlpm.EVENT), "", _xlfn.LET(_xlpm.ADVANCE, INDEX('Heat Sheet'!$A:$I, _xlpm.EVENT, COLUMN()-1), IF(_xlpm.ADVANCE=0, "", _xlpm.ADVANCE))))</f>
        <v/>
      </c>
      <c r="J78" s="10" t="str" cm="1">
        <f t="array" ref="J78">_xlfn.LET(_xlpm.EVENT, _xlfn.XMATCH($A78,'Heat Sheet'!$A:$A), IF(ISNA(_xlpm.EVENT), "", _xlfn.LET(_xlpm.ADVANCE, INDEX('Heat Sheet'!$A:$I, _xlpm.EVENT, COLUMN()-1), IF(_xlpm.ADVANCE=0, "", _xlpm.ADVANCE))))</f>
        <v/>
      </c>
      <c r="K78" s="139" t="str" cm="1">
        <f t="array" ref="K78">_xlfn.LET(_xlpm.EVENT, _xlfn.XMATCH($A78,'Heat Sheet'!A:A), IF(ISNA(_xlpm.EVENT), "", _xlfn.LET(_xlpm.ADVANCE, INDEX('Heat Sheet'!$A:$I, _xlpm.EVENT+2, 3), IF(_xlpm.ADVANCE=0, "", _xlpm.ADVANCE))))</f>
        <v/>
      </c>
    </row>
    <row r="79" spans="1:11" ht="29.25" customHeight="1" x14ac:dyDescent="0.2">
      <c r="A79" s="137">
        <v>77</v>
      </c>
      <c r="B79" s="7" t="str">
        <f>IFERROR(TEXT(VLOOKUP(A79,'Heat Sheet'!$A:$I, 2, FALSE), "HH:mm"), "")</f>
        <v/>
      </c>
      <c r="C79" s="138"/>
      <c r="D79" s="10" t="str" cm="1">
        <f t="array" ref="D79">_xlfn.LET(_xlpm.EVENT, _xlfn.XMATCH($A79,'Heat Sheet'!A:A), IF(ISNA(_xlpm.EVENT), "", INDEX('Heat Sheet'!$A:$I, _xlpm.EVENT, 3)&amp;" "&amp;SUBSTITUTE(SUBSTITUTE(SUBSTITUTE(INDEX('Heat Sheet'!$A:$I, _xlpm.EVENT+1, 3), "Heat ", "H"), "Final", "F"), "Flight ", "F")))</f>
        <v/>
      </c>
      <c r="E79" s="10" t="str" cm="1">
        <f t="array" ref="E79">_xlfn.LET(_xlpm.EVENT, _xlfn.XMATCH($A79,'Heat Sheet'!$A:$A), IF(ISNA(_xlpm.EVENT), "", _xlfn.LET(_xlpm.ADVANCE, INDEX('Heat Sheet'!$A:$I, _xlpm.EVENT, COLUMN()-1), IF(_xlpm.ADVANCE=0, "", _xlpm.ADVANCE))))</f>
        <v/>
      </c>
      <c r="F79" s="10" t="str" cm="1">
        <f t="array" ref="F79">_xlfn.LET(_xlpm.EVENT, _xlfn.XMATCH($A79,'Heat Sheet'!$A:$A), IF(ISNA(_xlpm.EVENT), "", _xlfn.LET(_xlpm.ADVANCE, INDEX('Heat Sheet'!$A:$I, _xlpm.EVENT, COLUMN()-1), IF(_xlpm.ADVANCE=0, "", _xlpm.ADVANCE))))</f>
        <v/>
      </c>
      <c r="G79" s="10" t="str" cm="1">
        <f t="array" ref="G79">_xlfn.LET(_xlpm.EVENT, _xlfn.XMATCH($A79,'Heat Sheet'!$A:$A), IF(ISNA(_xlpm.EVENT), "", _xlfn.LET(_xlpm.ADVANCE, INDEX('Heat Sheet'!$A:$I, _xlpm.EVENT, COLUMN()-1), IF(_xlpm.ADVANCE=0, "", _xlpm.ADVANCE))))</f>
        <v/>
      </c>
      <c r="H79" s="10" t="str" cm="1">
        <f t="array" ref="H79">_xlfn.LET(_xlpm.EVENT, _xlfn.XMATCH($A79,'Heat Sheet'!$A:$A), IF(ISNA(_xlpm.EVENT), "", _xlfn.LET(_xlpm.ADVANCE, INDEX('Heat Sheet'!$A:$I, _xlpm.EVENT, COLUMN()-1), IF(_xlpm.ADVANCE=0, "", _xlpm.ADVANCE))))</f>
        <v/>
      </c>
      <c r="I79" s="10" t="str" cm="1">
        <f t="array" ref="I79">_xlfn.LET(_xlpm.EVENT, _xlfn.XMATCH($A79,'Heat Sheet'!$A:$A), IF(ISNA(_xlpm.EVENT), "", _xlfn.LET(_xlpm.ADVANCE, INDEX('Heat Sheet'!$A:$I, _xlpm.EVENT, COLUMN()-1), IF(_xlpm.ADVANCE=0, "", _xlpm.ADVANCE))))</f>
        <v/>
      </c>
      <c r="J79" s="10" t="str" cm="1">
        <f t="array" ref="J79">_xlfn.LET(_xlpm.EVENT, _xlfn.XMATCH($A79,'Heat Sheet'!$A:$A), IF(ISNA(_xlpm.EVENT), "", _xlfn.LET(_xlpm.ADVANCE, INDEX('Heat Sheet'!$A:$I, _xlpm.EVENT, COLUMN()-1), IF(_xlpm.ADVANCE=0, "", _xlpm.ADVANCE))))</f>
        <v/>
      </c>
      <c r="K79" s="139" t="str" cm="1">
        <f t="array" ref="K79">_xlfn.LET(_xlpm.EVENT, _xlfn.XMATCH($A79,'Heat Sheet'!A:A), IF(ISNA(_xlpm.EVENT), "", _xlfn.LET(_xlpm.ADVANCE, INDEX('Heat Sheet'!$A:$I, _xlpm.EVENT+2, 3), IF(_xlpm.ADVANCE=0, "", _xlpm.ADVANCE))))</f>
        <v/>
      </c>
    </row>
    <row r="80" spans="1:11" ht="29.25" customHeight="1" x14ac:dyDescent="0.2">
      <c r="A80" s="137">
        <v>78</v>
      </c>
      <c r="B80" s="7" t="str">
        <f>IFERROR(TEXT(VLOOKUP(A80,'Heat Sheet'!$A:$I, 2, FALSE), "HH:mm"), "")</f>
        <v/>
      </c>
      <c r="C80" s="138"/>
      <c r="D80" s="10" t="str" cm="1">
        <f t="array" ref="D80">_xlfn.LET(_xlpm.EVENT, _xlfn.XMATCH($A80,'Heat Sheet'!A:A), IF(ISNA(_xlpm.EVENT), "", INDEX('Heat Sheet'!$A:$I, _xlpm.EVENT, 3)&amp;" "&amp;SUBSTITUTE(SUBSTITUTE(SUBSTITUTE(INDEX('Heat Sheet'!$A:$I, _xlpm.EVENT+1, 3), "Heat ", "H"), "Final", "F"), "Flight ", "F")))</f>
        <v/>
      </c>
      <c r="E80" s="10" t="str" cm="1">
        <f t="array" ref="E80">_xlfn.LET(_xlpm.EVENT, _xlfn.XMATCH($A80,'Heat Sheet'!$A:$A), IF(ISNA(_xlpm.EVENT), "", _xlfn.LET(_xlpm.ADVANCE, INDEX('Heat Sheet'!$A:$I, _xlpm.EVENT, COLUMN()-1), IF(_xlpm.ADVANCE=0, "", _xlpm.ADVANCE))))</f>
        <v/>
      </c>
      <c r="F80" s="10" t="str" cm="1">
        <f t="array" ref="F80">_xlfn.LET(_xlpm.EVENT, _xlfn.XMATCH($A80,'Heat Sheet'!$A:$A), IF(ISNA(_xlpm.EVENT), "", _xlfn.LET(_xlpm.ADVANCE, INDEX('Heat Sheet'!$A:$I, _xlpm.EVENT, COLUMN()-1), IF(_xlpm.ADVANCE=0, "", _xlpm.ADVANCE))))</f>
        <v/>
      </c>
      <c r="G80" s="10" t="str" cm="1">
        <f t="array" ref="G80">_xlfn.LET(_xlpm.EVENT, _xlfn.XMATCH($A80,'Heat Sheet'!$A:$A), IF(ISNA(_xlpm.EVENT), "", _xlfn.LET(_xlpm.ADVANCE, INDEX('Heat Sheet'!$A:$I, _xlpm.EVENT, COLUMN()-1), IF(_xlpm.ADVANCE=0, "", _xlpm.ADVANCE))))</f>
        <v/>
      </c>
      <c r="H80" s="10" t="str" cm="1">
        <f t="array" ref="H80">_xlfn.LET(_xlpm.EVENT, _xlfn.XMATCH($A80,'Heat Sheet'!$A:$A), IF(ISNA(_xlpm.EVENT), "", _xlfn.LET(_xlpm.ADVANCE, INDEX('Heat Sheet'!$A:$I, _xlpm.EVENT, COLUMN()-1), IF(_xlpm.ADVANCE=0, "", _xlpm.ADVANCE))))</f>
        <v/>
      </c>
      <c r="I80" s="10" t="str" cm="1">
        <f t="array" ref="I80">_xlfn.LET(_xlpm.EVENT, _xlfn.XMATCH($A80,'Heat Sheet'!$A:$A), IF(ISNA(_xlpm.EVENT), "", _xlfn.LET(_xlpm.ADVANCE, INDEX('Heat Sheet'!$A:$I, _xlpm.EVENT, COLUMN()-1), IF(_xlpm.ADVANCE=0, "", _xlpm.ADVANCE))))</f>
        <v/>
      </c>
      <c r="J80" s="10" t="str" cm="1">
        <f t="array" ref="J80">_xlfn.LET(_xlpm.EVENT, _xlfn.XMATCH($A80,'Heat Sheet'!$A:$A), IF(ISNA(_xlpm.EVENT), "", _xlfn.LET(_xlpm.ADVANCE, INDEX('Heat Sheet'!$A:$I, _xlpm.EVENT, COLUMN()-1), IF(_xlpm.ADVANCE=0, "", _xlpm.ADVANCE))))</f>
        <v/>
      </c>
      <c r="K80" s="139" t="str" cm="1">
        <f t="array" ref="K80">_xlfn.LET(_xlpm.EVENT, _xlfn.XMATCH($A80,'Heat Sheet'!A:A), IF(ISNA(_xlpm.EVENT), "", _xlfn.LET(_xlpm.ADVANCE, INDEX('Heat Sheet'!$A:$I, _xlpm.EVENT+2, 3), IF(_xlpm.ADVANCE=0, "", _xlpm.ADVANCE))))</f>
        <v/>
      </c>
    </row>
    <row r="81" spans="1:11" ht="29.25" customHeight="1" x14ac:dyDescent="0.2">
      <c r="A81" s="137">
        <v>79</v>
      </c>
      <c r="B81" s="7" t="str">
        <f>IFERROR(TEXT(VLOOKUP(A81,'Heat Sheet'!$A:$I, 2, FALSE), "HH:mm"), "")</f>
        <v/>
      </c>
      <c r="C81" s="138"/>
      <c r="D81" s="10" t="str" cm="1">
        <f t="array" ref="D81">_xlfn.LET(_xlpm.EVENT, _xlfn.XMATCH($A81,'Heat Sheet'!A:A), IF(ISNA(_xlpm.EVENT), "", INDEX('Heat Sheet'!$A:$I, _xlpm.EVENT, 3)&amp;" "&amp;SUBSTITUTE(SUBSTITUTE(SUBSTITUTE(INDEX('Heat Sheet'!$A:$I, _xlpm.EVENT+1, 3), "Heat ", "H"), "Final", "F"), "Flight ", "F")))</f>
        <v/>
      </c>
      <c r="E81" s="10" t="str" cm="1">
        <f t="array" ref="E81">_xlfn.LET(_xlpm.EVENT, _xlfn.XMATCH($A81,'Heat Sheet'!$A:$A), IF(ISNA(_xlpm.EVENT), "", _xlfn.LET(_xlpm.ADVANCE, INDEX('Heat Sheet'!$A:$I, _xlpm.EVENT, COLUMN()-1), IF(_xlpm.ADVANCE=0, "", _xlpm.ADVANCE))))</f>
        <v/>
      </c>
      <c r="F81" s="10" t="str" cm="1">
        <f t="array" ref="F81">_xlfn.LET(_xlpm.EVENT, _xlfn.XMATCH($A81,'Heat Sheet'!$A:$A), IF(ISNA(_xlpm.EVENT), "", _xlfn.LET(_xlpm.ADVANCE, INDEX('Heat Sheet'!$A:$I, _xlpm.EVENT, COLUMN()-1), IF(_xlpm.ADVANCE=0, "", _xlpm.ADVANCE))))</f>
        <v/>
      </c>
      <c r="G81" s="10" t="str" cm="1">
        <f t="array" ref="G81">_xlfn.LET(_xlpm.EVENT, _xlfn.XMATCH($A81,'Heat Sheet'!$A:$A), IF(ISNA(_xlpm.EVENT), "", _xlfn.LET(_xlpm.ADVANCE, INDEX('Heat Sheet'!$A:$I, _xlpm.EVENT, COLUMN()-1), IF(_xlpm.ADVANCE=0, "", _xlpm.ADVANCE))))</f>
        <v/>
      </c>
      <c r="H81" s="10" t="str" cm="1">
        <f t="array" ref="H81">_xlfn.LET(_xlpm.EVENT, _xlfn.XMATCH($A81,'Heat Sheet'!$A:$A), IF(ISNA(_xlpm.EVENT), "", _xlfn.LET(_xlpm.ADVANCE, INDEX('Heat Sheet'!$A:$I, _xlpm.EVENT, COLUMN()-1), IF(_xlpm.ADVANCE=0, "", _xlpm.ADVANCE))))</f>
        <v/>
      </c>
      <c r="I81" s="10" t="str" cm="1">
        <f t="array" ref="I81">_xlfn.LET(_xlpm.EVENT, _xlfn.XMATCH($A81,'Heat Sheet'!$A:$A), IF(ISNA(_xlpm.EVENT), "", _xlfn.LET(_xlpm.ADVANCE, INDEX('Heat Sheet'!$A:$I, _xlpm.EVENT, COLUMN()-1), IF(_xlpm.ADVANCE=0, "", _xlpm.ADVANCE))))</f>
        <v/>
      </c>
      <c r="J81" s="10" t="str" cm="1">
        <f t="array" ref="J81">_xlfn.LET(_xlpm.EVENT, _xlfn.XMATCH($A81,'Heat Sheet'!$A:$A), IF(ISNA(_xlpm.EVENT), "", _xlfn.LET(_xlpm.ADVANCE, INDEX('Heat Sheet'!$A:$I, _xlpm.EVENT, COLUMN()-1), IF(_xlpm.ADVANCE=0, "", _xlpm.ADVANCE))))</f>
        <v/>
      </c>
      <c r="K81" s="139" t="str" cm="1">
        <f t="array" ref="K81">_xlfn.LET(_xlpm.EVENT, _xlfn.XMATCH($A81,'Heat Sheet'!A:A), IF(ISNA(_xlpm.EVENT), "", _xlfn.LET(_xlpm.ADVANCE, INDEX('Heat Sheet'!$A:$I, _xlpm.EVENT+2, 3), IF(_xlpm.ADVANCE=0, "", _xlpm.ADVANCE))))</f>
        <v/>
      </c>
    </row>
    <row r="82" spans="1:11" ht="29.25" customHeight="1" x14ac:dyDescent="0.2">
      <c r="A82" s="137">
        <v>80</v>
      </c>
      <c r="B82" s="7" t="str">
        <f>IFERROR(TEXT(VLOOKUP(A82,'Heat Sheet'!$A:$I, 2, FALSE), "HH:mm"), "")</f>
        <v/>
      </c>
      <c r="C82" s="138"/>
      <c r="D82" s="10" t="str" cm="1">
        <f t="array" ref="D82">_xlfn.LET(_xlpm.EVENT, _xlfn.XMATCH($A82,'Heat Sheet'!A:A), IF(ISNA(_xlpm.EVENT), "", INDEX('Heat Sheet'!$A:$I, _xlpm.EVENT, 3)&amp;" "&amp;SUBSTITUTE(SUBSTITUTE(SUBSTITUTE(INDEX('Heat Sheet'!$A:$I, _xlpm.EVENT+1, 3), "Heat ", "H"), "Final", "F"), "Flight ", "F")))</f>
        <v/>
      </c>
      <c r="E82" s="10" t="str" cm="1">
        <f t="array" ref="E82">_xlfn.LET(_xlpm.EVENT, _xlfn.XMATCH($A82,'Heat Sheet'!$A:$A), IF(ISNA(_xlpm.EVENT), "", _xlfn.LET(_xlpm.ADVANCE, INDEX('Heat Sheet'!$A:$I, _xlpm.EVENT, COLUMN()-1), IF(_xlpm.ADVANCE=0, "", _xlpm.ADVANCE))))</f>
        <v/>
      </c>
      <c r="F82" s="10" t="str" cm="1">
        <f t="array" ref="F82">_xlfn.LET(_xlpm.EVENT, _xlfn.XMATCH($A82,'Heat Sheet'!$A:$A), IF(ISNA(_xlpm.EVENT), "", _xlfn.LET(_xlpm.ADVANCE, INDEX('Heat Sheet'!$A:$I, _xlpm.EVENT, COLUMN()-1), IF(_xlpm.ADVANCE=0, "", _xlpm.ADVANCE))))</f>
        <v/>
      </c>
      <c r="G82" s="10" t="str" cm="1">
        <f t="array" ref="G82">_xlfn.LET(_xlpm.EVENT, _xlfn.XMATCH($A82,'Heat Sheet'!$A:$A), IF(ISNA(_xlpm.EVENT), "", _xlfn.LET(_xlpm.ADVANCE, INDEX('Heat Sheet'!$A:$I, _xlpm.EVENT, COLUMN()-1), IF(_xlpm.ADVANCE=0, "", _xlpm.ADVANCE))))</f>
        <v/>
      </c>
      <c r="H82" s="10" t="str" cm="1">
        <f t="array" ref="H82">_xlfn.LET(_xlpm.EVENT, _xlfn.XMATCH($A82,'Heat Sheet'!$A:$A), IF(ISNA(_xlpm.EVENT), "", _xlfn.LET(_xlpm.ADVANCE, INDEX('Heat Sheet'!$A:$I, _xlpm.EVENT, COLUMN()-1), IF(_xlpm.ADVANCE=0, "", _xlpm.ADVANCE))))</f>
        <v/>
      </c>
      <c r="I82" s="10" t="str" cm="1">
        <f t="array" ref="I82">_xlfn.LET(_xlpm.EVENT, _xlfn.XMATCH($A82,'Heat Sheet'!$A:$A), IF(ISNA(_xlpm.EVENT), "", _xlfn.LET(_xlpm.ADVANCE, INDEX('Heat Sheet'!$A:$I, _xlpm.EVENT, COLUMN()-1), IF(_xlpm.ADVANCE=0, "", _xlpm.ADVANCE))))</f>
        <v/>
      </c>
      <c r="J82" s="10" t="str" cm="1">
        <f t="array" ref="J82">_xlfn.LET(_xlpm.EVENT, _xlfn.XMATCH($A82,'Heat Sheet'!$A:$A), IF(ISNA(_xlpm.EVENT), "", _xlfn.LET(_xlpm.ADVANCE, INDEX('Heat Sheet'!$A:$I, _xlpm.EVENT, COLUMN()-1), IF(_xlpm.ADVANCE=0, "", _xlpm.ADVANCE))))</f>
        <v/>
      </c>
      <c r="K82" s="139" t="str" cm="1">
        <f t="array" ref="K82">_xlfn.LET(_xlpm.EVENT, _xlfn.XMATCH($A82,'Heat Sheet'!A:A), IF(ISNA(_xlpm.EVENT), "", _xlfn.LET(_xlpm.ADVANCE, INDEX('Heat Sheet'!$A:$I, _xlpm.EVENT+2, 3), IF(_xlpm.ADVANCE=0, "", _xlpm.ADVANCE))))</f>
        <v/>
      </c>
    </row>
    <row r="83" spans="1:11" ht="29.25" customHeight="1" x14ac:dyDescent="0.2">
      <c r="A83" s="137">
        <v>81</v>
      </c>
      <c r="B83" s="7" t="str">
        <f>IFERROR(TEXT(VLOOKUP(A83,'Heat Sheet'!$A:$I, 2, FALSE), "HH:mm"), "")</f>
        <v/>
      </c>
      <c r="C83" s="138"/>
      <c r="D83" s="10" t="str" cm="1">
        <f t="array" ref="D83">_xlfn.LET(_xlpm.EVENT, _xlfn.XMATCH($A83,'Heat Sheet'!A:A), IF(ISNA(_xlpm.EVENT), "", INDEX('Heat Sheet'!$A:$I, _xlpm.EVENT, 3)&amp;" "&amp;SUBSTITUTE(SUBSTITUTE(SUBSTITUTE(INDEX('Heat Sheet'!$A:$I, _xlpm.EVENT+1, 3), "Heat ", "H"), "Final", "F"), "Flight ", "F")))</f>
        <v/>
      </c>
      <c r="E83" s="10" t="str" cm="1">
        <f t="array" ref="E83">_xlfn.LET(_xlpm.EVENT, _xlfn.XMATCH($A83,'Heat Sheet'!$A:$A), IF(ISNA(_xlpm.EVENT), "", _xlfn.LET(_xlpm.ADVANCE, INDEX('Heat Sheet'!$A:$I, _xlpm.EVENT, COLUMN()-1), IF(_xlpm.ADVANCE=0, "", _xlpm.ADVANCE))))</f>
        <v/>
      </c>
      <c r="F83" s="10" t="str" cm="1">
        <f t="array" ref="F83">_xlfn.LET(_xlpm.EVENT, _xlfn.XMATCH($A83,'Heat Sheet'!$A:$A), IF(ISNA(_xlpm.EVENT), "", _xlfn.LET(_xlpm.ADVANCE, INDEX('Heat Sheet'!$A:$I, _xlpm.EVENT, COLUMN()-1), IF(_xlpm.ADVANCE=0, "", _xlpm.ADVANCE))))</f>
        <v/>
      </c>
      <c r="G83" s="10" t="str" cm="1">
        <f t="array" ref="G83">_xlfn.LET(_xlpm.EVENT, _xlfn.XMATCH($A83,'Heat Sheet'!$A:$A), IF(ISNA(_xlpm.EVENT), "", _xlfn.LET(_xlpm.ADVANCE, INDEX('Heat Sheet'!$A:$I, _xlpm.EVENT, COLUMN()-1), IF(_xlpm.ADVANCE=0, "", _xlpm.ADVANCE))))</f>
        <v/>
      </c>
      <c r="H83" s="10" t="str" cm="1">
        <f t="array" ref="H83">_xlfn.LET(_xlpm.EVENT, _xlfn.XMATCH($A83,'Heat Sheet'!$A:$A), IF(ISNA(_xlpm.EVENT), "", _xlfn.LET(_xlpm.ADVANCE, INDEX('Heat Sheet'!$A:$I, _xlpm.EVENT, COLUMN()-1), IF(_xlpm.ADVANCE=0, "", _xlpm.ADVANCE))))</f>
        <v/>
      </c>
      <c r="I83" s="10" t="str" cm="1">
        <f t="array" ref="I83">_xlfn.LET(_xlpm.EVENT, _xlfn.XMATCH($A83,'Heat Sheet'!$A:$A), IF(ISNA(_xlpm.EVENT), "", _xlfn.LET(_xlpm.ADVANCE, INDEX('Heat Sheet'!$A:$I, _xlpm.EVENT, COLUMN()-1), IF(_xlpm.ADVANCE=0, "", _xlpm.ADVANCE))))</f>
        <v/>
      </c>
      <c r="J83" s="10" t="str" cm="1">
        <f t="array" ref="J83">_xlfn.LET(_xlpm.EVENT, _xlfn.XMATCH($A83,'Heat Sheet'!$A:$A), IF(ISNA(_xlpm.EVENT), "", _xlfn.LET(_xlpm.ADVANCE, INDEX('Heat Sheet'!$A:$I, _xlpm.EVENT, COLUMN()-1), IF(_xlpm.ADVANCE=0, "", _xlpm.ADVANCE))))</f>
        <v/>
      </c>
      <c r="K83" s="139" t="str" cm="1">
        <f t="array" ref="K83">_xlfn.LET(_xlpm.EVENT, _xlfn.XMATCH($A83,'Heat Sheet'!A:A), IF(ISNA(_xlpm.EVENT), "", _xlfn.LET(_xlpm.ADVANCE, INDEX('Heat Sheet'!$A:$I, _xlpm.EVENT+2, 3), IF(_xlpm.ADVANCE=0, "", _xlpm.ADVANCE))))</f>
        <v/>
      </c>
    </row>
    <row r="84" spans="1:11" ht="29.25" customHeight="1" x14ac:dyDescent="0.2">
      <c r="A84" s="137">
        <v>82</v>
      </c>
      <c r="B84" s="7" t="str">
        <f>IFERROR(TEXT(VLOOKUP(A84,'Heat Sheet'!$A:$I, 2, FALSE), "HH:mm"), "")</f>
        <v/>
      </c>
      <c r="C84" s="138"/>
      <c r="D84" s="10" t="str" cm="1">
        <f t="array" ref="D84">_xlfn.LET(_xlpm.EVENT, _xlfn.XMATCH($A84,'Heat Sheet'!A:A), IF(ISNA(_xlpm.EVENT), "", INDEX('Heat Sheet'!$A:$I, _xlpm.EVENT, 3)&amp;" "&amp;SUBSTITUTE(SUBSTITUTE(SUBSTITUTE(INDEX('Heat Sheet'!$A:$I, _xlpm.EVENT+1, 3), "Heat ", "H"), "Final", "F"), "Flight ", "F")))</f>
        <v/>
      </c>
      <c r="E84" s="10" t="str" cm="1">
        <f t="array" ref="E84">_xlfn.LET(_xlpm.EVENT, _xlfn.XMATCH($A84,'Heat Sheet'!$A:$A), IF(ISNA(_xlpm.EVENT), "", _xlfn.LET(_xlpm.ADVANCE, INDEX('Heat Sheet'!$A:$I, _xlpm.EVENT, COLUMN()-1), IF(_xlpm.ADVANCE=0, "", _xlpm.ADVANCE))))</f>
        <v/>
      </c>
      <c r="F84" s="10" t="str" cm="1">
        <f t="array" ref="F84">_xlfn.LET(_xlpm.EVENT, _xlfn.XMATCH($A84,'Heat Sheet'!$A:$A), IF(ISNA(_xlpm.EVENT), "", _xlfn.LET(_xlpm.ADVANCE, INDEX('Heat Sheet'!$A:$I, _xlpm.EVENT, COLUMN()-1), IF(_xlpm.ADVANCE=0, "", _xlpm.ADVANCE))))</f>
        <v/>
      </c>
      <c r="G84" s="10" t="str" cm="1">
        <f t="array" ref="G84">_xlfn.LET(_xlpm.EVENT, _xlfn.XMATCH($A84,'Heat Sheet'!$A:$A), IF(ISNA(_xlpm.EVENT), "", _xlfn.LET(_xlpm.ADVANCE, INDEX('Heat Sheet'!$A:$I, _xlpm.EVENT, COLUMN()-1), IF(_xlpm.ADVANCE=0, "", _xlpm.ADVANCE))))</f>
        <v/>
      </c>
      <c r="H84" s="10" t="str" cm="1">
        <f t="array" ref="H84">_xlfn.LET(_xlpm.EVENT, _xlfn.XMATCH($A84,'Heat Sheet'!$A:$A), IF(ISNA(_xlpm.EVENT), "", _xlfn.LET(_xlpm.ADVANCE, INDEX('Heat Sheet'!$A:$I, _xlpm.EVENT, COLUMN()-1), IF(_xlpm.ADVANCE=0, "", _xlpm.ADVANCE))))</f>
        <v/>
      </c>
      <c r="I84" s="10" t="str" cm="1">
        <f t="array" ref="I84">_xlfn.LET(_xlpm.EVENT, _xlfn.XMATCH($A84,'Heat Sheet'!$A:$A), IF(ISNA(_xlpm.EVENT), "", _xlfn.LET(_xlpm.ADVANCE, INDEX('Heat Sheet'!$A:$I, _xlpm.EVENT, COLUMN()-1), IF(_xlpm.ADVANCE=0, "", _xlpm.ADVANCE))))</f>
        <v/>
      </c>
      <c r="J84" s="10" t="str" cm="1">
        <f t="array" ref="J84">_xlfn.LET(_xlpm.EVENT, _xlfn.XMATCH($A84,'Heat Sheet'!$A:$A), IF(ISNA(_xlpm.EVENT), "", _xlfn.LET(_xlpm.ADVANCE, INDEX('Heat Sheet'!$A:$I, _xlpm.EVENT, COLUMN()-1), IF(_xlpm.ADVANCE=0, "", _xlpm.ADVANCE))))</f>
        <v/>
      </c>
      <c r="K84" s="139" t="str" cm="1">
        <f t="array" ref="K84">_xlfn.LET(_xlpm.EVENT, _xlfn.XMATCH($A84,'Heat Sheet'!A:A), IF(ISNA(_xlpm.EVENT), "", _xlfn.LET(_xlpm.ADVANCE, INDEX('Heat Sheet'!$A:$I, _xlpm.EVENT+2, 3), IF(_xlpm.ADVANCE=0, "", _xlpm.ADVANCE))))</f>
        <v/>
      </c>
    </row>
    <row r="85" spans="1:11" ht="29.25" customHeight="1" x14ac:dyDescent="0.2">
      <c r="A85" s="137">
        <v>83</v>
      </c>
      <c r="B85" s="7" t="str">
        <f>IFERROR(TEXT(VLOOKUP(A85,'Heat Sheet'!$A:$I, 2, FALSE), "HH:mm"), "")</f>
        <v/>
      </c>
      <c r="C85" s="138"/>
      <c r="D85" s="10" t="str" cm="1">
        <f t="array" ref="D85">_xlfn.LET(_xlpm.EVENT, _xlfn.XMATCH($A85,'Heat Sheet'!A:A), IF(ISNA(_xlpm.EVENT), "", INDEX('Heat Sheet'!$A:$I, _xlpm.EVENT, 3)&amp;" "&amp;SUBSTITUTE(SUBSTITUTE(SUBSTITUTE(INDEX('Heat Sheet'!$A:$I, _xlpm.EVENT+1, 3), "Heat ", "H"), "Final", "F"), "Flight ", "F")))</f>
        <v/>
      </c>
      <c r="E85" s="10" t="str" cm="1">
        <f t="array" ref="E85">_xlfn.LET(_xlpm.EVENT, _xlfn.XMATCH($A85,'Heat Sheet'!$A:$A), IF(ISNA(_xlpm.EVENT), "", _xlfn.LET(_xlpm.ADVANCE, INDEX('Heat Sheet'!$A:$I, _xlpm.EVENT, COLUMN()-1), IF(_xlpm.ADVANCE=0, "", _xlpm.ADVANCE))))</f>
        <v/>
      </c>
      <c r="F85" s="10" t="str" cm="1">
        <f t="array" ref="F85">_xlfn.LET(_xlpm.EVENT, _xlfn.XMATCH($A85,'Heat Sheet'!$A:$A), IF(ISNA(_xlpm.EVENT), "", _xlfn.LET(_xlpm.ADVANCE, INDEX('Heat Sheet'!$A:$I, _xlpm.EVENT, COLUMN()-1), IF(_xlpm.ADVANCE=0, "", _xlpm.ADVANCE))))</f>
        <v/>
      </c>
      <c r="G85" s="10" t="str" cm="1">
        <f t="array" ref="G85">_xlfn.LET(_xlpm.EVENT, _xlfn.XMATCH($A85,'Heat Sheet'!$A:$A), IF(ISNA(_xlpm.EVENT), "", _xlfn.LET(_xlpm.ADVANCE, INDEX('Heat Sheet'!$A:$I, _xlpm.EVENT, COLUMN()-1), IF(_xlpm.ADVANCE=0, "", _xlpm.ADVANCE))))</f>
        <v/>
      </c>
      <c r="H85" s="10" t="str" cm="1">
        <f t="array" ref="H85">_xlfn.LET(_xlpm.EVENT, _xlfn.XMATCH($A85,'Heat Sheet'!$A:$A), IF(ISNA(_xlpm.EVENT), "", _xlfn.LET(_xlpm.ADVANCE, INDEX('Heat Sheet'!$A:$I, _xlpm.EVENT, COLUMN()-1), IF(_xlpm.ADVANCE=0, "", _xlpm.ADVANCE))))</f>
        <v/>
      </c>
      <c r="I85" s="10" t="str" cm="1">
        <f t="array" ref="I85">_xlfn.LET(_xlpm.EVENT, _xlfn.XMATCH($A85,'Heat Sheet'!$A:$A), IF(ISNA(_xlpm.EVENT), "", _xlfn.LET(_xlpm.ADVANCE, INDEX('Heat Sheet'!$A:$I, _xlpm.EVENT, COLUMN()-1), IF(_xlpm.ADVANCE=0, "", _xlpm.ADVANCE))))</f>
        <v/>
      </c>
      <c r="J85" s="10" t="str" cm="1">
        <f t="array" ref="J85">_xlfn.LET(_xlpm.EVENT, _xlfn.XMATCH($A85,'Heat Sheet'!$A:$A), IF(ISNA(_xlpm.EVENT), "", _xlfn.LET(_xlpm.ADVANCE, INDEX('Heat Sheet'!$A:$I, _xlpm.EVENT, COLUMN()-1), IF(_xlpm.ADVANCE=0, "", _xlpm.ADVANCE))))</f>
        <v/>
      </c>
      <c r="K85" s="139" t="str" cm="1">
        <f t="array" ref="K85">_xlfn.LET(_xlpm.EVENT, _xlfn.XMATCH($A85,'Heat Sheet'!A:A), IF(ISNA(_xlpm.EVENT), "", _xlfn.LET(_xlpm.ADVANCE, INDEX('Heat Sheet'!$A:$I, _xlpm.EVENT+2, 3), IF(_xlpm.ADVANCE=0, "", _xlpm.ADVANCE))))</f>
        <v/>
      </c>
    </row>
    <row r="86" spans="1:11" ht="29.25" customHeight="1" x14ac:dyDescent="0.2">
      <c r="A86" s="137">
        <v>84</v>
      </c>
      <c r="B86" s="7" t="str">
        <f>IFERROR(TEXT(VLOOKUP(A86,'Heat Sheet'!$A:$I, 2, FALSE), "HH:mm"), "")</f>
        <v/>
      </c>
      <c r="C86" s="138"/>
      <c r="D86" s="10" t="str" cm="1">
        <f t="array" ref="D86">_xlfn.LET(_xlpm.EVENT, _xlfn.XMATCH($A86,'Heat Sheet'!A:A), IF(ISNA(_xlpm.EVENT), "", INDEX('Heat Sheet'!$A:$I, _xlpm.EVENT, 3)&amp;" "&amp;SUBSTITUTE(SUBSTITUTE(SUBSTITUTE(INDEX('Heat Sheet'!$A:$I, _xlpm.EVENT+1, 3), "Heat ", "H"), "Final", "F"), "Flight ", "F")))</f>
        <v/>
      </c>
      <c r="E86" s="10" t="str" cm="1">
        <f t="array" ref="E86">_xlfn.LET(_xlpm.EVENT, _xlfn.XMATCH($A86,'Heat Sheet'!$A:$A), IF(ISNA(_xlpm.EVENT), "", _xlfn.LET(_xlpm.ADVANCE, INDEX('Heat Sheet'!$A:$I, _xlpm.EVENT, COLUMN()-1), IF(_xlpm.ADVANCE=0, "", _xlpm.ADVANCE))))</f>
        <v/>
      </c>
      <c r="F86" s="10" t="str" cm="1">
        <f t="array" ref="F86">_xlfn.LET(_xlpm.EVENT, _xlfn.XMATCH($A86,'Heat Sheet'!$A:$A), IF(ISNA(_xlpm.EVENT), "", _xlfn.LET(_xlpm.ADVANCE, INDEX('Heat Sheet'!$A:$I, _xlpm.EVENT, COLUMN()-1), IF(_xlpm.ADVANCE=0, "", _xlpm.ADVANCE))))</f>
        <v/>
      </c>
      <c r="G86" s="10" t="str" cm="1">
        <f t="array" ref="G86">_xlfn.LET(_xlpm.EVENT, _xlfn.XMATCH($A86,'Heat Sheet'!$A:$A), IF(ISNA(_xlpm.EVENT), "", _xlfn.LET(_xlpm.ADVANCE, INDEX('Heat Sheet'!$A:$I, _xlpm.EVENT, COLUMN()-1), IF(_xlpm.ADVANCE=0, "", _xlpm.ADVANCE))))</f>
        <v/>
      </c>
      <c r="H86" s="10" t="str" cm="1">
        <f t="array" ref="H86">_xlfn.LET(_xlpm.EVENT, _xlfn.XMATCH($A86,'Heat Sheet'!$A:$A), IF(ISNA(_xlpm.EVENT), "", _xlfn.LET(_xlpm.ADVANCE, INDEX('Heat Sheet'!$A:$I, _xlpm.EVENT, COLUMN()-1), IF(_xlpm.ADVANCE=0, "", _xlpm.ADVANCE))))</f>
        <v/>
      </c>
      <c r="I86" s="10" t="str" cm="1">
        <f t="array" ref="I86">_xlfn.LET(_xlpm.EVENT, _xlfn.XMATCH($A86,'Heat Sheet'!$A:$A), IF(ISNA(_xlpm.EVENT), "", _xlfn.LET(_xlpm.ADVANCE, INDEX('Heat Sheet'!$A:$I, _xlpm.EVENT, COLUMN()-1), IF(_xlpm.ADVANCE=0, "", _xlpm.ADVANCE))))</f>
        <v/>
      </c>
      <c r="J86" s="10" t="str" cm="1">
        <f t="array" ref="J86">_xlfn.LET(_xlpm.EVENT, _xlfn.XMATCH($A86,'Heat Sheet'!$A:$A), IF(ISNA(_xlpm.EVENT), "", _xlfn.LET(_xlpm.ADVANCE, INDEX('Heat Sheet'!$A:$I, _xlpm.EVENT, COLUMN()-1), IF(_xlpm.ADVANCE=0, "", _xlpm.ADVANCE))))</f>
        <v/>
      </c>
      <c r="K86" s="139" t="str" cm="1">
        <f t="array" ref="K86">_xlfn.LET(_xlpm.EVENT, _xlfn.XMATCH($A86,'Heat Sheet'!A:A), IF(ISNA(_xlpm.EVENT), "", _xlfn.LET(_xlpm.ADVANCE, INDEX('Heat Sheet'!$A:$I, _xlpm.EVENT+2, 3), IF(_xlpm.ADVANCE=0, "", _xlpm.ADVANCE))))</f>
        <v/>
      </c>
    </row>
    <row r="87" spans="1:11" ht="29.25" customHeight="1" x14ac:dyDescent="0.2">
      <c r="A87" s="137">
        <v>85</v>
      </c>
      <c r="B87" s="7" t="str">
        <f>IFERROR(TEXT(VLOOKUP(A87,'Heat Sheet'!$A:$I, 2, FALSE), "HH:mm"), "")</f>
        <v/>
      </c>
      <c r="C87" s="138"/>
      <c r="D87" s="10" t="str" cm="1">
        <f t="array" ref="D87">_xlfn.LET(_xlpm.EVENT, _xlfn.XMATCH($A87,'Heat Sheet'!A:A), IF(ISNA(_xlpm.EVENT), "", INDEX('Heat Sheet'!$A:$I, _xlpm.EVENT, 3)&amp;" "&amp;SUBSTITUTE(SUBSTITUTE(SUBSTITUTE(INDEX('Heat Sheet'!$A:$I, _xlpm.EVENT+1, 3), "Heat ", "H"), "Final", "F"), "Flight ", "F")))</f>
        <v/>
      </c>
      <c r="E87" s="10" t="str" cm="1">
        <f t="array" ref="E87">_xlfn.LET(_xlpm.EVENT, _xlfn.XMATCH($A87,'Heat Sheet'!$A:$A), IF(ISNA(_xlpm.EVENT), "", _xlfn.LET(_xlpm.ADVANCE, INDEX('Heat Sheet'!$A:$I, _xlpm.EVENT, COLUMN()-1), IF(_xlpm.ADVANCE=0, "", _xlpm.ADVANCE))))</f>
        <v/>
      </c>
      <c r="F87" s="10" t="str" cm="1">
        <f t="array" ref="F87">_xlfn.LET(_xlpm.EVENT, _xlfn.XMATCH($A87,'Heat Sheet'!$A:$A), IF(ISNA(_xlpm.EVENT), "", _xlfn.LET(_xlpm.ADVANCE, INDEX('Heat Sheet'!$A:$I, _xlpm.EVENT, COLUMN()-1), IF(_xlpm.ADVANCE=0, "", _xlpm.ADVANCE))))</f>
        <v/>
      </c>
      <c r="G87" s="10" t="str" cm="1">
        <f t="array" ref="G87">_xlfn.LET(_xlpm.EVENT, _xlfn.XMATCH($A87,'Heat Sheet'!$A:$A), IF(ISNA(_xlpm.EVENT), "", _xlfn.LET(_xlpm.ADVANCE, INDEX('Heat Sheet'!$A:$I, _xlpm.EVENT, COLUMN()-1), IF(_xlpm.ADVANCE=0, "", _xlpm.ADVANCE))))</f>
        <v/>
      </c>
      <c r="H87" s="10" t="str" cm="1">
        <f t="array" ref="H87">_xlfn.LET(_xlpm.EVENT, _xlfn.XMATCH($A87,'Heat Sheet'!$A:$A), IF(ISNA(_xlpm.EVENT), "", _xlfn.LET(_xlpm.ADVANCE, INDEX('Heat Sheet'!$A:$I, _xlpm.EVENT, COLUMN()-1), IF(_xlpm.ADVANCE=0, "", _xlpm.ADVANCE))))</f>
        <v/>
      </c>
      <c r="I87" s="10" t="str" cm="1">
        <f t="array" ref="I87">_xlfn.LET(_xlpm.EVENT, _xlfn.XMATCH($A87,'Heat Sheet'!$A:$A), IF(ISNA(_xlpm.EVENT), "", _xlfn.LET(_xlpm.ADVANCE, INDEX('Heat Sheet'!$A:$I, _xlpm.EVENT, COLUMN()-1), IF(_xlpm.ADVANCE=0, "", _xlpm.ADVANCE))))</f>
        <v/>
      </c>
      <c r="J87" s="10" t="str" cm="1">
        <f t="array" ref="J87">_xlfn.LET(_xlpm.EVENT, _xlfn.XMATCH($A87,'Heat Sheet'!$A:$A), IF(ISNA(_xlpm.EVENT), "", _xlfn.LET(_xlpm.ADVANCE, INDEX('Heat Sheet'!$A:$I, _xlpm.EVENT, COLUMN()-1), IF(_xlpm.ADVANCE=0, "", _xlpm.ADVANCE))))</f>
        <v/>
      </c>
      <c r="K87" s="139" t="str" cm="1">
        <f t="array" ref="K87">_xlfn.LET(_xlpm.EVENT, _xlfn.XMATCH($A87,'Heat Sheet'!A:A), IF(ISNA(_xlpm.EVENT), "", _xlfn.LET(_xlpm.ADVANCE, INDEX('Heat Sheet'!$A:$I, _xlpm.EVENT+2, 3), IF(_xlpm.ADVANCE=0, "", _xlpm.ADVANCE))))</f>
        <v/>
      </c>
    </row>
    <row r="88" spans="1:11" ht="29.25" customHeight="1" x14ac:dyDescent="0.2">
      <c r="A88" s="137">
        <v>86</v>
      </c>
      <c r="B88" s="7" t="str">
        <f>IFERROR(TEXT(VLOOKUP(A88,'Heat Sheet'!$A:$I, 2, FALSE), "HH:mm"), "")</f>
        <v/>
      </c>
      <c r="C88" s="138"/>
      <c r="D88" s="10" t="str" cm="1">
        <f t="array" ref="D88">_xlfn.LET(_xlpm.EVENT, _xlfn.XMATCH($A88,'Heat Sheet'!A:A), IF(ISNA(_xlpm.EVENT), "", INDEX('Heat Sheet'!$A:$I, _xlpm.EVENT, 3)&amp;" "&amp;SUBSTITUTE(SUBSTITUTE(SUBSTITUTE(INDEX('Heat Sheet'!$A:$I, _xlpm.EVENT+1, 3), "Heat ", "H"), "Final", "F"), "Flight ", "F")))</f>
        <v/>
      </c>
      <c r="E88" s="10" t="str" cm="1">
        <f t="array" ref="E88">_xlfn.LET(_xlpm.EVENT, _xlfn.XMATCH($A88,'Heat Sheet'!$A:$A), IF(ISNA(_xlpm.EVENT), "", _xlfn.LET(_xlpm.ADVANCE, INDEX('Heat Sheet'!$A:$I, _xlpm.EVENT, COLUMN()-1), IF(_xlpm.ADVANCE=0, "", _xlpm.ADVANCE))))</f>
        <v/>
      </c>
      <c r="F88" s="10" t="str" cm="1">
        <f t="array" ref="F88">_xlfn.LET(_xlpm.EVENT, _xlfn.XMATCH($A88,'Heat Sheet'!$A:$A), IF(ISNA(_xlpm.EVENT), "", _xlfn.LET(_xlpm.ADVANCE, INDEX('Heat Sheet'!$A:$I, _xlpm.EVENT, COLUMN()-1), IF(_xlpm.ADVANCE=0, "", _xlpm.ADVANCE))))</f>
        <v/>
      </c>
      <c r="G88" s="10" t="str" cm="1">
        <f t="array" ref="G88">_xlfn.LET(_xlpm.EVENT, _xlfn.XMATCH($A88,'Heat Sheet'!$A:$A), IF(ISNA(_xlpm.EVENT), "", _xlfn.LET(_xlpm.ADVANCE, INDEX('Heat Sheet'!$A:$I, _xlpm.EVENT, COLUMN()-1), IF(_xlpm.ADVANCE=0, "", _xlpm.ADVANCE))))</f>
        <v/>
      </c>
      <c r="H88" s="10" t="str" cm="1">
        <f t="array" ref="H88">_xlfn.LET(_xlpm.EVENT, _xlfn.XMATCH($A88,'Heat Sheet'!$A:$A), IF(ISNA(_xlpm.EVENT), "", _xlfn.LET(_xlpm.ADVANCE, INDEX('Heat Sheet'!$A:$I, _xlpm.EVENT, COLUMN()-1), IF(_xlpm.ADVANCE=0, "", _xlpm.ADVANCE))))</f>
        <v/>
      </c>
      <c r="I88" s="10" t="str" cm="1">
        <f t="array" ref="I88">_xlfn.LET(_xlpm.EVENT, _xlfn.XMATCH($A88,'Heat Sheet'!$A:$A), IF(ISNA(_xlpm.EVENT), "", _xlfn.LET(_xlpm.ADVANCE, INDEX('Heat Sheet'!$A:$I, _xlpm.EVENT, COLUMN()-1), IF(_xlpm.ADVANCE=0, "", _xlpm.ADVANCE))))</f>
        <v/>
      </c>
      <c r="J88" s="10" t="str" cm="1">
        <f t="array" ref="J88">_xlfn.LET(_xlpm.EVENT, _xlfn.XMATCH($A88,'Heat Sheet'!$A:$A), IF(ISNA(_xlpm.EVENT), "", _xlfn.LET(_xlpm.ADVANCE, INDEX('Heat Sheet'!$A:$I, _xlpm.EVENT, COLUMN()-1), IF(_xlpm.ADVANCE=0, "", _xlpm.ADVANCE))))</f>
        <v/>
      </c>
      <c r="K88" s="139" t="str" cm="1">
        <f t="array" ref="K88">_xlfn.LET(_xlpm.EVENT, _xlfn.XMATCH($A88,'Heat Sheet'!A:A), IF(ISNA(_xlpm.EVENT), "", _xlfn.LET(_xlpm.ADVANCE, INDEX('Heat Sheet'!$A:$I, _xlpm.EVENT+2, 3), IF(_xlpm.ADVANCE=0, "", _xlpm.ADVANCE))))</f>
        <v/>
      </c>
    </row>
    <row r="89" spans="1:11" ht="29.25" customHeight="1" x14ac:dyDescent="0.2">
      <c r="A89" s="137">
        <v>87</v>
      </c>
      <c r="B89" s="7" t="str">
        <f>IFERROR(TEXT(VLOOKUP(A89,'Heat Sheet'!$A:$I, 2, FALSE), "HH:mm"), "")</f>
        <v/>
      </c>
      <c r="C89" s="138"/>
      <c r="D89" s="10" t="str" cm="1">
        <f t="array" ref="D89">_xlfn.LET(_xlpm.EVENT, _xlfn.XMATCH($A89,'Heat Sheet'!A:A), IF(ISNA(_xlpm.EVENT), "", INDEX('Heat Sheet'!$A:$I, _xlpm.EVENT, 3)&amp;" "&amp;SUBSTITUTE(SUBSTITUTE(SUBSTITUTE(INDEX('Heat Sheet'!$A:$I, _xlpm.EVENT+1, 3), "Heat ", "H"), "Final", "F"), "Flight ", "F")))</f>
        <v/>
      </c>
      <c r="E89" s="10" t="str" cm="1">
        <f t="array" ref="E89">_xlfn.LET(_xlpm.EVENT, _xlfn.XMATCH($A89,'Heat Sheet'!$A:$A), IF(ISNA(_xlpm.EVENT), "", _xlfn.LET(_xlpm.ADVANCE, INDEX('Heat Sheet'!$A:$I, _xlpm.EVENT, COLUMN()-1), IF(_xlpm.ADVANCE=0, "", _xlpm.ADVANCE))))</f>
        <v/>
      </c>
      <c r="F89" s="10" t="str" cm="1">
        <f t="array" ref="F89">_xlfn.LET(_xlpm.EVENT, _xlfn.XMATCH($A89,'Heat Sheet'!$A:$A), IF(ISNA(_xlpm.EVENT), "", _xlfn.LET(_xlpm.ADVANCE, INDEX('Heat Sheet'!$A:$I, _xlpm.EVENT, COLUMN()-1), IF(_xlpm.ADVANCE=0, "", _xlpm.ADVANCE))))</f>
        <v/>
      </c>
      <c r="G89" s="10" t="str" cm="1">
        <f t="array" ref="G89">_xlfn.LET(_xlpm.EVENT, _xlfn.XMATCH($A89,'Heat Sheet'!$A:$A), IF(ISNA(_xlpm.EVENT), "", _xlfn.LET(_xlpm.ADVANCE, INDEX('Heat Sheet'!$A:$I, _xlpm.EVENT, COLUMN()-1), IF(_xlpm.ADVANCE=0, "", _xlpm.ADVANCE))))</f>
        <v/>
      </c>
      <c r="H89" s="10" t="str" cm="1">
        <f t="array" ref="H89">_xlfn.LET(_xlpm.EVENT, _xlfn.XMATCH($A89,'Heat Sheet'!$A:$A), IF(ISNA(_xlpm.EVENT), "", _xlfn.LET(_xlpm.ADVANCE, INDEX('Heat Sheet'!$A:$I, _xlpm.EVENT, COLUMN()-1), IF(_xlpm.ADVANCE=0, "", _xlpm.ADVANCE))))</f>
        <v/>
      </c>
      <c r="I89" s="10" t="str" cm="1">
        <f t="array" ref="I89">_xlfn.LET(_xlpm.EVENT, _xlfn.XMATCH($A89,'Heat Sheet'!$A:$A), IF(ISNA(_xlpm.EVENT), "", _xlfn.LET(_xlpm.ADVANCE, INDEX('Heat Sheet'!$A:$I, _xlpm.EVENT, COLUMN()-1), IF(_xlpm.ADVANCE=0, "", _xlpm.ADVANCE))))</f>
        <v/>
      </c>
      <c r="J89" s="10" t="str" cm="1">
        <f t="array" ref="J89">_xlfn.LET(_xlpm.EVENT, _xlfn.XMATCH($A89,'Heat Sheet'!$A:$A), IF(ISNA(_xlpm.EVENT), "", _xlfn.LET(_xlpm.ADVANCE, INDEX('Heat Sheet'!$A:$I, _xlpm.EVENT, COLUMN()-1), IF(_xlpm.ADVANCE=0, "", _xlpm.ADVANCE))))</f>
        <v/>
      </c>
      <c r="K89" s="139" t="str" cm="1">
        <f t="array" ref="K89">_xlfn.LET(_xlpm.EVENT, _xlfn.XMATCH($A89,'Heat Sheet'!A:A), IF(ISNA(_xlpm.EVENT), "", _xlfn.LET(_xlpm.ADVANCE, INDEX('Heat Sheet'!$A:$I, _xlpm.EVENT+2, 3), IF(_xlpm.ADVANCE=0, "", _xlpm.ADVANCE))))</f>
        <v/>
      </c>
    </row>
    <row r="90" spans="1:11" ht="29.25" customHeight="1" x14ac:dyDescent="0.2">
      <c r="A90" s="137">
        <v>88</v>
      </c>
      <c r="B90" s="7" t="str">
        <f>IFERROR(TEXT(VLOOKUP(A90,'Heat Sheet'!$A:$I, 2, FALSE), "HH:mm"), "")</f>
        <v/>
      </c>
      <c r="C90" s="138"/>
      <c r="D90" s="10" t="str" cm="1">
        <f t="array" ref="D90">_xlfn.LET(_xlpm.EVENT, _xlfn.XMATCH($A90,'Heat Sheet'!A:A), IF(ISNA(_xlpm.EVENT), "", INDEX('Heat Sheet'!$A:$I, _xlpm.EVENT, 3)&amp;" "&amp;SUBSTITUTE(SUBSTITUTE(SUBSTITUTE(INDEX('Heat Sheet'!$A:$I, _xlpm.EVENT+1, 3), "Heat ", "H"), "Final", "F"), "Flight ", "F")))</f>
        <v/>
      </c>
      <c r="E90" s="10" t="str" cm="1">
        <f t="array" ref="E90">_xlfn.LET(_xlpm.EVENT, _xlfn.XMATCH($A90,'Heat Sheet'!$A:$A), IF(ISNA(_xlpm.EVENT), "", _xlfn.LET(_xlpm.ADVANCE, INDEX('Heat Sheet'!$A:$I, _xlpm.EVENT, COLUMN()-1), IF(_xlpm.ADVANCE=0, "", _xlpm.ADVANCE))))</f>
        <v/>
      </c>
      <c r="F90" s="10" t="str" cm="1">
        <f t="array" ref="F90">_xlfn.LET(_xlpm.EVENT, _xlfn.XMATCH($A90,'Heat Sheet'!$A:$A), IF(ISNA(_xlpm.EVENT), "", _xlfn.LET(_xlpm.ADVANCE, INDEX('Heat Sheet'!$A:$I, _xlpm.EVENT, COLUMN()-1), IF(_xlpm.ADVANCE=0, "", _xlpm.ADVANCE))))</f>
        <v/>
      </c>
      <c r="G90" s="10" t="str" cm="1">
        <f t="array" ref="G90">_xlfn.LET(_xlpm.EVENT, _xlfn.XMATCH($A90,'Heat Sheet'!$A:$A), IF(ISNA(_xlpm.EVENT), "", _xlfn.LET(_xlpm.ADVANCE, INDEX('Heat Sheet'!$A:$I, _xlpm.EVENT, COLUMN()-1), IF(_xlpm.ADVANCE=0, "", _xlpm.ADVANCE))))</f>
        <v/>
      </c>
      <c r="H90" s="10" t="str" cm="1">
        <f t="array" ref="H90">_xlfn.LET(_xlpm.EVENT, _xlfn.XMATCH($A90,'Heat Sheet'!$A:$A), IF(ISNA(_xlpm.EVENT), "", _xlfn.LET(_xlpm.ADVANCE, INDEX('Heat Sheet'!$A:$I, _xlpm.EVENT, COLUMN()-1), IF(_xlpm.ADVANCE=0, "", _xlpm.ADVANCE))))</f>
        <v/>
      </c>
      <c r="I90" s="10" t="str" cm="1">
        <f t="array" ref="I90">_xlfn.LET(_xlpm.EVENT, _xlfn.XMATCH($A90,'Heat Sheet'!$A:$A), IF(ISNA(_xlpm.EVENT), "", _xlfn.LET(_xlpm.ADVANCE, INDEX('Heat Sheet'!$A:$I, _xlpm.EVENT, COLUMN()-1), IF(_xlpm.ADVANCE=0, "", _xlpm.ADVANCE))))</f>
        <v/>
      </c>
      <c r="J90" s="10" t="str" cm="1">
        <f t="array" ref="J90">_xlfn.LET(_xlpm.EVENT, _xlfn.XMATCH($A90,'Heat Sheet'!$A:$A), IF(ISNA(_xlpm.EVENT), "", _xlfn.LET(_xlpm.ADVANCE, INDEX('Heat Sheet'!$A:$I, _xlpm.EVENT, COLUMN()-1), IF(_xlpm.ADVANCE=0, "", _xlpm.ADVANCE))))</f>
        <v/>
      </c>
      <c r="K90" s="139" t="str" cm="1">
        <f t="array" ref="K90">_xlfn.LET(_xlpm.EVENT, _xlfn.XMATCH($A90,'Heat Sheet'!A:A), IF(ISNA(_xlpm.EVENT), "", _xlfn.LET(_xlpm.ADVANCE, INDEX('Heat Sheet'!$A:$I, _xlpm.EVENT+2, 3), IF(_xlpm.ADVANCE=0, "", _xlpm.ADVANCE))))</f>
        <v/>
      </c>
    </row>
    <row r="91" spans="1:11" ht="29.25" customHeight="1" x14ac:dyDescent="0.2">
      <c r="A91" s="137">
        <v>89</v>
      </c>
      <c r="B91" s="7" t="str">
        <f>IFERROR(TEXT(VLOOKUP(A91,'Heat Sheet'!$A:$I, 2, FALSE), "HH:mm"), "")</f>
        <v/>
      </c>
      <c r="C91" s="138"/>
      <c r="D91" s="10" t="str" cm="1">
        <f t="array" ref="D91">_xlfn.LET(_xlpm.EVENT, _xlfn.XMATCH($A91,'Heat Sheet'!A:A), IF(ISNA(_xlpm.EVENT), "", INDEX('Heat Sheet'!$A:$I, _xlpm.EVENT, 3)&amp;" "&amp;SUBSTITUTE(SUBSTITUTE(SUBSTITUTE(INDEX('Heat Sheet'!$A:$I, _xlpm.EVENT+1, 3), "Heat ", "H"), "Final", "F"), "Flight ", "F")))</f>
        <v/>
      </c>
      <c r="E91" s="10" t="str" cm="1">
        <f t="array" ref="E91">_xlfn.LET(_xlpm.EVENT, _xlfn.XMATCH($A91,'Heat Sheet'!$A:$A), IF(ISNA(_xlpm.EVENT), "", _xlfn.LET(_xlpm.ADVANCE, INDEX('Heat Sheet'!$A:$I, _xlpm.EVENT, COLUMN()-1), IF(_xlpm.ADVANCE=0, "", _xlpm.ADVANCE))))</f>
        <v/>
      </c>
      <c r="F91" s="10" t="str" cm="1">
        <f t="array" ref="F91">_xlfn.LET(_xlpm.EVENT, _xlfn.XMATCH($A91,'Heat Sheet'!$A:$A), IF(ISNA(_xlpm.EVENT), "", _xlfn.LET(_xlpm.ADVANCE, INDEX('Heat Sheet'!$A:$I, _xlpm.EVENT, COLUMN()-1), IF(_xlpm.ADVANCE=0, "", _xlpm.ADVANCE))))</f>
        <v/>
      </c>
      <c r="G91" s="10" t="str" cm="1">
        <f t="array" ref="G91">_xlfn.LET(_xlpm.EVENT, _xlfn.XMATCH($A91,'Heat Sheet'!$A:$A), IF(ISNA(_xlpm.EVENT), "", _xlfn.LET(_xlpm.ADVANCE, INDEX('Heat Sheet'!$A:$I, _xlpm.EVENT, COLUMN()-1), IF(_xlpm.ADVANCE=0, "", _xlpm.ADVANCE))))</f>
        <v/>
      </c>
      <c r="H91" s="10" t="str" cm="1">
        <f t="array" ref="H91">_xlfn.LET(_xlpm.EVENT, _xlfn.XMATCH($A91,'Heat Sheet'!$A:$A), IF(ISNA(_xlpm.EVENT), "", _xlfn.LET(_xlpm.ADVANCE, INDEX('Heat Sheet'!$A:$I, _xlpm.EVENT, COLUMN()-1), IF(_xlpm.ADVANCE=0, "", _xlpm.ADVANCE))))</f>
        <v/>
      </c>
      <c r="I91" s="10" t="str" cm="1">
        <f t="array" ref="I91">_xlfn.LET(_xlpm.EVENT, _xlfn.XMATCH($A91,'Heat Sheet'!$A:$A), IF(ISNA(_xlpm.EVENT), "", _xlfn.LET(_xlpm.ADVANCE, INDEX('Heat Sheet'!$A:$I, _xlpm.EVENT, COLUMN()-1), IF(_xlpm.ADVANCE=0, "", _xlpm.ADVANCE))))</f>
        <v/>
      </c>
      <c r="J91" s="10" t="str" cm="1">
        <f t="array" ref="J91">_xlfn.LET(_xlpm.EVENT, _xlfn.XMATCH($A91,'Heat Sheet'!$A:$A), IF(ISNA(_xlpm.EVENT), "", _xlfn.LET(_xlpm.ADVANCE, INDEX('Heat Sheet'!$A:$I, _xlpm.EVENT, COLUMN()-1), IF(_xlpm.ADVANCE=0, "", _xlpm.ADVANCE))))</f>
        <v/>
      </c>
      <c r="K91" s="139" t="str" cm="1">
        <f t="array" ref="K91">_xlfn.LET(_xlpm.EVENT, _xlfn.XMATCH($A91,'Heat Sheet'!A:A), IF(ISNA(_xlpm.EVENT), "", _xlfn.LET(_xlpm.ADVANCE, INDEX('Heat Sheet'!$A:$I, _xlpm.EVENT+2, 3), IF(_xlpm.ADVANCE=0, "", _xlpm.ADVANCE))))</f>
        <v/>
      </c>
    </row>
    <row r="92" spans="1:11" ht="29.25" customHeight="1" x14ac:dyDescent="0.2">
      <c r="A92" s="137">
        <v>90</v>
      </c>
      <c r="B92" s="7" t="str">
        <f>IFERROR(TEXT(VLOOKUP(A92,'Heat Sheet'!$A:$I, 2, FALSE), "HH:mm"), "")</f>
        <v/>
      </c>
      <c r="C92" s="138"/>
      <c r="D92" s="10" t="str" cm="1">
        <f t="array" ref="D92">_xlfn.LET(_xlpm.EVENT, _xlfn.XMATCH($A92,'Heat Sheet'!A:A), IF(ISNA(_xlpm.EVENT), "", INDEX('Heat Sheet'!$A:$I, _xlpm.EVENT, 3)&amp;" "&amp;SUBSTITUTE(SUBSTITUTE(SUBSTITUTE(INDEX('Heat Sheet'!$A:$I, _xlpm.EVENT+1, 3), "Heat ", "H"), "Final", "F"), "Flight ", "F")))</f>
        <v/>
      </c>
      <c r="E92" s="10" t="str" cm="1">
        <f t="array" ref="E92">_xlfn.LET(_xlpm.EVENT, _xlfn.XMATCH($A92,'Heat Sheet'!$A:$A), IF(ISNA(_xlpm.EVENT), "", _xlfn.LET(_xlpm.ADVANCE, INDEX('Heat Sheet'!$A:$I, _xlpm.EVENT, COLUMN()-1), IF(_xlpm.ADVANCE=0, "", _xlpm.ADVANCE))))</f>
        <v/>
      </c>
      <c r="F92" s="10" t="str" cm="1">
        <f t="array" ref="F92">_xlfn.LET(_xlpm.EVENT, _xlfn.XMATCH($A92,'Heat Sheet'!$A:$A), IF(ISNA(_xlpm.EVENT), "", _xlfn.LET(_xlpm.ADVANCE, INDEX('Heat Sheet'!$A:$I, _xlpm.EVENT, COLUMN()-1), IF(_xlpm.ADVANCE=0, "", _xlpm.ADVANCE))))</f>
        <v/>
      </c>
      <c r="G92" s="10" t="str" cm="1">
        <f t="array" ref="G92">_xlfn.LET(_xlpm.EVENT, _xlfn.XMATCH($A92,'Heat Sheet'!$A:$A), IF(ISNA(_xlpm.EVENT), "", _xlfn.LET(_xlpm.ADVANCE, INDEX('Heat Sheet'!$A:$I, _xlpm.EVENT, COLUMN()-1), IF(_xlpm.ADVANCE=0, "", _xlpm.ADVANCE))))</f>
        <v/>
      </c>
      <c r="H92" s="10" t="str" cm="1">
        <f t="array" ref="H92">_xlfn.LET(_xlpm.EVENT, _xlfn.XMATCH($A92,'Heat Sheet'!$A:$A), IF(ISNA(_xlpm.EVENT), "", _xlfn.LET(_xlpm.ADVANCE, INDEX('Heat Sheet'!$A:$I, _xlpm.EVENT, COLUMN()-1), IF(_xlpm.ADVANCE=0, "", _xlpm.ADVANCE))))</f>
        <v/>
      </c>
      <c r="I92" s="10" t="str" cm="1">
        <f t="array" ref="I92">_xlfn.LET(_xlpm.EVENT, _xlfn.XMATCH($A92,'Heat Sheet'!$A:$A), IF(ISNA(_xlpm.EVENT), "", _xlfn.LET(_xlpm.ADVANCE, INDEX('Heat Sheet'!$A:$I, _xlpm.EVENT, COLUMN()-1), IF(_xlpm.ADVANCE=0, "", _xlpm.ADVANCE))))</f>
        <v/>
      </c>
      <c r="J92" s="10" t="str" cm="1">
        <f t="array" ref="J92">_xlfn.LET(_xlpm.EVENT, _xlfn.XMATCH($A92,'Heat Sheet'!$A:$A), IF(ISNA(_xlpm.EVENT), "", _xlfn.LET(_xlpm.ADVANCE, INDEX('Heat Sheet'!$A:$I, _xlpm.EVENT, COLUMN()-1), IF(_xlpm.ADVANCE=0, "", _xlpm.ADVANCE))))</f>
        <v/>
      </c>
      <c r="K92" s="139" t="str" cm="1">
        <f t="array" ref="K92">_xlfn.LET(_xlpm.EVENT, _xlfn.XMATCH($A92,'Heat Sheet'!A:A), IF(ISNA(_xlpm.EVENT), "", _xlfn.LET(_xlpm.ADVANCE, INDEX('Heat Sheet'!$A:$I, _xlpm.EVENT+2, 3), IF(_xlpm.ADVANCE=0, "", _xlpm.ADVANCE))))</f>
        <v/>
      </c>
    </row>
    <row r="93" spans="1:11" ht="29.25" customHeight="1" x14ac:dyDescent="0.2">
      <c r="A93" s="137">
        <v>91</v>
      </c>
      <c r="B93" s="7" t="str">
        <f>IFERROR(TEXT(VLOOKUP(A93,'Heat Sheet'!$A:$I, 2, FALSE), "HH:mm"), "")</f>
        <v/>
      </c>
      <c r="C93" s="138"/>
      <c r="D93" s="10" t="str" cm="1">
        <f t="array" ref="D93">_xlfn.LET(_xlpm.EVENT, _xlfn.XMATCH($A93,'Heat Sheet'!A:A), IF(ISNA(_xlpm.EVENT), "", INDEX('Heat Sheet'!$A:$I, _xlpm.EVENT, 3)&amp;" "&amp;SUBSTITUTE(SUBSTITUTE(SUBSTITUTE(INDEX('Heat Sheet'!$A:$I, _xlpm.EVENT+1, 3), "Heat ", "H"), "Final", "F"), "Flight ", "F")))</f>
        <v/>
      </c>
      <c r="E93" s="10" t="str" cm="1">
        <f t="array" ref="E93">_xlfn.LET(_xlpm.EVENT, _xlfn.XMATCH($A93,'Heat Sheet'!$A:$A), IF(ISNA(_xlpm.EVENT), "", _xlfn.LET(_xlpm.ADVANCE, INDEX('Heat Sheet'!$A:$I, _xlpm.EVENT, COLUMN()-1), IF(_xlpm.ADVANCE=0, "", _xlpm.ADVANCE))))</f>
        <v/>
      </c>
      <c r="F93" s="10" t="str" cm="1">
        <f t="array" ref="F93">_xlfn.LET(_xlpm.EVENT, _xlfn.XMATCH($A93,'Heat Sheet'!$A:$A), IF(ISNA(_xlpm.EVENT), "", _xlfn.LET(_xlpm.ADVANCE, INDEX('Heat Sheet'!$A:$I, _xlpm.EVENT, COLUMN()-1), IF(_xlpm.ADVANCE=0, "", _xlpm.ADVANCE))))</f>
        <v/>
      </c>
      <c r="G93" s="10" t="str" cm="1">
        <f t="array" ref="G93">_xlfn.LET(_xlpm.EVENT, _xlfn.XMATCH($A93,'Heat Sheet'!$A:$A), IF(ISNA(_xlpm.EVENT), "", _xlfn.LET(_xlpm.ADVANCE, INDEX('Heat Sheet'!$A:$I, _xlpm.EVENT, COLUMN()-1), IF(_xlpm.ADVANCE=0, "", _xlpm.ADVANCE))))</f>
        <v/>
      </c>
      <c r="H93" s="10" t="str" cm="1">
        <f t="array" ref="H93">_xlfn.LET(_xlpm.EVENT, _xlfn.XMATCH($A93,'Heat Sheet'!$A:$A), IF(ISNA(_xlpm.EVENT), "", _xlfn.LET(_xlpm.ADVANCE, INDEX('Heat Sheet'!$A:$I, _xlpm.EVENT, COLUMN()-1), IF(_xlpm.ADVANCE=0, "", _xlpm.ADVANCE))))</f>
        <v/>
      </c>
      <c r="I93" s="10" t="str" cm="1">
        <f t="array" ref="I93">_xlfn.LET(_xlpm.EVENT, _xlfn.XMATCH($A93,'Heat Sheet'!$A:$A), IF(ISNA(_xlpm.EVENT), "", _xlfn.LET(_xlpm.ADVANCE, INDEX('Heat Sheet'!$A:$I, _xlpm.EVENT, COLUMN()-1), IF(_xlpm.ADVANCE=0, "", _xlpm.ADVANCE))))</f>
        <v/>
      </c>
      <c r="J93" s="10" t="str" cm="1">
        <f t="array" ref="J93">_xlfn.LET(_xlpm.EVENT, _xlfn.XMATCH($A93,'Heat Sheet'!$A:$A), IF(ISNA(_xlpm.EVENT), "", _xlfn.LET(_xlpm.ADVANCE, INDEX('Heat Sheet'!$A:$I, _xlpm.EVENT, COLUMN()-1), IF(_xlpm.ADVANCE=0, "", _xlpm.ADVANCE))))</f>
        <v/>
      </c>
      <c r="K93" s="139" t="str" cm="1">
        <f t="array" ref="K93">_xlfn.LET(_xlpm.EVENT, _xlfn.XMATCH($A93,'Heat Sheet'!A:A), IF(ISNA(_xlpm.EVENT), "", _xlfn.LET(_xlpm.ADVANCE, INDEX('Heat Sheet'!$A:$I, _xlpm.EVENT+2, 3), IF(_xlpm.ADVANCE=0, "", _xlpm.ADVANCE))))</f>
        <v/>
      </c>
    </row>
    <row r="94" spans="1:11" ht="29.25" customHeight="1" x14ac:dyDescent="0.2">
      <c r="A94" s="137">
        <v>92</v>
      </c>
      <c r="B94" s="7" t="str">
        <f>IFERROR(TEXT(VLOOKUP(A94,'Heat Sheet'!$A:$I, 2, FALSE), "HH:mm"), "")</f>
        <v/>
      </c>
      <c r="C94" s="138"/>
      <c r="D94" s="10" t="str" cm="1">
        <f t="array" ref="D94">_xlfn.LET(_xlpm.EVENT, _xlfn.XMATCH($A94,'Heat Sheet'!A:A), IF(ISNA(_xlpm.EVENT), "", INDEX('Heat Sheet'!$A:$I, _xlpm.EVENT, 3)&amp;" "&amp;SUBSTITUTE(SUBSTITUTE(SUBSTITUTE(INDEX('Heat Sheet'!$A:$I, _xlpm.EVENT+1, 3), "Heat ", "H"), "Final", "F"), "Flight ", "F")))</f>
        <v/>
      </c>
      <c r="E94" s="10" t="str" cm="1">
        <f t="array" ref="E94">_xlfn.LET(_xlpm.EVENT, _xlfn.XMATCH($A94,'Heat Sheet'!$A:$A), IF(ISNA(_xlpm.EVENT), "", _xlfn.LET(_xlpm.ADVANCE, INDEX('Heat Sheet'!$A:$I, _xlpm.EVENT, COLUMN()-1), IF(_xlpm.ADVANCE=0, "", _xlpm.ADVANCE))))</f>
        <v/>
      </c>
      <c r="F94" s="10" t="str" cm="1">
        <f t="array" ref="F94">_xlfn.LET(_xlpm.EVENT, _xlfn.XMATCH($A94,'Heat Sheet'!$A:$A), IF(ISNA(_xlpm.EVENT), "", _xlfn.LET(_xlpm.ADVANCE, INDEX('Heat Sheet'!$A:$I, _xlpm.EVENT, COLUMN()-1), IF(_xlpm.ADVANCE=0, "", _xlpm.ADVANCE))))</f>
        <v/>
      </c>
      <c r="G94" s="10" t="str" cm="1">
        <f t="array" ref="G94">_xlfn.LET(_xlpm.EVENT, _xlfn.XMATCH($A94,'Heat Sheet'!$A:$A), IF(ISNA(_xlpm.EVENT), "", _xlfn.LET(_xlpm.ADVANCE, INDEX('Heat Sheet'!$A:$I, _xlpm.EVENT, COLUMN()-1), IF(_xlpm.ADVANCE=0, "", _xlpm.ADVANCE))))</f>
        <v/>
      </c>
      <c r="H94" s="10" t="str" cm="1">
        <f t="array" ref="H94">_xlfn.LET(_xlpm.EVENT, _xlfn.XMATCH($A94,'Heat Sheet'!$A:$A), IF(ISNA(_xlpm.EVENT), "", _xlfn.LET(_xlpm.ADVANCE, INDEX('Heat Sheet'!$A:$I, _xlpm.EVENT, COLUMN()-1), IF(_xlpm.ADVANCE=0, "", _xlpm.ADVANCE))))</f>
        <v/>
      </c>
      <c r="I94" s="10" t="str" cm="1">
        <f t="array" ref="I94">_xlfn.LET(_xlpm.EVENT, _xlfn.XMATCH($A94,'Heat Sheet'!$A:$A), IF(ISNA(_xlpm.EVENT), "", _xlfn.LET(_xlpm.ADVANCE, INDEX('Heat Sheet'!$A:$I, _xlpm.EVENT, COLUMN()-1), IF(_xlpm.ADVANCE=0, "", _xlpm.ADVANCE))))</f>
        <v/>
      </c>
      <c r="J94" s="10" t="str" cm="1">
        <f t="array" ref="J94">_xlfn.LET(_xlpm.EVENT, _xlfn.XMATCH($A94,'Heat Sheet'!$A:$A), IF(ISNA(_xlpm.EVENT), "", _xlfn.LET(_xlpm.ADVANCE, INDEX('Heat Sheet'!$A:$I, _xlpm.EVENT, COLUMN()-1), IF(_xlpm.ADVANCE=0, "", _xlpm.ADVANCE))))</f>
        <v/>
      </c>
      <c r="K94" s="139" t="str" cm="1">
        <f t="array" ref="K94">_xlfn.LET(_xlpm.EVENT, _xlfn.XMATCH($A94,'Heat Sheet'!A:A), IF(ISNA(_xlpm.EVENT), "", _xlfn.LET(_xlpm.ADVANCE, INDEX('Heat Sheet'!$A:$I, _xlpm.EVENT+2, 3), IF(_xlpm.ADVANCE=0, "", _xlpm.ADVANCE))))</f>
        <v/>
      </c>
    </row>
    <row r="95" spans="1:11" ht="29.25" customHeight="1" x14ac:dyDescent="0.2">
      <c r="A95" s="137">
        <v>93</v>
      </c>
      <c r="B95" s="7" t="str">
        <f>IFERROR(TEXT(VLOOKUP(A95,'Heat Sheet'!$A:$I, 2, FALSE), "HH:mm"), "")</f>
        <v/>
      </c>
      <c r="C95" s="138"/>
      <c r="D95" s="10" t="str" cm="1">
        <f t="array" ref="D95">_xlfn.LET(_xlpm.EVENT, _xlfn.XMATCH($A95,'Heat Sheet'!A:A), IF(ISNA(_xlpm.EVENT), "", INDEX('Heat Sheet'!$A:$I, _xlpm.EVENT, 3)&amp;" "&amp;SUBSTITUTE(SUBSTITUTE(SUBSTITUTE(INDEX('Heat Sheet'!$A:$I, _xlpm.EVENT+1, 3), "Heat ", "H"), "Final", "F"), "Flight ", "F")))</f>
        <v/>
      </c>
      <c r="E95" s="10" t="str" cm="1">
        <f t="array" ref="E95">_xlfn.LET(_xlpm.EVENT, _xlfn.XMATCH($A95,'Heat Sheet'!$A:$A), IF(ISNA(_xlpm.EVENT), "", _xlfn.LET(_xlpm.ADVANCE, INDEX('Heat Sheet'!$A:$I, _xlpm.EVENT, COLUMN()-1), IF(_xlpm.ADVANCE=0, "", _xlpm.ADVANCE))))</f>
        <v/>
      </c>
      <c r="F95" s="10" t="str" cm="1">
        <f t="array" ref="F95">_xlfn.LET(_xlpm.EVENT, _xlfn.XMATCH($A95,'Heat Sheet'!$A:$A), IF(ISNA(_xlpm.EVENT), "", _xlfn.LET(_xlpm.ADVANCE, INDEX('Heat Sheet'!$A:$I, _xlpm.EVENT, COLUMN()-1), IF(_xlpm.ADVANCE=0, "", _xlpm.ADVANCE))))</f>
        <v/>
      </c>
      <c r="G95" s="10" t="str" cm="1">
        <f t="array" ref="G95">_xlfn.LET(_xlpm.EVENT, _xlfn.XMATCH($A95,'Heat Sheet'!$A:$A), IF(ISNA(_xlpm.EVENT), "", _xlfn.LET(_xlpm.ADVANCE, INDEX('Heat Sheet'!$A:$I, _xlpm.EVENT, COLUMN()-1), IF(_xlpm.ADVANCE=0, "", _xlpm.ADVANCE))))</f>
        <v/>
      </c>
      <c r="H95" s="10" t="str" cm="1">
        <f t="array" ref="H95">_xlfn.LET(_xlpm.EVENT, _xlfn.XMATCH($A95,'Heat Sheet'!$A:$A), IF(ISNA(_xlpm.EVENT), "", _xlfn.LET(_xlpm.ADVANCE, INDEX('Heat Sheet'!$A:$I, _xlpm.EVENT, COLUMN()-1), IF(_xlpm.ADVANCE=0, "", _xlpm.ADVANCE))))</f>
        <v/>
      </c>
      <c r="I95" s="10" t="str" cm="1">
        <f t="array" ref="I95">_xlfn.LET(_xlpm.EVENT, _xlfn.XMATCH($A95,'Heat Sheet'!$A:$A), IF(ISNA(_xlpm.EVENT), "", _xlfn.LET(_xlpm.ADVANCE, INDEX('Heat Sheet'!$A:$I, _xlpm.EVENT, COLUMN()-1), IF(_xlpm.ADVANCE=0, "", _xlpm.ADVANCE))))</f>
        <v/>
      </c>
      <c r="J95" s="10" t="str" cm="1">
        <f t="array" ref="J95">_xlfn.LET(_xlpm.EVENT, _xlfn.XMATCH($A95,'Heat Sheet'!$A:$A), IF(ISNA(_xlpm.EVENT), "", _xlfn.LET(_xlpm.ADVANCE, INDEX('Heat Sheet'!$A:$I, _xlpm.EVENT, COLUMN()-1), IF(_xlpm.ADVANCE=0, "", _xlpm.ADVANCE))))</f>
        <v/>
      </c>
      <c r="K95" s="139" t="str" cm="1">
        <f t="array" ref="K95">_xlfn.LET(_xlpm.EVENT, _xlfn.XMATCH($A95,'Heat Sheet'!A:A), IF(ISNA(_xlpm.EVENT), "", _xlfn.LET(_xlpm.ADVANCE, INDEX('Heat Sheet'!$A:$I, _xlpm.EVENT+2, 3), IF(_xlpm.ADVANCE=0, "", _xlpm.ADVANCE))))</f>
        <v/>
      </c>
    </row>
    <row r="96" spans="1:11" ht="29.25" customHeight="1" x14ac:dyDescent="0.2">
      <c r="A96" s="137">
        <v>94</v>
      </c>
      <c r="B96" s="7" t="str">
        <f>IFERROR(TEXT(VLOOKUP(A96,'Heat Sheet'!$A:$I, 2, FALSE), "HH:mm"), "")</f>
        <v/>
      </c>
      <c r="C96" s="138"/>
      <c r="D96" s="10" t="str" cm="1">
        <f t="array" ref="D96">_xlfn.LET(_xlpm.EVENT, _xlfn.XMATCH($A96,'Heat Sheet'!A:A), IF(ISNA(_xlpm.EVENT), "", INDEX('Heat Sheet'!$A:$I, _xlpm.EVENT, 3)&amp;" "&amp;SUBSTITUTE(SUBSTITUTE(SUBSTITUTE(INDEX('Heat Sheet'!$A:$I, _xlpm.EVENT+1, 3), "Heat ", "H"), "Final", "F"), "Flight ", "F")))</f>
        <v/>
      </c>
      <c r="E96" s="10" t="str" cm="1">
        <f t="array" ref="E96">_xlfn.LET(_xlpm.EVENT, _xlfn.XMATCH($A96,'Heat Sheet'!$A:$A), IF(ISNA(_xlpm.EVENT), "", _xlfn.LET(_xlpm.ADVANCE, INDEX('Heat Sheet'!$A:$I, _xlpm.EVENT, COLUMN()-1), IF(_xlpm.ADVANCE=0, "", _xlpm.ADVANCE))))</f>
        <v/>
      </c>
      <c r="F96" s="10" t="str" cm="1">
        <f t="array" ref="F96">_xlfn.LET(_xlpm.EVENT, _xlfn.XMATCH($A96,'Heat Sheet'!$A:$A), IF(ISNA(_xlpm.EVENT), "", _xlfn.LET(_xlpm.ADVANCE, INDEX('Heat Sheet'!$A:$I, _xlpm.EVENT, COLUMN()-1), IF(_xlpm.ADVANCE=0, "", _xlpm.ADVANCE))))</f>
        <v/>
      </c>
      <c r="G96" s="10" t="str" cm="1">
        <f t="array" ref="G96">_xlfn.LET(_xlpm.EVENT, _xlfn.XMATCH($A96,'Heat Sheet'!$A:$A), IF(ISNA(_xlpm.EVENT), "", _xlfn.LET(_xlpm.ADVANCE, INDEX('Heat Sheet'!$A:$I, _xlpm.EVENT, COLUMN()-1), IF(_xlpm.ADVANCE=0, "", _xlpm.ADVANCE))))</f>
        <v/>
      </c>
      <c r="H96" s="10" t="str" cm="1">
        <f t="array" ref="H96">_xlfn.LET(_xlpm.EVENT, _xlfn.XMATCH($A96,'Heat Sheet'!$A:$A), IF(ISNA(_xlpm.EVENT), "", _xlfn.LET(_xlpm.ADVANCE, INDEX('Heat Sheet'!$A:$I, _xlpm.EVENT, COLUMN()-1), IF(_xlpm.ADVANCE=0, "", _xlpm.ADVANCE))))</f>
        <v/>
      </c>
      <c r="I96" s="10" t="str" cm="1">
        <f t="array" ref="I96">_xlfn.LET(_xlpm.EVENT, _xlfn.XMATCH($A96,'Heat Sheet'!$A:$A), IF(ISNA(_xlpm.EVENT), "", _xlfn.LET(_xlpm.ADVANCE, INDEX('Heat Sheet'!$A:$I, _xlpm.EVENT, COLUMN()-1), IF(_xlpm.ADVANCE=0, "", _xlpm.ADVANCE))))</f>
        <v/>
      </c>
      <c r="J96" s="10" t="str" cm="1">
        <f t="array" ref="J96">_xlfn.LET(_xlpm.EVENT, _xlfn.XMATCH($A96,'Heat Sheet'!$A:$A), IF(ISNA(_xlpm.EVENT), "", _xlfn.LET(_xlpm.ADVANCE, INDEX('Heat Sheet'!$A:$I, _xlpm.EVENT, COLUMN()-1), IF(_xlpm.ADVANCE=0, "", _xlpm.ADVANCE))))</f>
        <v/>
      </c>
      <c r="K96" s="139" t="str" cm="1">
        <f t="array" ref="K96">_xlfn.LET(_xlpm.EVENT, _xlfn.XMATCH($A96,'Heat Sheet'!A:A), IF(ISNA(_xlpm.EVENT), "", _xlfn.LET(_xlpm.ADVANCE, INDEX('Heat Sheet'!$A:$I, _xlpm.EVENT+2, 3), IF(_xlpm.ADVANCE=0, "", _xlpm.ADVANCE))))</f>
        <v/>
      </c>
    </row>
    <row r="97" spans="1:11" ht="29.25" customHeight="1" x14ac:dyDescent="0.2">
      <c r="A97" s="137">
        <v>95</v>
      </c>
      <c r="B97" s="7" t="str">
        <f>IFERROR(TEXT(VLOOKUP(A97,'Heat Sheet'!$A:$I, 2, FALSE), "HH:mm"), "")</f>
        <v/>
      </c>
      <c r="C97" s="138"/>
      <c r="D97" s="10" t="str" cm="1">
        <f t="array" ref="D97">_xlfn.LET(_xlpm.EVENT, _xlfn.XMATCH($A97,'Heat Sheet'!A:A), IF(ISNA(_xlpm.EVENT), "", INDEX('Heat Sheet'!$A:$I, _xlpm.EVENT, 3)&amp;" "&amp;SUBSTITUTE(SUBSTITUTE(SUBSTITUTE(INDEX('Heat Sheet'!$A:$I, _xlpm.EVENT+1, 3), "Heat ", "H"), "Final", "F"), "Flight ", "F")))</f>
        <v/>
      </c>
      <c r="E97" s="10" t="str" cm="1">
        <f t="array" ref="E97">_xlfn.LET(_xlpm.EVENT, _xlfn.XMATCH($A97,'Heat Sheet'!$A:$A), IF(ISNA(_xlpm.EVENT), "", _xlfn.LET(_xlpm.ADVANCE, INDEX('Heat Sheet'!$A:$I, _xlpm.EVENT, COLUMN()-1), IF(_xlpm.ADVANCE=0, "", _xlpm.ADVANCE))))</f>
        <v/>
      </c>
      <c r="F97" s="10" t="str" cm="1">
        <f t="array" ref="F97">_xlfn.LET(_xlpm.EVENT, _xlfn.XMATCH($A97,'Heat Sheet'!$A:$A), IF(ISNA(_xlpm.EVENT), "", _xlfn.LET(_xlpm.ADVANCE, INDEX('Heat Sheet'!$A:$I, _xlpm.EVENT, COLUMN()-1), IF(_xlpm.ADVANCE=0, "", _xlpm.ADVANCE))))</f>
        <v/>
      </c>
      <c r="G97" s="10" t="str" cm="1">
        <f t="array" ref="G97">_xlfn.LET(_xlpm.EVENT, _xlfn.XMATCH($A97,'Heat Sheet'!$A:$A), IF(ISNA(_xlpm.EVENT), "", _xlfn.LET(_xlpm.ADVANCE, INDEX('Heat Sheet'!$A:$I, _xlpm.EVENT, COLUMN()-1), IF(_xlpm.ADVANCE=0, "", _xlpm.ADVANCE))))</f>
        <v/>
      </c>
      <c r="H97" s="10" t="str" cm="1">
        <f t="array" ref="H97">_xlfn.LET(_xlpm.EVENT, _xlfn.XMATCH($A97,'Heat Sheet'!$A:$A), IF(ISNA(_xlpm.EVENT), "", _xlfn.LET(_xlpm.ADVANCE, INDEX('Heat Sheet'!$A:$I, _xlpm.EVENT, COLUMN()-1), IF(_xlpm.ADVANCE=0, "", _xlpm.ADVANCE))))</f>
        <v/>
      </c>
      <c r="I97" s="10" t="str" cm="1">
        <f t="array" ref="I97">_xlfn.LET(_xlpm.EVENT, _xlfn.XMATCH($A97,'Heat Sheet'!$A:$A), IF(ISNA(_xlpm.EVENT), "", _xlfn.LET(_xlpm.ADVANCE, INDEX('Heat Sheet'!$A:$I, _xlpm.EVENT, COLUMN()-1), IF(_xlpm.ADVANCE=0, "", _xlpm.ADVANCE))))</f>
        <v/>
      </c>
      <c r="J97" s="10" t="str" cm="1">
        <f t="array" ref="J97">_xlfn.LET(_xlpm.EVENT, _xlfn.XMATCH($A97,'Heat Sheet'!$A:$A), IF(ISNA(_xlpm.EVENT), "", _xlfn.LET(_xlpm.ADVANCE, INDEX('Heat Sheet'!$A:$I, _xlpm.EVENT, COLUMN()-1), IF(_xlpm.ADVANCE=0, "", _xlpm.ADVANCE))))</f>
        <v/>
      </c>
      <c r="K97" s="139" t="str" cm="1">
        <f t="array" ref="K97">_xlfn.LET(_xlpm.EVENT, _xlfn.XMATCH($A97,'Heat Sheet'!A:A), IF(ISNA(_xlpm.EVENT), "", _xlfn.LET(_xlpm.ADVANCE, INDEX('Heat Sheet'!$A:$I, _xlpm.EVENT+2, 3), IF(_xlpm.ADVANCE=0, "", _xlpm.ADVANCE))))</f>
        <v/>
      </c>
    </row>
    <row r="98" spans="1:11" ht="29.25" customHeight="1" x14ac:dyDescent="0.2">
      <c r="A98" s="137">
        <v>96</v>
      </c>
      <c r="B98" s="7" t="str">
        <f>IFERROR(TEXT(VLOOKUP(A98,'Heat Sheet'!$A:$I, 2, FALSE), "HH:mm"), "")</f>
        <v/>
      </c>
      <c r="C98" s="138"/>
      <c r="D98" s="10" t="str" cm="1">
        <f t="array" ref="D98">_xlfn.LET(_xlpm.EVENT, _xlfn.XMATCH($A98,'Heat Sheet'!A:A), IF(ISNA(_xlpm.EVENT), "", INDEX('Heat Sheet'!$A:$I, _xlpm.EVENT, 3)&amp;" "&amp;SUBSTITUTE(SUBSTITUTE(SUBSTITUTE(INDEX('Heat Sheet'!$A:$I, _xlpm.EVENT+1, 3), "Heat ", "H"), "Final", "F"), "Flight ", "F")))</f>
        <v/>
      </c>
      <c r="E98" s="10" t="str" cm="1">
        <f t="array" ref="E98">_xlfn.LET(_xlpm.EVENT, _xlfn.XMATCH($A98,'Heat Sheet'!$A:$A), IF(ISNA(_xlpm.EVENT), "", _xlfn.LET(_xlpm.ADVANCE, INDEX('Heat Sheet'!$A:$I, _xlpm.EVENT, COLUMN()-1), IF(_xlpm.ADVANCE=0, "", _xlpm.ADVANCE))))</f>
        <v/>
      </c>
      <c r="F98" s="10" t="str" cm="1">
        <f t="array" ref="F98">_xlfn.LET(_xlpm.EVENT, _xlfn.XMATCH($A98,'Heat Sheet'!$A:$A), IF(ISNA(_xlpm.EVENT), "", _xlfn.LET(_xlpm.ADVANCE, INDEX('Heat Sheet'!$A:$I, _xlpm.EVENT, COLUMN()-1), IF(_xlpm.ADVANCE=0, "", _xlpm.ADVANCE))))</f>
        <v/>
      </c>
      <c r="G98" s="10" t="str" cm="1">
        <f t="array" ref="G98">_xlfn.LET(_xlpm.EVENT, _xlfn.XMATCH($A98,'Heat Sheet'!$A:$A), IF(ISNA(_xlpm.EVENT), "", _xlfn.LET(_xlpm.ADVANCE, INDEX('Heat Sheet'!$A:$I, _xlpm.EVENT, COLUMN()-1), IF(_xlpm.ADVANCE=0, "", _xlpm.ADVANCE))))</f>
        <v/>
      </c>
      <c r="H98" s="10" t="str" cm="1">
        <f t="array" ref="H98">_xlfn.LET(_xlpm.EVENT, _xlfn.XMATCH($A98,'Heat Sheet'!$A:$A), IF(ISNA(_xlpm.EVENT), "", _xlfn.LET(_xlpm.ADVANCE, INDEX('Heat Sheet'!$A:$I, _xlpm.EVENT, COLUMN()-1), IF(_xlpm.ADVANCE=0, "", _xlpm.ADVANCE))))</f>
        <v/>
      </c>
      <c r="I98" s="10" t="str" cm="1">
        <f t="array" ref="I98">_xlfn.LET(_xlpm.EVENT, _xlfn.XMATCH($A98,'Heat Sheet'!$A:$A), IF(ISNA(_xlpm.EVENT), "", _xlfn.LET(_xlpm.ADVANCE, INDEX('Heat Sheet'!$A:$I, _xlpm.EVENT, COLUMN()-1), IF(_xlpm.ADVANCE=0, "", _xlpm.ADVANCE))))</f>
        <v/>
      </c>
      <c r="J98" s="10" t="str" cm="1">
        <f t="array" ref="J98">_xlfn.LET(_xlpm.EVENT, _xlfn.XMATCH($A98,'Heat Sheet'!$A:$A), IF(ISNA(_xlpm.EVENT), "", _xlfn.LET(_xlpm.ADVANCE, INDEX('Heat Sheet'!$A:$I, _xlpm.EVENT, COLUMN()-1), IF(_xlpm.ADVANCE=0, "", _xlpm.ADVANCE))))</f>
        <v/>
      </c>
      <c r="K98" s="139" t="str" cm="1">
        <f t="array" ref="K98">_xlfn.LET(_xlpm.EVENT, _xlfn.XMATCH($A98,'Heat Sheet'!A:A), IF(ISNA(_xlpm.EVENT), "", _xlfn.LET(_xlpm.ADVANCE, INDEX('Heat Sheet'!$A:$I, _xlpm.EVENT+2, 3), IF(_xlpm.ADVANCE=0, "", _xlpm.ADVANCE))))</f>
        <v/>
      </c>
    </row>
    <row r="99" spans="1:11" ht="29.25" customHeight="1" x14ac:dyDescent="0.2">
      <c r="A99" s="137">
        <v>97</v>
      </c>
      <c r="B99" s="7" t="str">
        <f>IFERROR(TEXT(VLOOKUP(A99,'Heat Sheet'!$A:$I, 2, FALSE), "HH:mm"), "")</f>
        <v/>
      </c>
      <c r="C99" s="138"/>
      <c r="D99" s="10" t="str" cm="1">
        <f t="array" ref="D99">_xlfn.LET(_xlpm.EVENT, _xlfn.XMATCH($A99,'Heat Sheet'!A:A), IF(ISNA(_xlpm.EVENT), "", INDEX('Heat Sheet'!$A:$I, _xlpm.EVENT, 3)&amp;" "&amp;SUBSTITUTE(SUBSTITUTE(SUBSTITUTE(INDEX('Heat Sheet'!$A:$I, _xlpm.EVENT+1, 3), "Heat ", "H"), "Final", "F"), "Flight ", "F")))</f>
        <v/>
      </c>
      <c r="E99" s="10" t="str" cm="1">
        <f t="array" ref="E99">_xlfn.LET(_xlpm.EVENT, _xlfn.XMATCH($A99,'Heat Sheet'!$A:$A), IF(ISNA(_xlpm.EVENT), "", _xlfn.LET(_xlpm.ADVANCE, INDEX('Heat Sheet'!$A:$I, _xlpm.EVENT, COLUMN()-1), IF(_xlpm.ADVANCE=0, "", _xlpm.ADVANCE))))</f>
        <v/>
      </c>
      <c r="F99" s="10" t="str" cm="1">
        <f t="array" ref="F99">_xlfn.LET(_xlpm.EVENT, _xlfn.XMATCH($A99,'Heat Sheet'!$A:$A), IF(ISNA(_xlpm.EVENT), "", _xlfn.LET(_xlpm.ADVANCE, INDEX('Heat Sheet'!$A:$I, _xlpm.EVENT, COLUMN()-1), IF(_xlpm.ADVANCE=0, "", _xlpm.ADVANCE))))</f>
        <v/>
      </c>
      <c r="G99" s="10" t="str" cm="1">
        <f t="array" ref="G99">_xlfn.LET(_xlpm.EVENT, _xlfn.XMATCH($A99,'Heat Sheet'!$A:$A), IF(ISNA(_xlpm.EVENT), "", _xlfn.LET(_xlpm.ADVANCE, INDEX('Heat Sheet'!$A:$I, _xlpm.EVENT, COLUMN()-1), IF(_xlpm.ADVANCE=0, "", _xlpm.ADVANCE))))</f>
        <v/>
      </c>
      <c r="H99" s="10" t="str" cm="1">
        <f t="array" ref="H99">_xlfn.LET(_xlpm.EVENT, _xlfn.XMATCH($A99,'Heat Sheet'!$A:$A), IF(ISNA(_xlpm.EVENT), "", _xlfn.LET(_xlpm.ADVANCE, INDEX('Heat Sheet'!$A:$I, _xlpm.EVENT, COLUMN()-1), IF(_xlpm.ADVANCE=0, "", _xlpm.ADVANCE))))</f>
        <v/>
      </c>
      <c r="I99" s="10" t="str" cm="1">
        <f t="array" ref="I99">_xlfn.LET(_xlpm.EVENT, _xlfn.XMATCH($A99,'Heat Sheet'!$A:$A), IF(ISNA(_xlpm.EVENT), "", _xlfn.LET(_xlpm.ADVANCE, INDEX('Heat Sheet'!$A:$I, _xlpm.EVENT, COLUMN()-1), IF(_xlpm.ADVANCE=0, "", _xlpm.ADVANCE))))</f>
        <v/>
      </c>
      <c r="J99" s="10" t="str" cm="1">
        <f t="array" ref="J99">_xlfn.LET(_xlpm.EVENT, _xlfn.XMATCH($A99,'Heat Sheet'!$A:$A), IF(ISNA(_xlpm.EVENT), "", _xlfn.LET(_xlpm.ADVANCE, INDEX('Heat Sheet'!$A:$I, _xlpm.EVENT, COLUMN()-1), IF(_xlpm.ADVANCE=0, "", _xlpm.ADVANCE))))</f>
        <v/>
      </c>
      <c r="K99" s="139" t="str" cm="1">
        <f t="array" ref="K99">_xlfn.LET(_xlpm.EVENT, _xlfn.XMATCH($A99,'Heat Sheet'!A:A), IF(ISNA(_xlpm.EVENT), "", _xlfn.LET(_xlpm.ADVANCE, INDEX('Heat Sheet'!$A:$I, _xlpm.EVENT+2, 3), IF(_xlpm.ADVANCE=0, "", _xlpm.ADVANCE))))</f>
        <v/>
      </c>
    </row>
    <row r="100" spans="1:11" ht="29.25" customHeight="1" x14ac:dyDescent="0.2">
      <c r="A100" s="137">
        <v>98</v>
      </c>
      <c r="B100" s="7" t="str">
        <f>IFERROR(TEXT(VLOOKUP(A100,'Heat Sheet'!$A:$I, 2, FALSE), "HH:mm"), "")</f>
        <v/>
      </c>
      <c r="C100" s="138"/>
      <c r="D100" s="10" t="str" cm="1">
        <f t="array" ref="D100">_xlfn.LET(_xlpm.EVENT, _xlfn.XMATCH($A100,'Heat Sheet'!A:A), IF(ISNA(_xlpm.EVENT), "", INDEX('Heat Sheet'!$A:$I, _xlpm.EVENT, 3)&amp;" "&amp;SUBSTITUTE(SUBSTITUTE(SUBSTITUTE(INDEX('Heat Sheet'!$A:$I, _xlpm.EVENT+1, 3), "Heat ", "H"), "Final", "F"), "Flight ", "F")))</f>
        <v/>
      </c>
      <c r="E100" s="10" t="str" cm="1">
        <f t="array" ref="E100">_xlfn.LET(_xlpm.EVENT, _xlfn.XMATCH($A100,'Heat Sheet'!$A:$A), IF(ISNA(_xlpm.EVENT), "", _xlfn.LET(_xlpm.ADVANCE, INDEX('Heat Sheet'!$A:$I, _xlpm.EVENT, COLUMN()-1), IF(_xlpm.ADVANCE=0, "", _xlpm.ADVANCE))))</f>
        <v/>
      </c>
      <c r="F100" s="10" t="str" cm="1">
        <f t="array" ref="F100">_xlfn.LET(_xlpm.EVENT, _xlfn.XMATCH($A100,'Heat Sheet'!$A:$A), IF(ISNA(_xlpm.EVENT), "", _xlfn.LET(_xlpm.ADVANCE, INDEX('Heat Sheet'!$A:$I, _xlpm.EVENT, COLUMN()-1), IF(_xlpm.ADVANCE=0, "", _xlpm.ADVANCE))))</f>
        <v/>
      </c>
      <c r="G100" s="10" t="str" cm="1">
        <f t="array" ref="G100">_xlfn.LET(_xlpm.EVENT, _xlfn.XMATCH($A100,'Heat Sheet'!$A:$A), IF(ISNA(_xlpm.EVENT), "", _xlfn.LET(_xlpm.ADVANCE, INDEX('Heat Sheet'!$A:$I, _xlpm.EVENT, COLUMN()-1), IF(_xlpm.ADVANCE=0, "", _xlpm.ADVANCE))))</f>
        <v/>
      </c>
      <c r="H100" s="10" t="str" cm="1">
        <f t="array" ref="H100">_xlfn.LET(_xlpm.EVENT, _xlfn.XMATCH($A100,'Heat Sheet'!$A:$A), IF(ISNA(_xlpm.EVENT), "", _xlfn.LET(_xlpm.ADVANCE, INDEX('Heat Sheet'!$A:$I, _xlpm.EVENT, COLUMN()-1), IF(_xlpm.ADVANCE=0, "", _xlpm.ADVANCE))))</f>
        <v/>
      </c>
      <c r="I100" s="10" t="str" cm="1">
        <f t="array" ref="I100">_xlfn.LET(_xlpm.EVENT, _xlfn.XMATCH($A100,'Heat Sheet'!$A:$A), IF(ISNA(_xlpm.EVENT), "", _xlfn.LET(_xlpm.ADVANCE, INDEX('Heat Sheet'!$A:$I, _xlpm.EVENT, COLUMN()-1), IF(_xlpm.ADVANCE=0, "", _xlpm.ADVANCE))))</f>
        <v/>
      </c>
      <c r="J100" s="10" t="str" cm="1">
        <f t="array" ref="J100">_xlfn.LET(_xlpm.EVENT, _xlfn.XMATCH($A100,'Heat Sheet'!$A:$A), IF(ISNA(_xlpm.EVENT), "", _xlfn.LET(_xlpm.ADVANCE, INDEX('Heat Sheet'!$A:$I, _xlpm.EVENT, COLUMN()-1), IF(_xlpm.ADVANCE=0, "", _xlpm.ADVANCE))))</f>
        <v/>
      </c>
      <c r="K100" s="139" t="str" cm="1">
        <f t="array" ref="K100">_xlfn.LET(_xlpm.EVENT, _xlfn.XMATCH($A100,'Heat Sheet'!A:A), IF(ISNA(_xlpm.EVENT), "", _xlfn.LET(_xlpm.ADVANCE, INDEX('Heat Sheet'!$A:$I, _xlpm.EVENT+2, 3), IF(_xlpm.ADVANCE=0, "", _xlpm.ADVANCE))))</f>
        <v/>
      </c>
    </row>
    <row r="101" spans="1:11" ht="29.25" customHeight="1" x14ac:dyDescent="0.2">
      <c r="A101" s="137">
        <v>99</v>
      </c>
      <c r="B101" s="7" t="str">
        <f>IFERROR(TEXT(VLOOKUP(A101,'Heat Sheet'!$A:$I, 2, FALSE), "HH:mm"), "")</f>
        <v/>
      </c>
      <c r="C101" s="138"/>
      <c r="D101" s="10" t="str" cm="1">
        <f t="array" ref="D101">_xlfn.LET(_xlpm.EVENT, _xlfn.XMATCH($A101,'Heat Sheet'!A:A), IF(ISNA(_xlpm.EVENT), "", INDEX('Heat Sheet'!$A:$I, _xlpm.EVENT, 3)&amp;" "&amp;SUBSTITUTE(SUBSTITUTE(SUBSTITUTE(INDEX('Heat Sheet'!$A:$I, _xlpm.EVENT+1, 3), "Heat ", "H"), "Final", "F"), "Flight ", "F")))</f>
        <v/>
      </c>
      <c r="E101" s="10" t="str" cm="1">
        <f t="array" ref="E101">_xlfn.LET(_xlpm.EVENT, _xlfn.XMATCH($A101,'Heat Sheet'!$A:$A), IF(ISNA(_xlpm.EVENT), "", _xlfn.LET(_xlpm.ADVANCE, INDEX('Heat Sheet'!$A:$I, _xlpm.EVENT, COLUMN()-1), IF(_xlpm.ADVANCE=0, "", _xlpm.ADVANCE))))</f>
        <v/>
      </c>
      <c r="F101" s="10" t="str" cm="1">
        <f t="array" ref="F101">_xlfn.LET(_xlpm.EVENT, _xlfn.XMATCH($A101,'Heat Sheet'!$A:$A), IF(ISNA(_xlpm.EVENT), "", _xlfn.LET(_xlpm.ADVANCE, INDEX('Heat Sheet'!$A:$I, _xlpm.EVENT, COLUMN()-1), IF(_xlpm.ADVANCE=0, "", _xlpm.ADVANCE))))</f>
        <v/>
      </c>
      <c r="G101" s="10" t="str" cm="1">
        <f t="array" ref="G101">_xlfn.LET(_xlpm.EVENT, _xlfn.XMATCH($A101,'Heat Sheet'!$A:$A), IF(ISNA(_xlpm.EVENT), "", _xlfn.LET(_xlpm.ADVANCE, INDEX('Heat Sheet'!$A:$I, _xlpm.EVENT, COLUMN()-1), IF(_xlpm.ADVANCE=0, "", _xlpm.ADVANCE))))</f>
        <v/>
      </c>
      <c r="H101" s="10" t="str" cm="1">
        <f t="array" ref="H101">_xlfn.LET(_xlpm.EVENT, _xlfn.XMATCH($A101,'Heat Sheet'!$A:$A), IF(ISNA(_xlpm.EVENT), "", _xlfn.LET(_xlpm.ADVANCE, INDEX('Heat Sheet'!$A:$I, _xlpm.EVENT, COLUMN()-1), IF(_xlpm.ADVANCE=0, "", _xlpm.ADVANCE))))</f>
        <v/>
      </c>
      <c r="I101" s="10" t="str" cm="1">
        <f t="array" ref="I101">_xlfn.LET(_xlpm.EVENT, _xlfn.XMATCH($A101,'Heat Sheet'!$A:$A), IF(ISNA(_xlpm.EVENT), "", _xlfn.LET(_xlpm.ADVANCE, INDEX('Heat Sheet'!$A:$I, _xlpm.EVENT, COLUMN()-1), IF(_xlpm.ADVANCE=0, "", _xlpm.ADVANCE))))</f>
        <v/>
      </c>
      <c r="J101" s="10" t="str" cm="1">
        <f t="array" ref="J101">_xlfn.LET(_xlpm.EVENT, _xlfn.XMATCH($A101,'Heat Sheet'!$A:$A), IF(ISNA(_xlpm.EVENT), "", _xlfn.LET(_xlpm.ADVANCE, INDEX('Heat Sheet'!$A:$I, _xlpm.EVENT, COLUMN()-1), IF(_xlpm.ADVANCE=0, "", _xlpm.ADVANCE))))</f>
        <v/>
      </c>
      <c r="K101" s="139" t="str" cm="1">
        <f t="array" ref="K101">_xlfn.LET(_xlpm.EVENT, _xlfn.XMATCH($A101,'Heat Sheet'!A:A), IF(ISNA(_xlpm.EVENT), "", _xlfn.LET(_xlpm.ADVANCE, INDEX('Heat Sheet'!$A:$I, _xlpm.EVENT+2, 3), IF(_xlpm.ADVANCE=0, "", _xlpm.ADVANCE))))</f>
        <v/>
      </c>
    </row>
    <row r="102" spans="1:11" ht="29.25" customHeight="1" x14ac:dyDescent="0.2">
      <c r="A102" s="137">
        <v>100</v>
      </c>
      <c r="B102" s="7" t="str">
        <f>IFERROR(TEXT(VLOOKUP(A102,'Heat Sheet'!$A:$I, 2, FALSE), "HH:mm"), "")</f>
        <v/>
      </c>
      <c r="C102" s="138"/>
      <c r="D102" s="10" t="str" cm="1">
        <f t="array" ref="D102">_xlfn.LET(_xlpm.EVENT, _xlfn.XMATCH($A102,'Heat Sheet'!A:A), IF(ISNA(_xlpm.EVENT), "", INDEX('Heat Sheet'!$A:$I, _xlpm.EVENT, 3)&amp;" "&amp;SUBSTITUTE(SUBSTITUTE(SUBSTITUTE(INDEX('Heat Sheet'!$A:$I, _xlpm.EVENT+1, 3), "Heat ", "H"), "Final", "F"), "Flight ", "F")))</f>
        <v/>
      </c>
      <c r="E102" s="10" t="str" cm="1">
        <f t="array" ref="E102">_xlfn.LET(_xlpm.EVENT, _xlfn.XMATCH($A102,'Heat Sheet'!$A:$A), IF(ISNA(_xlpm.EVENT), "", _xlfn.LET(_xlpm.ADVANCE, INDEX('Heat Sheet'!$A:$I, _xlpm.EVENT, COLUMN()-1), IF(_xlpm.ADVANCE=0, "", _xlpm.ADVANCE))))</f>
        <v/>
      </c>
      <c r="F102" s="10" t="str" cm="1">
        <f t="array" ref="F102">_xlfn.LET(_xlpm.EVENT, _xlfn.XMATCH($A102,'Heat Sheet'!$A:$A), IF(ISNA(_xlpm.EVENT), "", _xlfn.LET(_xlpm.ADVANCE, INDEX('Heat Sheet'!$A:$I, _xlpm.EVENT, COLUMN()-1), IF(_xlpm.ADVANCE=0, "", _xlpm.ADVANCE))))</f>
        <v/>
      </c>
      <c r="G102" s="10" t="str" cm="1">
        <f t="array" ref="G102">_xlfn.LET(_xlpm.EVENT, _xlfn.XMATCH($A102,'Heat Sheet'!$A:$A), IF(ISNA(_xlpm.EVENT), "", _xlfn.LET(_xlpm.ADVANCE, INDEX('Heat Sheet'!$A:$I, _xlpm.EVENT, COLUMN()-1), IF(_xlpm.ADVANCE=0, "", _xlpm.ADVANCE))))</f>
        <v/>
      </c>
      <c r="H102" s="10" t="str" cm="1">
        <f t="array" ref="H102">_xlfn.LET(_xlpm.EVENT, _xlfn.XMATCH($A102,'Heat Sheet'!$A:$A), IF(ISNA(_xlpm.EVENT), "", _xlfn.LET(_xlpm.ADVANCE, INDEX('Heat Sheet'!$A:$I, _xlpm.EVENT, COLUMN()-1), IF(_xlpm.ADVANCE=0, "", _xlpm.ADVANCE))))</f>
        <v/>
      </c>
      <c r="I102" s="10" t="str" cm="1">
        <f t="array" ref="I102">_xlfn.LET(_xlpm.EVENT, _xlfn.XMATCH($A102,'Heat Sheet'!$A:$A), IF(ISNA(_xlpm.EVENT), "", _xlfn.LET(_xlpm.ADVANCE, INDEX('Heat Sheet'!$A:$I, _xlpm.EVENT, COLUMN()-1), IF(_xlpm.ADVANCE=0, "", _xlpm.ADVANCE))))</f>
        <v/>
      </c>
      <c r="J102" s="10" t="str" cm="1">
        <f t="array" ref="J102">_xlfn.LET(_xlpm.EVENT, _xlfn.XMATCH($A102,'Heat Sheet'!$A:$A), IF(ISNA(_xlpm.EVENT), "", _xlfn.LET(_xlpm.ADVANCE, INDEX('Heat Sheet'!$A:$I, _xlpm.EVENT, COLUMN()-1), IF(_xlpm.ADVANCE=0, "", _xlpm.ADVANCE))))</f>
        <v/>
      </c>
      <c r="K102" s="139" t="str" cm="1">
        <f t="array" ref="K102">_xlfn.LET(_xlpm.EVENT, _xlfn.XMATCH($A102,'Heat Sheet'!A:A), IF(ISNA(_xlpm.EVENT), "", _xlfn.LET(_xlpm.ADVANCE, INDEX('Heat Sheet'!$A:$I, _xlpm.EVENT+2, 3), IF(_xlpm.ADVANCE=0, "", _xlpm.ADVANCE))))</f>
        <v/>
      </c>
    </row>
    <row r="103" spans="1:11" ht="29.25" customHeight="1" x14ac:dyDescent="0.2">
      <c r="A103" s="137">
        <v>101</v>
      </c>
      <c r="B103" s="7" t="str">
        <f>IFERROR(TEXT(VLOOKUP(A103,'Heat Sheet'!$A:$I, 2, FALSE), "HH:mm"), "")</f>
        <v/>
      </c>
      <c r="C103" s="138"/>
      <c r="D103" s="10" t="str" cm="1">
        <f t="array" ref="D103">_xlfn.LET(_xlpm.EVENT, _xlfn.XMATCH($A103,'Heat Sheet'!A:A), IF(ISNA(_xlpm.EVENT), "", INDEX('Heat Sheet'!$A:$I, _xlpm.EVENT, 3)&amp;" "&amp;SUBSTITUTE(SUBSTITUTE(SUBSTITUTE(INDEX('Heat Sheet'!$A:$I, _xlpm.EVENT+1, 3), "Heat ", "H"), "Final", "F"), "Flight ", "F")))</f>
        <v/>
      </c>
      <c r="E103" s="10" t="str" cm="1">
        <f t="array" ref="E103">_xlfn.LET(_xlpm.EVENT, _xlfn.XMATCH($A103,'Heat Sheet'!$A:$A), IF(ISNA(_xlpm.EVENT), "", _xlfn.LET(_xlpm.ADVANCE, INDEX('Heat Sheet'!$A:$I, _xlpm.EVENT, COLUMN()-1), IF(_xlpm.ADVANCE=0, "", _xlpm.ADVANCE))))</f>
        <v/>
      </c>
      <c r="F103" s="10" t="str" cm="1">
        <f t="array" ref="F103">_xlfn.LET(_xlpm.EVENT, _xlfn.XMATCH($A103,'Heat Sheet'!$A:$A), IF(ISNA(_xlpm.EVENT), "", _xlfn.LET(_xlpm.ADVANCE, INDEX('Heat Sheet'!$A:$I, _xlpm.EVENT, COLUMN()-1), IF(_xlpm.ADVANCE=0, "", _xlpm.ADVANCE))))</f>
        <v/>
      </c>
      <c r="G103" s="10" t="str" cm="1">
        <f t="array" ref="G103">_xlfn.LET(_xlpm.EVENT, _xlfn.XMATCH($A103,'Heat Sheet'!$A:$A), IF(ISNA(_xlpm.EVENT), "", _xlfn.LET(_xlpm.ADVANCE, INDEX('Heat Sheet'!$A:$I, _xlpm.EVENT, COLUMN()-1), IF(_xlpm.ADVANCE=0, "", _xlpm.ADVANCE))))</f>
        <v/>
      </c>
      <c r="H103" s="10" t="str" cm="1">
        <f t="array" ref="H103">_xlfn.LET(_xlpm.EVENT, _xlfn.XMATCH($A103,'Heat Sheet'!$A:$A), IF(ISNA(_xlpm.EVENT), "", _xlfn.LET(_xlpm.ADVANCE, INDEX('Heat Sheet'!$A:$I, _xlpm.EVENT, COLUMN()-1), IF(_xlpm.ADVANCE=0, "", _xlpm.ADVANCE))))</f>
        <v/>
      </c>
      <c r="I103" s="10" t="str" cm="1">
        <f t="array" ref="I103">_xlfn.LET(_xlpm.EVENT, _xlfn.XMATCH($A103,'Heat Sheet'!$A:$A), IF(ISNA(_xlpm.EVENT), "", _xlfn.LET(_xlpm.ADVANCE, INDEX('Heat Sheet'!$A:$I, _xlpm.EVENT, COLUMN()-1), IF(_xlpm.ADVANCE=0, "", _xlpm.ADVANCE))))</f>
        <v/>
      </c>
      <c r="J103" s="10" t="str" cm="1">
        <f t="array" ref="J103">_xlfn.LET(_xlpm.EVENT, _xlfn.XMATCH($A103,'Heat Sheet'!$A:$A), IF(ISNA(_xlpm.EVENT), "", _xlfn.LET(_xlpm.ADVANCE, INDEX('Heat Sheet'!$A:$I, _xlpm.EVENT, COLUMN()-1), IF(_xlpm.ADVANCE=0, "", _xlpm.ADVANCE))))</f>
        <v/>
      </c>
      <c r="K103" s="139" t="str" cm="1">
        <f t="array" ref="K103">_xlfn.LET(_xlpm.EVENT, _xlfn.XMATCH($A103,'Heat Sheet'!A:A), IF(ISNA(_xlpm.EVENT), "", _xlfn.LET(_xlpm.ADVANCE, INDEX('Heat Sheet'!$A:$I, _xlpm.EVENT+2, 3), IF(_xlpm.ADVANCE=0, "", _xlpm.ADVANCE))))</f>
        <v/>
      </c>
    </row>
    <row r="104" spans="1:11" ht="29.25" customHeight="1" x14ac:dyDescent="0.2">
      <c r="A104" s="137">
        <v>102</v>
      </c>
      <c r="B104" s="7" t="str">
        <f>IFERROR(TEXT(VLOOKUP(A104,'Heat Sheet'!$A:$I, 2, FALSE), "HH:mm"), "")</f>
        <v/>
      </c>
      <c r="C104" s="138"/>
      <c r="D104" s="10" t="str" cm="1">
        <f t="array" ref="D104">_xlfn.LET(_xlpm.EVENT, _xlfn.XMATCH($A104,'Heat Sheet'!A:A), IF(ISNA(_xlpm.EVENT), "", INDEX('Heat Sheet'!$A:$I, _xlpm.EVENT, 3)&amp;" "&amp;SUBSTITUTE(SUBSTITUTE(SUBSTITUTE(INDEX('Heat Sheet'!$A:$I, _xlpm.EVENT+1, 3), "Heat ", "H"), "Final", "F"), "Flight ", "F")))</f>
        <v/>
      </c>
      <c r="E104" s="10" t="str" cm="1">
        <f t="array" ref="E104">_xlfn.LET(_xlpm.EVENT, _xlfn.XMATCH($A104,'Heat Sheet'!$A:$A), IF(ISNA(_xlpm.EVENT), "", _xlfn.LET(_xlpm.ADVANCE, INDEX('Heat Sheet'!$A:$I, _xlpm.EVENT, COLUMN()-1), IF(_xlpm.ADVANCE=0, "", _xlpm.ADVANCE))))</f>
        <v/>
      </c>
      <c r="F104" s="10" t="str" cm="1">
        <f t="array" ref="F104">_xlfn.LET(_xlpm.EVENT, _xlfn.XMATCH($A104,'Heat Sheet'!$A:$A), IF(ISNA(_xlpm.EVENT), "", _xlfn.LET(_xlpm.ADVANCE, INDEX('Heat Sheet'!$A:$I, _xlpm.EVENT, COLUMN()-1), IF(_xlpm.ADVANCE=0, "", _xlpm.ADVANCE))))</f>
        <v/>
      </c>
      <c r="G104" s="10" t="str" cm="1">
        <f t="array" ref="G104">_xlfn.LET(_xlpm.EVENT, _xlfn.XMATCH($A104,'Heat Sheet'!$A:$A), IF(ISNA(_xlpm.EVENT), "", _xlfn.LET(_xlpm.ADVANCE, INDEX('Heat Sheet'!$A:$I, _xlpm.EVENT, COLUMN()-1), IF(_xlpm.ADVANCE=0, "", _xlpm.ADVANCE))))</f>
        <v/>
      </c>
      <c r="H104" s="10" t="str" cm="1">
        <f t="array" ref="H104">_xlfn.LET(_xlpm.EVENT, _xlfn.XMATCH($A104,'Heat Sheet'!$A:$A), IF(ISNA(_xlpm.EVENT), "", _xlfn.LET(_xlpm.ADVANCE, INDEX('Heat Sheet'!$A:$I, _xlpm.EVENT, COLUMN()-1), IF(_xlpm.ADVANCE=0, "", _xlpm.ADVANCE))))</f>
        <v/>
      </c>
      <c r="I104" s="10" t="str" cm="1">
        <f t="array" ref="I104">_xlfn.LET(_xlpm.EVENT, _xlfn.XMATCH($A104,'Heat Sheet'!$A:$A), IF(ISNA(_xlpm.EVENT), "", _xlfn.LET(_xlpm.ADVANCE, INDEX('Heat Sheet'!$A:$I, _xlpm.EVENT, COLUMN()-1), IF(_xlpm.ADVANCE=0, "", _xlpm.ADVANCE))))</f>
        <v/>
      </c>
      <c r="J104" s="10" t="str" cm="1">
        <f t="array" ref="J104">_xlfn.LET(_xlpm.EVENT, _xlfn.XMATCH($A104,'Heat Sheet'!$A:$A), IF(ISNA(_xlpm.EVENT), "", _xlfn.LET(_xlpm.ADVANCE, INDEX('Heat Sheet'!$A:$I, _xlpm.EVENT, COLUMN()-1), IF(_xlpm.ADVANCE=0, "", _xlpm.ADVANCE))))</f>
        <v/>
      </c>
      <c r="K104" s="139" t="str" cm="1">
        <f t="array" ref="K104">_xlfn.LET(_xlpm.EVENT, _xlfn.XMATCH($A104,'Heat Sheet'!A:A), IF(ISNA(_xlpm.EVENT), "", _xlfn.LET(_xlpm.ADVANCE, INDEX('Heat Sheet'!$A:$I, _xlpm.EVENT+2, 3), IF(_xlpm.ADVANCE=0, "", _xlpm.ADVANCE))))</f>
        <v/>
      </c>
    </row>
    <row r="105" spans="1:11" ht="29.25" customHeight="1" x14ac:dyDescent="0.2">
      <c r="A105" s="137">
        <v>103</v>
      </c>
      <c r="B105" s="7" t="str">
        <f>IFERROR(TEXT(VLOOKUP(A105,'Heat Sheet'!$A:$I, 2, FALSE), "HH:mm"), "")</f>
        <v/>
      </c>
      <c r="C105" s="138"/>
      <c r="D105" s="10" t="str" cm="1">
        <f t="array" ref="D105">_xlfn.LET(_xlpm.EVENT, _xlfn.XMATCH($A105,'Heat Sheet'!A:A), IF(ISNA(_xlpm.EVENT), "", INDEX('Heat Sheet'!$A:$I, _xlpm.EVENT, 3)&amp;" "&amp;SUBSTITUTE(SUBSTITUTE(SUBSTITUTE(INDEX('Heat Sheet'!$A:$I, _xlpm.EVENT+1, 3), "Heat ", "H"), "Final", "F"), "Flight ", "F")))</f>
        <v/>
      </c>
      <c r="E105" s="10" t="str" cm="1">
        <f t="array" ref="E105">_xlfn.LET(_xlpm.EVENT, _xlfn.XMATCH($A105,'Heat Sheet'!$A:$A), IF(ISNA(_xlpm.EVENT), "", _xlfn.LET(_xlpm.ADVANCE, INDEX('Heat Sheet'!$A:$I, _xlpm.EVENT, COLUMN()-1), IF(_xlpm.ADVANCE=0, "", _xlpm.ADVANCE))))</f>
        <v/>
      </c>
      <c r="F105" s="10" t="str" cm="1">
        <f t="array" ref="F105">_xlfn.LET(_xlpm.EVENT, _xlfn.XMATCH($A105,'Heat Sheet'!$A:$A), IF(ISNA(_xlpm.EVENT), "", _xlfn.LET(_xlpm.ADVANCE, INDEX('Heat Sheet'!$A:$I, _xlpm.EVENT, COLUMN()-1), IF(_xlpm.ADVANCE=0, "", _xlpm.ADVANCE))))</f>
        <v/>
      </c>
      <c r="G105" s="10" t="str" cm="1">
        <f t="array" ref="G105">_xlfn.LET(_xlpm.EVENT, _xlfn.XMATCH($A105,'Heat Sheet'!$A:$A), IF(ISNA(_xlpm.EVENT), "", _xlfn.LET(_xlpm.ADVANCE, INDEX('Heat Sheet'!$A:$I, _xlpm.EVENT, COLUMN()-1), IF(_xlpm.ADVANCE=0, "", _xlpm.ADVANCE))))</f>
        <v/>
      </c>
      <c r="H105" s="10" t="str" cm="1">
        <f t="array" ref="H105">_xlfn.LET(_xlpm.EVENT, _xlfn.XMATCH($A105,'Heat Sheet'!$A:$A), IF(ISNA(_xlpm.EVENT), "", _xlfn.LET(_xlpm.ADVANCE, INDEX('Heat Sheet'!$A:$I, _xlpm.EVENT, COLUMN()-1), IF(_xlpm.ADVANCE=0, "", _xlpm.ADVANCE))))</f>
        <v/>
      </c>
      <c r="I105" s="10" t="str" cm="1">
        <f t="array" ref="I105">_xlfn.LET(_xlpm.EVENT, _xlfn.XMATCH($A105,'Heat Sheet'!$A:$A), IF(ISNA(_xlpm.EVENT), "", _xlfn.LET(_xlpm.ADVANCE, INDEX('Heat Sheet'!$A:$I, _xlpm.EVENT, COLUMN()-1), IF(_xlpm.ADVANCE=0, "", _xlpm.ADVANCE))))</f>
        <v/>
      </c>
      <c r="J105" s="10" t="str" cm="1">
        <f t="array" ref="J105">_xlfn.LET(_xlpm.EVENT, _xlfn.XMATCH($A105,'Heat Sheet'!$A:$A), IF(ISNA(_xlpm.EVENT), "", _xlfn.LET(_xlpm.ADVANCE, INDEX('Heat Sheet'!$A:$I, _xlpm.EVENT, COLUMN()-1), IF(_xlpm.ADVANCE=0, "", _xlpm.ADVANCE))))</f>
        <v/>
      </c>
      <c r="K105" s="139" t="str" cm="1">
        <f t="array" ref="K105">_xlfn.LET(_xlpm.EVENT, _xlfn.XMATCH($A105,'Heat Sheet'!A:A), IF(ISNA(_xlpm.EVENT), "", _xlfn.LET(_xlpm.ADVANCE, INDEX('Heat Sheet'!$A:$I, _xlpm.EVENT+2, 3), IF(_xlpm.ADVANCE=0, "", _xlpm.ADVANCE))))</f>
        <v/>
      </c>
    </row>
    <row r="106" spans="1:11" ht="29.25" customHeight="1" x14ac:dyDescent="0.2">
      <c r="A106" s="137">
        <v>104</v>
      </c>
      <c r="B106" s="7" t="str">
        <f>IFERROR(TEXT(VLOOKUP(A106,'Heat Sheet'!$A:$I, 2, FALSE), "HH:mm"), "")</f>
        <v/>
      </c>
      <c r="C106" s="138"/>
      <c r="D106" s="10" t="str" cm="1">
        <f t="array" ref="D106">_xlfn.LET(_xlpm.EVENT, _xlfn.XMATCH($A106,'Heat Sheet'!A:A), IF(ISNA(_xlpm.EVENT), "", INDEX('Heat Sheet'!$A:$I, _xlpm.EVENT, 3)&amp;" "&amp;SUBSTITUTE(SUBSTITUTE(SUBSTITUTE(INDEX('Heat Sheet'!$A:$I, _xlpm.EVENT+1, 3), "Heat ", "H"), "Final", "F"), "Flight ", "F")))</f>
        <v/>
      </c>
      <c r="E106" s="10" t="str" cm="1">
        <f t="array" ref="E106">_xlfn.LET(_xlpm.EVENT, _xlfn.XMATCH($A106,'Heat Sheet'!$A:$A), IF(ISNA(_xlpm.EVENT), "", _xlfn.LET(_xlpm.ADVANCE, INDEX('Heat Sheet'!$A:$I, _xlpm.EVENT, COLUMN()-1), IF(_xlpm.ADVANCE=0, "", _xlpm.ADVANCE))))</f>
        <v/>
      </c>
      <c r="F106" s="10" t="str" cm="1">
        <f t="array" ref="F106">_xlfn.LET(_xlpm.EVENT, _xlfn.XMATCH($A106,'Heat Sheet'!$A:$A), IF(ISNA(_xlpm.EVENT), "", _xlfn.LET(_xlpm.ADVANCE, INDEX('Heat Sheet'!$A:$I, _xlpm.EVENT, COLUMN()-1), IF(_xlpm.ADVANCE=0, "", _xlpm.ADVANCE))))</f>
        <v/>
      </c>
      <c r="G106" s="10" t="str" cm="1">
        <f t="array" ref="G106">_xlfn.LET(_xlpm.EVENT, _xlfn.XMATCH($A106,'Heat Sheet'!$A:$A), IF(ISNA(_xlpm.EVENT), "", _xlfn.LET(_xlpm.ADVANCE, INDEX('Heat Sheet'!$A:$I, _xlpm.EVENT, COLUMN()-1), IF(_xlpm.ADVANCE=0, "", _xlpm.ADVANCE))))</f>
        <v/>
      </c>
      <c r="H106" s="10" t="str" cm="1">
        <f t="array" ref="H106">_xlfn.LET(_xlpm.EVENT, _xlfn.XMATCH($A106,'Heat Sheet'!$A:$A), IF(ISNA(_xlpm.EVENT), "", _xlfn.LET(_xlpm.ADVANCE, INDEX('Heat Sheet'!$A:$I, _xlpm.EVENT, COLUMN()-1), IF(_xlpm.ADVANCE=0, "", _xlpm.ADVANCE))))</f>
        <v/>
      </c>
      <c r="I106" s="10" t="str" cm="1">
        <f t="array" ref="I106">_xlfn.LET(_xlpm.EVENT, _xlfn.XMATCH($A106,'Heat Sheet'!$A:$A), IF(ISNA(_xlpm.EVENT), "", _xlfn.LET(_xlpm.ADVANCE, INDEX('Heat Sheet'!$A:$I, _xlpm.EVENT, COLUMN()-1), IF(_xlpm.ADVANCE=0, "", _xlpm.ADVANCE))))</f>
        <v/>
      </c>
      <c r="J106" s="10" t="str" cm="1">
        <f t="array" ref="J106">_xlfn.LET(_xlpm.EVENT, _xlfn.XMATCH($A106,'Heat Sheet'!$A:$A), IF(ISNA(_xlpm.EVENT), "", _xlfn.LET(_xlpm.ADVANCE, INDEX('Heat Sheet'!$A:$I, _xlpm.EVENT, COLUMN()-1), IF(_xlpm.ADVANCE=0, "", _xlpm.ADVANCE))))</f>
        <v/>
      </c>
      <c r="K106" s="139" t="str" cm="1">
        <f t="array" ref="K106">_xlfn.LET(_xlpm.EVENT, _xlfn.XMATCH($A106,'Heat Sheet'!A:A), IF(ISNA(_xlpm.EVENT), "", _xlfn.LET(_xlpm.ADVANCE, INDEX('Heat Sheet'!$A:$I, _xlpm.EVENT+2, 3), IF(_xlpm.ADVANCE=0, "", _xlpm.ADVANCE))))</f>
        <v/>
      </c>
    </row>
    <row r="107" spans="1:11" ht="29.25" customHeight="1" x14ac:dyDescent="0.2">
      <c r="A107" s="137">
        <v>105</v>
      </c>
      <c r="B107" s="7" t="str">
        <f>IFERROR(TEXT(VLOOKUP(A107,'Heat Sheet'!$A:$I, 2, FALSE), "HH:mm"), "")</f>
        <v/>
      </c>
      <c r="C107" s="138"/>
      <c r="D107" s="10" t="str" cm="1">
        <f t="array" ref="D107">_xlfn.LET(_xlpm.EVENT, _xlfn.XMATCH($A107,'Heat Sheet'!A:A), IF(ISNA(_xlpm.EVENT), "", INDEX('Heat Sheet'!$A:$I, _xlpm.EVENT, 3)&amp;" "&amp;SUBSTITUTE(SUBSTITUTE(SUBSTITUTE(INDEX('Heat Sheet'!$A:$I, _xlpm.EVENT+1, 3), "Heat ", "H"), "Final", "F"), "Flight ", "F")))</f>
        <v/>
      </c>
      <c r="E107" s="10" t="str" cm="1">
        <f t="array" ref="E107">_xlfn.LET(_xlpm.EVENT, _xlfn.XMATCH($A107,'Heat Sheet'!$A:$A), IF(ISNA(_xlpm.EVENT), "", _xlfn.LET(_xlpm.ADVANCE, INDEX('Heat Sheet'!$A:$I, _xlpm.EVENT, COLUMN()-1), IF(_xlpm.ADVANCE=0, "", _xlpm.ADVANCE))))</f>
        <v/>
      </c>
      <c r="F107" s="10" t="str" cm="1">
        <f t="array" ref="F107">_xlfn.LET(_xlpm.EVENT, _xlfn.XMATCH($A107,'Heat Sheet'!$A:$A), IF(ISNA(_xlpm.EVENT), "", _xlfn.LET(_xlpm.ADVANCE, INDEX('Heat Sheet'!$A:$I, _xlpm.EVENT, COLUMN()-1), IF(_xlpm.ADVANCE=0, "", _xlpm.ADVANCE))))</f>
        <v/>
      </c>
      <c r="G107" s="10" t="str" cm="1">
        <f t="array" ref="G107">_xlfn.LET(_xlpm.EVENT, _xlfn.XMATCH($A107,'Heat Sheet'!$A:$A), IF(ISNA(_xlpm.EVENT), "", _xlfn.LET(_xlpm.ADVANCE, INDEX('Heat Sheet'!$A:$I, _xlpm.EVENT, COLUMN()-1), IF(_xlpm.ADVANCE=0, "", _xlpm.ADVANCE))))</f>
        <v/>
      </c>
      <c r="H107" s="10" t="str" cm="1">
        <f t="array" ref="H107">_xlfn.LET(_xlpm.EVENT, _xlfn.XMATCH($A107,'Heat Sheet'!$A:$A), IF(ISNA(_xlpm.EVENT), "", _xlfn.LET(_xlpm.ADVANCE, INDEX('Heat Sheet'!$A:$I, _xlpm.EVENT, COLUMN()-1), IF(_xlpm.ADVANCE=0, "", _xlpm.ADVANCE))))</f>
        <v/>
      </c>
      <c r="I107" s="10" t="str" cm="1">
        <f t="array" ref="I107">_xlfn.LET(_xlpm.EVENT, _xlfn.XMATCH($A107,'Heat Sheet'!$A:$A), IF(ISNA(_xlpm.EVENT), "", _xlfn.LET(_xlpm.ADVANCE, INDEX('Heat Sheet'!$A:$I, _xlpm.EVENT, COLUMN()-1), IF(_xlpm.ADVANCE=0, "", _xlpm.ADVANCE))))</f>
        <v/>
      </c>
      <c r="J107" s="10" t="str" cm="1">
        <f t="array" ref="J107">_xlfn.LET(_xlpm.EVENT, _xlfn.XMATCH($A107,'Heat Sheet'!$A:$A), IF(ISNA(_xlpm.EVENT), "", _xlfn.LET(_xlpm.ADVANCE, INDEX('Heat Sheet'!$A:$I, _xlpm.EVENT, COLUMN()-1), IF(_xlpm.ADVANCE=0, "", _xlpm.ADVANCE))))</f>
        <v/>
      </c>
      <c r="K107" s="139" t="str" cm="1">
        <f t="array" ref="K107">_xlfn.LET(_xlpm.EVENT, _xlfn.XMATCH($A107,'Heat Sheet'!A:A), IF(ISNA(_xlpm.EVENT), "", _xlfn.LET(_xlpm.ADVANCE, INDEX('Heat Sheet'!$A:$I, _xlpm.EVENT+2, 3), IF(_xlpm.ADVANCE=0, "", _xlpm.ADVANCE))))</f>
        <v/>
      </c>
    </row>
    <row r="108" spans="1:11" ht="29.25" customHeight="1" x14ac:dyDescent="0.2">
      <c r="A108" s="137">
        <v>106</v>
      </c>
      <c r="B108" s="7" t="str">
        <f>IFERROR(TEXT(VLOOKUP(A108,'Heat Sheet'!$A:$I, 2, FALSE), "HH:mm"), "")</f>
        <v/>
      </c>
      <c r="C108" s="138"/>
      <c r="D108" s="10" t="str" cm="1">
        <f t="array" ref="D108">_xlfn.LET(_xlpm.EVENT, _xlfn.XMATCH($A108,'Heat Sheet'!A:A), IF(ISNA(_xlpm.EVENT), "", INDEX('Heat Sheet'!$A:$I, _xlpm.EVENT, 3)&amp;" "&amp;SUBSTITUTE(SUBSTITUTE(SUBSTITUTE(INDEX('Heat Sheet'!$A:$I, _xlpm.EVENT+1, 3), "Heat ", "H"), "Final", "F"), "Flight ", "F")))</f>
        <v/>
      </c>
      <c r="E108" s="10" t="str" cm="1">
        <f t="array" ref="E108">_xlfn.LET(_xlpm.EVENT, _xlfn.XMATCH($A108,'Heat Sheet'!$A:$A), IF(ISNA(_xlpm.EVENT), "", _xlfn.LET(_xlpm.ADVANCE, INDEX('Heat Sheet'!$A:$I, _xlpm.EVENT, COLUMN()-1), IF(_xlpm.ADVANCE=0, "", _xlpm.ADVANCE))))</f>
        <v/>
      </c>
      <c r="F108" s="10" t="str" cm="1">
        <f t="array" ref="F108">_xlfn.LET(_xlpm.EVENT, _xlfn.XMATCH($A108,'Heat Sheet'!$A:$A), IF(ISNA(_xlpm.EVENT), "", _xlfn.LET(_xlpm.ADVANCE, INDEX('Heat Sheet'!$A:$I, _xlpm.EVENT, COLUMN()-1), IF(_xlpm.ADVANCE=0, "", _xlpm.ADVANCE))))</f>
        <v/>
      </c>
      <c r="G108" s="10" t="str" cm="1">
        <f t="array" ref="G108">_xlfn.LET(_xlpm.EVENT, _xlfn.XMATCH($A108,'Heat Sheet'!$A:$A), IF(ISNA(_xlpm.EVENT), "", _xlfn.LET(_xlpm.ADVANCE, INDEX('Heat Sheet'!$A:$I, _xlpm.EVENT, COLUMN()-1), IF(_xlpm.ADVANCE=0, "", _xlpm.ADVANCE))))</f>
        <v/>
      </c>
      <c r="H108" s="10" t="str" cm="1">
        <f t="array" ref="H108">_xlfn.LET(_xlpm.EVENT, _xlfn.XMATCH($A108,'Heat Sheet'!$A:$A), IF(ISNA(_xlpm.EVENT), "", _xlfn.LET(_xlpm.ADVANCE, INDEX('Heat Sheet'!$A:$I, _xlpm.EVENT, COLUMN()-1), IF(_xlpm.ADVANCE=0, "", _xlpm.ADVANCE))))</f>
        <v/>
      </c>
      <c r="I108" s="10" t="str" cm="1">
        <f t="array" ref="I108">_xlfn.LET(_xlpm.EVENT, _xlfn.XMATCH($A108,'Heat Sheet'!$A:$A), IF(ISNA(_xlpm.EVENT), "", _xlfn.LET(_xlpm.ADVANCE, INDEX('Heat Sheet'!$A:$I, _xlpm.EVENT, COLUMN()-1), IF(_xlpm.ADVANCE=0, "", _xlpm.ADVANCE))))</f>
        <v/>
      </c>
      <c r="J108" s="10" t="str" cm="1">
        <f t="array" ref="J108">_xlfn.LET(_xlpm.EVENT, _xlfn.XMATCH($A108,'Heat Sheet'!$A:$A), IF(ISNA(_xlpm.EVENT), "", _xlfn.LET(_xlpm.ADVANCE, INDEX('Heat Sheet'!$A:$I, _xlpm.EVENT, COLUMN()-1), IF(_xlpm.ADVANCE=0, "", _xlpm.ADVANCE))))</f>
        <v/>
      </c>
      <c r="K108" s="139" t="str" cm="1">
        <f t="array" ref="K108">_xlfn.LET(_xlpm.EVENT, _xlfn.XMATCH($A108,'Heat Sheet'!A:A), IF(ISNA(_xlpm.EVENT), "", _xlfn.LET(_xlpm.ADVANCE, INDEX('Heat Sheet'!$A:$I, _xlpm.EVENT+2, 3), IF(_xlpm.ADVANCE=0, "", _xlpm.ADVANCE))))</f>
        <v/>
      </c>
    </row>
    <row r="109" spans="1:11" ht="29.25" customHeight="1" x14ac:dyDescent="0.2">
      <c r="A109" s="137">
        <v>107</v>
      </c>
      <c r="B109" s="7" t="str">
        <f>IFERROR(TEXT(VLOOKUP(A109,'Heat Sheet'!$A:$I, 2, FALSE), "HH:mm"), "")</f>
        <v/>
      </c>
      <c r="C109" s="138"/>
      <c r="D109" s="10" t="str" cm="1">
        <f t="array" ref="D109">_xlfn.LET(_xlpm.EVENT, _xlfn.XMATCH($A109,'Heat Sheet'!A:A), IF(ISNA(_xlpm.EVENT), "", INDEX('Heat Sheet'!$A:$I, _xlpm.EVENT, 3)&amp;" "&amp;SUBSTITUTE(SUBSTITUTE(SUBSTITUTE(INDEX('Heat Sheet'!$A:$I, _xlpm.EVENT+1, 3), "Heat ", "H"), "Final", "F"), "Flight ", "F")))</f>
        <v/>
      </c>
      <c r="E109" s="10" t="str" cm="1">
        <f t="array" ref="E109">_xlfn.LET(_xlpm.EVENT, _xlfn.XMATCH($A109,'Heat Sheet'!$A:$A), IF(ISNA(_xlpm.EVENT), "", _xlfn.LET(_xlpm.ADVANCE, INDEX('Heat Sheet'!$A:$I, _xlpm.EVENT, COLUMN()-1), IF(_xlpm.ADVANCE=0, "", _xlpm.ADVANCE))))</f>
        <v/>
      </c>
      <c r="F109" s="10" t="str" cm="1">
        <f t="array" ref="F109">_xlfn.LET(_xlpm.EVENT, _xlfn.XMATCH($A109,'Heat Sheet'!$A:$A), IF(ISNA(_xlpm.EVENT), "", _xlfn.LET(_xlpm.ADVANCE, INDEX('Heat Sheet'!$A:$I, _xlpm.EVENT, COLUMN()-1), IF(_xlpm.ADVANCE=0, "", _xlpm.ADVANCE))))</f>
        <v/>
      </c>
      <c r="G109" s="10" t="str" cm="1">
        <f t="array" ref="G109">_xlfn.LET(_xlpm.EVENT, _xlfn.XMATCH($A109,'Heat Sheet'!$A:$A), IF(ISNA(_xlpm.EVENT), "", _xlfn.LET(_xlpm.ADVANCE, INDEX('Heat Sheet'!$A:$I, _xlpm.EVENT, COLUMN()-1), IF(_xlpm.ADVANCE=0, "", _xlpm.ADVANCE))))</f>
        <v/>
      </c>
      <c r="H109" s="10" t="str" cm="1">
        <f t="array" ref="H109">_xlfn.LET(_xlpm.EVENT, _xlfn.XMATCH($A109,'Heat Sheet'!$A:$A), IF(ISNA(_xlpm.EVENT), "", _xlfn.LET(_xlpm.ADVANCE, INDEX('Heat Sheet'!$A:$I, _xlpm.EVENT, COLUMN()-1), IF(_xlpm.ADVANCE=0, "", _xlpm.ADVANCE))))</f>
        <v/>
      </c>
      <c r="I109" s="10" t="str" cm="1">
        <f t="array" ref="I109">_xlfn.LET(_xlpm.EVENT, _xlfn.XMATCH($A109,'Heat Sheet'!$A:$A), IF(ISNA(_xlpm.EVENT), "", _xlfn.LET(_xlpm.ADVANCE, INDEX('Heat Sheet'!$A:$I, _xlpm.EVENT, COLUMN()-1), IF(_xlpm.ADVANCE=0, "", _xlpm.ADVANCE))))</f>
        <v/>
      </c>
      <c r="J109" s="10" t="str" cm="1">
        <f t="array" ref="J109">_xlfn.LET(_xlpm.EVENT, _xlfn.XMATCH($A109,'Heat Sheet'!$A:$A), IF(ISNA(_xlpm.EVENT), "", _xlfn.LET(_xlpm.ADVANCE, INDEX('Heat Sheet'!$A:$I, _xlpm.EVENT, COLUMN()-1), IF(_xlpm.ADVANCE=0, "", _xlpm.ADVANCE))))</f>
        <v/>
      </c>
      <c r="K109" s="139" t="str" cm="1">
        <f t="array" ref="K109">_xlfn.LET(_xlpm.EVENT, _xlfn.XMATCH($A109,'Heat Sheet'!A:A), IF(ISNA(_xlpm.EVENT), "", _xlfn.LET(_xlpm.ADVANCE, INDEX('Heat Sheet'!$A:$I, _xlpm.EVENT+2, 3), IF(_xlpm.ADVANCE=0, "", _xlpm.ADVANCE))))</f>
        <v/>
      </c>
    </row>
    <row r="110" spans="1:11" ht="29.25" customHeight="1" x14ac:dyDescent="0.2">
      <c r="A110" s="137">
        <v>108</v>
      </c>
      <c r="B110" s="7" t="str">
        <f>IFERROR(TEXT(VLOOKUP(A110,'Heat Sheet'!$A:$I, 2, FALSE), "HH:mm"), "")</f>
        <v/>
      </c>
      <c r="C110" s="138"/>
      <c r="D110" s="10" t="str" cm="1">
        <f t="array" ref="D110">_xlfn.LET(_xlpm.EVENT, _xlfn.XMATCH($A110,'Heat Sheet'!A:A), IF(ISNA(_xlpm.EVENT), "", INDEX('Heat Sheet'!$A:$I, _xlpm.EVENT, 3)&amp;" "&amp;SUBSTITUTE(SUBSTITUTE(SUBSTITUTE(INDEX('Heat Sheet'!$A:$I, _xlpm.EVENT+1, 3), "Heat ", "H"), "Final", "F"), "Flight ", "F")))</f>
        <v/>
      </c>
      <c r="E110" s="10" t="str" cm="1">
        <f t="array" ref="E110">_xlfn.LET(_xlpm.EVENT, _xlfn.XMATCH($A110,'Heat Sheet'!$A:$A), IF(ISNA(_xlpm.EVENT), "", _xlfn.LET(_xlpm.ADVANCE, INDEX('Heat Sheet'!$A:$I, _xlpm.EVENT, COLUMN()-1), IF(_xlpm.ADVANCE=0, "", _xlpm.ADVANCE))))</f>
        <v/>
      </c>
      <c r="F110" s="10" t="str" cm="1">
        <f t="array" ref="F110">_xlfn.LET(_xlpm.EVENT, _xlfn.XMATCH($A110,'Heat Sheet'!$A:$A), IF(ISNA(_xlpm.EVENT), "", _xlfn.LET(_xlpm.ADVANCE, INDEX('Heat Sheet'!$A:$I, _xlpm.EVENT, COLUMN()-1), IF(_xlpm.ADVANCE=0, "", _xlpm.ADVANCE))))</f>
        <v/>
      </c>
      <c r="G110" s="10" t="str" cm="1">
        <f t="array" ref="G110">_xlfn.LET(_xlpm.EVENT, _xlfn.XMATCH($A110,'Heat Sheet'!$A:$A), IF(ISNA(_xlpm.EVENT), "", _xlfn.LET(_xlpm.ADVANCE, INDEX('Heat Sheet'!$A:$I, _xlpm.EVENT, COLUMN()-1), IF(_xlpm.ADVANCE=0, "", _xlpm.ADVANCE))))</f>
        <v/>
      </c>
      <c r="H110" s="10" t="str" cm="1">
        <f t="array" ref="H110">_xlfn.LET(_xlpm.EVENT, _xlfn.XMATCH($A110,'Heat Sheet'!$A:$A), IF(ISNA(_xlpm.EVENT), "", _xlfn.LET(_xlpm.ADVANCE, INDEX('Heat Sheet'!$A:$I, _xlpm.EVENT, COLUMN()-1), IF(_xlpm.ADVANCE=0, "", _xlpm.ADVANCE))))</f>
        <v/>
      </c>
      <c r="I110" s="10" t="str" cm="1">
        <f t="array" ref="I110">_xlfn.LET(_xlpm.EVENT, _xlfn.XMATCH($A110,'Heat Sheet'!$A:$A), IF(ISNA(_xlpm.EVENT), "", _xlfn.LET(_xlpm.ADVANCE, INDEX('Heat Sheet'!$A:$I, _xlpm.EVENT, COLUMN()-1), IF(_xlpm.ADVANCE=0, "", _xlpm.ADVANCE))))</f>
        <v/>
      </c>
      <c r="J110" s="10" t="str" cm="1">
        <f t="array" ref="J110">_xlfn.LET(_xlpm.EVENT, _xlfn.XMATCH($A110,'Heat Sheet'!$A:$A), IF(ISNA(_xlpm.EVENT), "", _xlfn.LET(_xlpm.ADVANCE, INDEX('Heat Sheet'!$A:$I, _xlpm.EVENT, COLUMN()-1), IF(_xlpm.ADVANCE=0, "", _xlpm.ADVANCE))))</f>
        <v/>
      </c>
      <c r="K110" s="139" t="str" cm="1">
        <f t="array" ref="K110">_xlfn.LET(_xlpm.EVENT, _xlfn.XMATCH($A110,'Heat Sheet'!A:A), IF(ISNA(_xlpm.EVENT), "", _xlfn.LET(_xlpm.ADVANCE, INDEX('Heat Sheet'!$A:$I, _xlpm.EVENT+2, 3), IF(_xlpm.ADVANCE=0, "", _xlpm.ADVANCE))))</f>
        <v/>
      </c>
    </row>
    <row r="111" spans="1:11" ht="29.25" customHeight="1" x14ac:dyDescent="0.2">
      <c r="A111" s="137">
        <v>109</v>
      </c>
      <c r="B111" s="7" t="str">
        <f>IFERROR(TEXT(VLOOKUP(A111,'Heat Sheet'!$A:$I, 2, FALSE), "HH:mm"), "")</f>
        <v/>
      </c>
      <c r="C111" s="138"/>
      <c r="D111" s="10" t="str" cm="1">
        <f t="array" ref="D111">_xlfn.LET(_xlpm.EVENT, _xlfn.XMATCH($A111,'Heat Sheet'!A:A), IF(ISNA(_xlpm.EVENT), "", INDEX('Heat Sheet'!$A:$I, _xlpm.EVENT, 3)&amp;" "&amp;SUBSTITUTE(SUBSTITUTE(SUBSTITUTE(INDEX('Heat Sheet'!$A:$I, _xlpm.EVENT+1, 3), "Heat ", "H"), "Final", "F"), "Flight ", "F")))</f>
        <v/>
      </c>
      <c r="E111" s="10" t="str" cm="1">
        <f t="array" ref="E111">_xlfn.LET(_xlpm.EVENT, _xlfn.XMATCH($A111,'Heat Sheet'!$A:$A), IF(ISNA(_xlpm.EVENT), "", _xlfn.LET(_xlpm.ADVANCE, INDEX('Heat Sheet'!$A:$I, _xlpm.EVENT, COLUMN()-1), IF(_xlpm.ADVANCE=0, "", _xlpm.ADVANCE))))</f>
        <v/>
      </c>
      <c r="F111" s="10" t="str" cm="1">
        <f t="array" ref="F111">_xlfn.LET(_xlpm.EVENT, _xlfn.XMATCH($A111,'Heat Sheet'!$A:$A), IF(ISNA(_xlpm.EVENT), "", _xlfn.LET(_xlpm.ADVANCE, INDEX('Heat Sheet'!$A:$I, _xlpm.EVENT, COLUMN()-1), IF(_xlpm.ADVANCE=0, "", _xlpm.ADVANCE))))</f>
        <v/>
      </c>
      <c r="G111" s="10" t="str" cm="1">
        <f t="array" ref="G111">_xlfn.LET(_xlpm.EVENT, _xlfn.XMATCH($A111,'Heat Sheet'!$A:$A), IF(ISNA(_xlpm.EVENT), "", _xlfn.LET(_xlpm.ADVANCE, INDEX('Heat Sheet'!$A:$I, _xlpm.EVENT, COLUMN()-1), IF(_xlpm.ADVANCE=0, "", _xlpm.ADVANCE))))</f>
        <v/>
      </c>
      <c r="H111" s="10" t="str" cm="1">
        <f t="array" ref="H111">_xlfn.LET(_xlpm.EVENT, _xlfn.XMATCH($A111,'Heat Sheet'!$A:$A), IF(ISNA(_xlpm.EVENT), "", _xlfn.LET(_xlpm.ADVANCE, INDEX('Heat Sheet'!$A:$I, _xlpm.EVENT, COLUMN()-1), IF(_xlpm.ADVANCE=0, "", _xlpm.ADVANCE))))</f>
        <v/>
      </c>
      <c r="I111" s="10" t="str" cm="1">
        <f t="array" ref="I111">_xlfn.LET(_xlpm.EVENT, _xlfn.XMATCH($A111,'Heat Sheet'!$A:$A), IF(ISNA(_xlpm.EVENT), "", _xlfn.LET(_xlpm.ADVANCE, INDEX('Heat Sheet'!$A:$I, _xlpm.EVENT, COLUMN()-1), IF(_xlpm.ADVANCE=0, "", _xlpm.ADVANCE))))</f>
        <v/>
      </c>
      <c r="J111" s="10" t="str" cm="1">
        <f t="array" ref="J111">_xlfn.LET(_xlpm.EVENT, _xlfn.XMATCH($A111,'Heat Sheet'!$A:$A), IF(ISNA(_xlpm.EVENT), "", _xlfn.LET(_xlpm.ADVANCE, INDEX('Heat Sheet'!$A:$I, _xlpm.EVENT, COLUMN()-1), IF(_xlpm.ADVANCE=0, "", _xlpm.ADVANCE))))</f>
        <v/>
      </c>
      <c r="K111" s="139" t="str" cm="1">
        <f t="array" ref="K111">_xlfn.LET(_xlpm.EVENT, _xlfn.XMATCH($A111,'Heat Sheet'!A:A), IF(ISNA(_xlpm.EVENT), "", _xlfn.LET(_xlpm.ADVANCE, INDEX('Heat Sheet'!$A:$I, _xlpm.EVENT+2, 3), IF(_xlpm.ADVANCE=0, "", _xlpm.ADVANCE))))</f>
        <v/>
      </c>
    </row>
    <row r="112" spans="1:11" ht="29.25" customHeight="1" x14ac:dyDescent="0.2">
      <c r="A112" s="137">
        <v>110</v>
      </c>
      <c r="B112" s="7" t="str">
        <f>IFERROR(TEXT(VLOOKUP(A112,'Heat Sheet'!$A:$I, 2, FALSE), "HH:mm"), "")</f>
        <v/>
      </c>
      <c r="C112" s="138"/>
      <c r="D112" s="10" t="str" cm="1">
        <f t="array" ref="D112">_xlfn.LET(_xlpm.EVENT, _xlfn.XMATCH($A112,'Heat Sheet'!A:A), IF(ISNA(_xlpm.EVENT), "", INDEX('Heat Sheet'!$A:$I, _xlpm.EVENT, 3)&amp;" "&amp;SUBSTITUTE(SUBSTITUTE(SUBSTITUTE(INDEX('Heat Sheet'!$A:$I, _xlpm.EVENT+1, 3), "Heat ", "H"), "Final", "F"), "Flight ", "F")))</f>
        <v/>
      </c>
      <c r="E112" s="10" t="str" cm="1">
        <f t="array" ref="E112">_xlfn.LET(_xlpm.EVENT, _xlfn.XMATCH($A112,'Heat Sheet'!$A:$A), IF(ISNA(_xlpm.EVENT), "", _xlfn.LET(_xlpm.ADVANCE, INDEX('Heat Sheet'!$A:$I, _xlpm.EVENT, COLUMN()-1), IF(_xlpm.ADVANCE=0, "", _xlpm.ADVANCE))))</f>
        <v/>
      </c>
      <c r="F112" s="10" t="str" cm="1">
        <f t="array" ref="F112">_xlfn.LET(_xlpm.EVENT, _xlfn.XMATCH($A112,'Heat Sheet'!$A:$A), IF(ISNA(_xlpm.EVENT), "", _xlfn.LET(_xlpm.ADVANCE, INDEX('Heat Sheet'!$A:$I, _xlpm.EVENT, COLUMN()-1), IF(_xlpm.ADVANCE=0, "", _xlpm.ADVANCE))))</f>
        <v/>
      </c>
      <c r="G112" s="10" t="str" cm="1">
        <f t="array" ref="G112">_xlfn.LET(_xlpm.EVENT, _xlfn.XMATCH($A112,'Heat Sheet'!$A:$A), IF(ISNA(_xlpm.EVENT), "", _xlfn.LET(_xlpm.ADVANCE, INDEX('Heat Sheet'!$A:$I, _xlpm.EVENT, COLUMN()-1), IF(_xlpm.ADVANCE=0, "", _xlpm.ADVANCE))))</f>
        <v/>
      </c>
      <c r="H112" s="10" t="str" cm="1">
        <f t="array" ref="H112">_xlfn.LET(_xlpm.EVENT, _xlfn.XMATCH($A112,'Heat Sheet'!$A:$A), IF(ISNA(_xlpm.EVENT), "", _xlfn.LET(_xlpm.ADVANCE, INDEX('Heat Sheet'!$A:$I, _xlpm.EVENT, COLUMN()-1), IF(_xlpm.ADVANCE=0, "", _xlpm.ADVANCE))))</f>
        <v/>
      </c>
      <c r="I112" s="10" t="str" cm="1">
        <f t="array" ref="I112">_xlfn.LET(_xlpm.EVENT, _xlfn.XMATCH($A112,'Heat Sheet'!$A:$A), IF(ISNA(_xlpm.EVENT), "", _xlfn.LET(_xlpm.ADVANCE, INDEX('Heat Sheet'!$A:$I, _xlpm.EVENT, COLUMN()-1), IF(_xlpm.ADVANCE=0, "", _xlpm.ADVANCE))))</f>
        <v/>
      </c>
      <c r="J112" s="10" t="str" cm="1">
        <f t="array" ref="J112">_xlfn.LET(_xlpm.EVENT, _xlfn.XMATCH($A112,'Heat Sheet'!$A:$A), IF(ISNA(_xlpm.EVENT), "", _xlfn.LET(_xlpm.ADVANCE, INDEX('Heat Sheet'!$A:$I, _xlpm.EVENT, COLUMN()-1), IF(_xlpm.ADVANCE=0, "", _xlpm.ADVANCE))))</f>
        <v/>
      </c>
      <c r="K112" s="139" t="str" cm="1">
        <f t="array" ref="K112">_xlfn.LET(_xlpm.EVENT, _xlfn.XMATCH($A112,'Heat Sheet'!A:A), IF(ISNA(_xlpm.EVENT), "", _xlfn.LET(_xlpm.ADVANCE, INDEX('Heat Sheet'!$A:$I, _xlpm.EVENT+2, 3), IF(_xlpm.ADVANCE=0, "", _xlpm.ADVANCE))))</f>
        <v/>
      </c>
    </row>
    <row r="113" spans="1:11" ht="29.25" customHeight="1" x14ac:dyDescent="0.2">
      <c r="A113" s="137">
        <v>111</v>
      </c>
      <c r="B113" s="7" t="str">
        <f>IFERROR(TEXT(VLOOKUP(A113,'Heat Sheet'!$A:$I, 2, FALSE), "HH:mm"), "")</f>
        <v/>
      </c>
      <c r="C113" s="138"/>
      <c r="D113" s="10" t="str" cm="1">
        <f t="array" ref="D113">_xlfn.LET(_xlpm.EVENT, _xlfn.XMATCH($A113,'Heat Sheet'!A:A), IF(ISNA(_xlpm.EVENT), "", INDEX('Heat Sheet'!$A:$I, _xlpm.EVENT, 3)&amp;" "&amp;SUBSTITUTE(SUBSTITUTE(SUBSTITUTE(INDEX('Heat Sheet'!$A:$I, _xlpm.EVENT+1, 3), "Heat ", "H"), "Final", "F"), "Flight ", "F")))</f>
        <v/>
      </c>
      <c r="E113" s="10" t="str" cm="1">
        <f t="array" ref="E113">_xlfn.LET(_xlpm.EVENT, _xlfn.XMATCH($A113,'Heat Sheet'!$A:$A), IF(ISNA(_xlpm.EVENT), "", _xlfn.LET(_xlpm.ADVANCE, INDEX('Heat Sheet'!$A:$I, _xlpm.EVENT, COLUMN()-1), IF(_xlpm.ADVANCE=0, "", _xlpm.ADVANCE))))</f>
        <v/>
      </c>
      <c r="F113" s="10" t="str" cm="1">
        <f t="array" ref="F113">_xlfn.LET(_xlpm.EVENT, _xlfn.XMATCH($A113,'Heat Sheet'!$A:$A), IF(ISNA(_xlpm.EVENT), "", _xlfn.LET(_xlpm.ADVANCE, INDEX('Heat Sheet'!$A:$I, _xlpm.EVENT, COLUMN()-1), IF(_xlpm.ADVANCE=0, "", _xlpm.ADVANCE))))</f>
        <v/>
      </c>
      <c r="G113" s="10" t="str" cm="1">
        <f t="array" ref="G113">_xlfn.LET(_xlpm.EVENT, _xlfn.XMATCH($A113,'Heat Sheet'!$A:$A), IF(ISNA(_xlpm.EVENT), "", _xlfn.LET(_xlpm.ADVANCE, INDEX('Heat Sheet'!$A:$I, _xlpm.EVENT, COLUMN()-1), IF(_xlpm.ADVANCE=0, "", _xlpm.ADVANCE))))</f>
        <v/>
      </c>
      <c r="H113" s="10" t="str" cm="1">
        <f t="array" ref="H113">_xlfn.LET(_xlpm.EVENT, _xlfn.XMATCH($A113,'Heat Sheet'!$A:$A), IF(ISNA(_xlpm.EVENT), "", _xlfn.LET(_xlpm.ADVANCE, INDEX('Heat Sheet'!$A:$I, _xlpm.EVENT, COLUMN()-1), IF(_xlpm.ADVANCE=0, "", _xlpm.ADVANCE))))</f>
        <v/>
      </c>
      <c r="I113" s="10" t="str" cm="1">
        <f t="array" ref="I113">_xlfn.LET(_xlpm.EVENT, _xlfn.XMATCH($A113,'Heat Sheet'!$A:$A), IF(ISNA(_xlpm.EVENT), "", _xlfn.LET(_xlpm.ADVANCE, INDEX('Heat Sheet'!$A:$I, _xlpm.EVENT, COLUMN()-1), IF(_xlpm.ADVANCE=0, "", _xlpm.ADVANCE))))</f>
        <v/>
      </c>
      <c r="J113" s="10" t="str" cm="1">
        <f t="array" ref="J113">_xlfn.LET(_xlpm.EVENT, _xlfn.XMATCH($A113,'Heat Sheet'!$A:$A), IF(ISNA(_xlpm.EVENT), "", _xlfn.LET(_xlpm.ADVANCE, INDEX('Heat Sheet'!$A:$I, _xlpm.EVENT, COLUMN()-1), IF(_xlpm.ADVANCE=0, "", _xlpm.ADVANCE))))</f>
        <v/>
      </c>
      <c r="K113" s="139" t="str" cm="1">
        <f t="array" ref="K113">_xlfn.LET(_xlpm.EVENT, _xlfn.XMATCH($A113,'Heat Sheet'!A:A), IF(ISNA(_xlpm.EVENT), "", _xlfn.LET(_xlpm.ADVANCE, INDEX('Heat Sheet'!$A:$I, _xlpm.EVENT+2, 3), IF(_xlpm.ADVANCE=0, "", _xlpm.ADVANCE))))</f>
        <v/>
      </c>
    </row>
    <row r="114" spans="1:11" ht="29.25" customHeight="1" x14ac:dyDescent="0.2">
      <c r="A114" s="137">
        <v>112</v>
      </c>
      <c r="B114" s="7" t="str">
        <f>IFERROR(TEXT(VLOOKUP(A114,'Heat Sheet'!$A:$I, 2, FALSE), "HH:mm"), "")</f>
        <v/>
      </c>
      <c r="C114" s="138"/>
      <c r="D114" s="10" t="str" cm="1">
        <f t="array" ref="D114">_xlfn.LET(_xlpm.EVENT, _xlfn.XMATCH($A114,'Heat Sheet'!A:A), IF(ISNA(_xlpm.EVENT), "", INDEX('Heat Sheet'!$A:$I, _xlpm.EVENT, 3)&amp;" "&amp;SUBSTITUTE(SUBSTITUTE(SUBSTITUTE(INDEX('Heat Sheet'!$A:$I, _xlpm.EVENT+1, 3), "Heat ", "H"), "Final", "F"), "Flight ", "F")))</f>
        <v/>
      </c>
      <c r="E114" s="10" t="str" cm="1">
        <f t="array" ref="E114">_xlfn.LET(_xlpm.EVENT, _xlfn.XMATCH($A114,'Heat Sheet'!$A:$A), IF(ISNA(_xlpm.EVENT), "", _xlfn.LET(_xlpm.ADVANCE, INDEX('Heat Sheet'!$A:$I, _xlpm.EVENT, COLUMN()-1), IF(_xlpm.ADVANCE=0, "", _xlpm.ADVANCE))))</f>
        <v/>
      </c>
      <c r="F114" s="10" t="str" cm="1">
        <f t="array" ref="F114">_xlfn.LET(_xlpm.EVENT, _xlfn.XMATCH($A114,'Heat Sheet'!$A:$A), IF(ISNA(_xlpm.EVENT), "", _xlfn.LET(_xlpm.ADVANCE, INDEX('Heat Sheet'!$A:$I, _xlpm.EVENT, COLUMN()-1), IF(_xlpm.ADVANCE=0, "", _xlpm.ADVANCE))))</f>
        <v/>
      </c>
      <c r="G114" s="10" t="str" cm="1">
        <f t="array" ref="G114">_xlfn.LET(_xlpm.EVENT, _xlfn.XMATCH($A114,'Heat Sheet'!$A:$A), IF(ISNA(_xlpm.EVENT), "", _xlfn.LET(_xlpm.ADVANCE, INDEX('Heat Sheet'!$A:$I, _xlpm.EVENT, COLUMN()-1), IF(_xlpm.ADVANCE=0, "", _xlpm.ADVANCE))))</f>
        <v/>
      </c>
      <c r="H114" s="10" t="str" cm="1">
        <f t="array" ref="H114">_xlfn.LET(_xlpm.EVENT, _xlfn.XMATCH($A114,'Heat Sheet'!$A:$A), IF(ISNA(_xlpm.EVENT), "", _xlfn.LET(_xlpm.ADVANCE, INDEX('Heat Sheet'!$A:$I, _xlpm.EVENT, COLUMN()-1), IF(_xlpm.ADVANCE=0, "", _xlpm.ADVANCE))))</f>
        <v/>
      </c>
      <c r="I114" s="10" t="str" cm="1">
        <f t="array" ref="I114">_xlfn.LET(_xlpm.EVENT, _xlfn.XMATCH($A114,'Heat Sheet'!$A:$A), IF(ISNA(_xlpm.EVENT), "", _xlfn.LET(_xlpm.ADVANCE, INDEX('Heat Sheet'!$A:$I, _xlpm.EVENT, COLUMN()-1), IF(_xlpm.ADVANCE=0, "", _xlpm.ADVANCE))))</f>
        <v/>
      </c>
      <c r="J114" s="10" t="str" cm="1">
        <f t="array" ref="J114">_xlfn.LET(_xlpm.EVENT, _xlfn.XMATCH($A114,'Heat Sheet'!$A:$A), IF(ISNA(_xlpm.EVENT), "", _xlfn.LET(_xlpm.ADVANCE, INDEX('Heat Sheet'!$A:$I, _xlpm.EVENT, COLUMN()-1), IF(_xlpm.ADVANCE=0, "", _xlpm.ADVANCE))))</f>
        <v/>
      </c>
      <c r="K114" s="139" t="str" cm="1">
        <f t="array" ref="K114">_xlfn.LET(_xlpm.EVENT, _xlfn.XMATCH($A114,'Heat Sheet'!A:A), IF(ISNA(_xlpm.EVENT), "", _xlfn.LET(_xlpm.ADVANCE, INDEX('Heat Sheet'!$A:$I, _xlpm.EVENT+2, 3), IF(_xlpm.ADVANCE=0, "", _xlpm.ADVANCE))))</f>
        <v/>
      </c>
    </row>
    <row r="115" spans="1:11" ht="29.25" customHeight="1" x14ac:dyDescent="0.2">
      <c r="A115" s="137">
        <v>113</v>
      </c>
      <c r="B115" s="7" t="str">
        <f>IFERROR(TEXT(VLOOKUP(A115,'Heat Sheet'!$A:$I, 2, FALSE), "HH:mm"), "")</f>
        <v/>
      </c>
      <c r="C115" s="138"/>
      <c r="D115" s="10" t="str" cm="1">
        <f t="array" ref="D115">_xlfn.LET(_xlpm.EVENT, _xlfn.XMATCH($A115,'Heat Sheet'!A:A), IF(ISNA(_xlpm.EVENT), "", INDEX('Heat Sheet'!$A:$I, _xlpm.EVENT, 3)&amp;" "&amp;SUBSTITUTE(SUBSTITUTE(SUBSTITUTE(INDEX('Heat Sheet'!$A:$I, _xlpm.EVENT+1, 3), "Heat ", "H"), "Final", "F"), "Flight ", "F")))</f>
        <v/>
      </c>
      <c r="E115" s="10" t="str" cm="1">
        <f t="array" ref="E115">_xlfn.LET(_xlpm.EVENT, _xlfn.XMATCH($A115,'Heat Sheet'!$A:$A), IF(ISNA(_xlpm.EVENT), "", _xlfn.LET(_xlpm.ADVANCE, INDEX('Heat Sheet'!$A:$I, _xlpm.EVENT, COLUMN()-1), IF(_xlpm.ADVANCE=0, "", _xlpm.ADVANCE))))</f>
        <v/>
      </c>
      <c r="F115" s="10" t="str" cm="1">
        <f t="array" ref="F115">_xlfn.LET(_xlpm.EVENT, _xlfn.XMATCH($A115,'Heat Sheet'!$A:$A), IF(ISNA(_xlpm.EVENT), "", _xlfn.LET(_xlpm.ADVANCE, INDEX('Heat Sheet'!$A:$I, _xlpm.EVENT, COLUMN()-1), IF(_xlpm.ADVANCE=0, "", _xlpm.ADVANCE))))</f>
        <v/>
      </c>
      <c r="G115" s="10" t="str" cm="1">
        <f t="array" ref="G115">_xlfn.LET(_xlpm.EVENT, _xlfn.XMATCH($A115,'Heat Sheet'!$A:$A), IF(ISNA(_xlpm.EVENT), "", _xlfn.LET(_xlpm.ADVANCE, INDEX('Heat Sheet'!$A:$I, _xlpm.EVENT, COLUMN()-1), IF(_xlpm.ADVANCE=0, "", _xlpm.ADVANCE))))</f>
        <v/>
      </c>
      <c r="H115" s="10" t="str" cm="1">
        <f t="array" ref="H115">_xlfn.LET(_xlpm.EVENT, _xlfn.XMATCH($A115,'Heat Sheet'!$A:$A), IF(ISNA(_xlpm.EVENT), "", _xlfn.LET(_xlpm.ADVANCE, INDEX('Heat Sheet'!$A:$I, _xlpm.EVENT, COLUMN()-1), IF(_xlpm.ADVANCE=0, "", _xlpm.ADVANCE))))</f>
        <v/>
      </c>
      <c r="I115" s="10" t="str" cm="1">
        <f t="array" ref="I115">_xlfn.LET(_xlpm.EVENT, _xlfn.XMATCH($A115,'Heat Sheet'!$A:$A), IF(ISNA(_xlpm.EVENT), "", _xlfn.LET(_xlpm.ADVANCE, INDEX('Heat Sheet'!$A:$I, _xlpm.EVENT, COLUMN()-1), IF(_xlpm.ADVANCE=0, "", _xlpm.ADVANCE))))</f>
        <v/>
      </c>
      <c r="J115" s="10" t="str" cm="1">
        <f t="array" ref="J115">_xlfn.LET(_xlpm.EVENT, _xlfn.XMATCH($A115,'Heat Sheet'!$A:$A), IF(ISNA(_xlpm.EVENT), "", _xlfn.LET(_xlpm.ADVANCE, INDEX('Heat Sheet'!$A:$I, _xlpm.EVENT, COLUMN()-1), IF(_xlpm.ADVANCE=0, "", _xlpm.ADVANCE))))</f>
        <v/>
      </c>
      <c r="K115" s="139" t="str" cm="1">
        <f t="array" ref="K115">_xlfn.LET(_xlpm.EVENT, _xlfn.XMATCH($A115,'Heat Sheet'!A:A), IF(ISNA(_xlpm.EVENT), "", _xlfn.LET(_xlpm.ADVANCE, INDEX('Heat Sheet'!$A:$I, _xlpm.EVENT+2, 3), IF(_xlpm.ADVANCE=0, "", _xlpm.ADVANCE))))</f>
        <v/>
      </c>
    </row>
    <row r="116" spans="1:11" ht="29.25" customHeight="1" x14ac:dyDescent="0.2">
      <c r="A116" s="137">
        <v>114</v>
      </c>
      <c r="B116" s="7" t="str">
        <f>IFERROR(TEXT(VLOOKUP(A116,'Heat Sheet'!$A:$I, 2, FALSE), "HH:mm"), "")</f>
        <v/>
      </c>
      <c r="C116" s="138"/>
      <c r="D116" s="10" t="str" cm="1">
        <f t="array" ref="D116">_xlfn.LET(_xlpm.EVENT, _xlfn.XMATCH($A116,'Heat Sheet'!A:A), IF(ISNA(_xlpm.EVENT), "", INDEX('Heat Sheet'!$A:$I, _xlpm.EVENT, 3)&amp;" "&amp;SUBSTITUTE(SUBSTITUTE(SUBSTITUTE(INDEX('Heat Sheet'!$A:$I, _xlpm.EVENT+1, 3), "Heat ", "H"), "Final", "F"), "Flight ", "F")))</f>
        <v/>
      </c>
      <c r="E116" s="10" t="str" cm="1">
        <f t="array" ref="E116">_xlfn.LET(_xlpm.EVENT, _xlfn.XMATCH($A116,'Heat Sheet'!$A:$A), IF(ISNA(_xlpm.EVENT), "", _xlfn.LET(_xlpm.ADVANCE, INDEX('Heat Sheet'!$A:$I, _xlpm.EVENT, COLUMN()-1), IF(_xlpm.ADVANCE=0, "", _xlpm.ADVANCE))))</f>
        <v/>
      </c>
      <c r="F116" s="10" t="str" cm="1">
        <f t="array" ref="F116">_xlfn.LET(_xlpm.EVENT, _xlfn.XMATCH($A116,'Heat Sheet'!$A:$A), IF(ISNA(_xlpm.EVENT), "", _xlfn.LET(_xlpm.ADVANCE, INDEX('Heat Sheet'!$A:$I, _xlpm.EVENT, COLUMN()-1), IF(_xlpm.ADVANCE=0, "", _xlpm.ADVANCE))))</f>
        <v/>
      </c>
      <c r="G116" s="10" t="str" cm="1">
        <f t="array" ref="G116">_xlfn.LET(_xlpm.EVENT, _xlfn.XMATCH($A116,'Heat Sheet'!$A:$A), IF(ISNA(_xlpm.EVENT), "", _xlfn.LET(_xlpm.ADVANCE, INDEX('Heat Sheet'!$A:$I, _xlpm.EVENT, COLUMN()-1), IF(_xlpm.ADVANCE=0, "", _xlpm.ADVANCE))))</f>
        <v/>
      </c>
      <c r="H116" s="10" t="str" cm="1">
        <f t="array" ref="H116">_xlfn.LET(_xlpm.EVENT, _xlfn.XMATCH($A116,'Heat Sheet'!$A:$A), IF(ISNA(_xlpm.EVENT), "", _xlfn.LET(_xlpm.ADVANCE, INDEX('Heat Sheet'!$A:$I, _xlpm.EVENT, COLUMN()-1), IF(_xlpm.ADVANCE=0, "", _xlpm.ADVANCE))))</f>
        <v/>
      </c>
      <c r="I116" s="10" t="str" cm="1">
        <f t="array" ref="I116">_xlfn.LET(_xlpm.EVENT, _xlfn.XMATCH($A116,'Heat Sheet'!$A:$A), IF(ISNA(_xlpm.EVENT), "", _xlfn.LET(_xlpm.ADVANCE, INDEX('Heat Sheet'!$A:$I, _xlpm.EVENT, COLUMN()-1), IF(_xlpm.ADVANCE=0, "", _xlpm.ADVANCE))))</f>
        <v/>
      </c>
      <c r="J116" s="10" t="str" cm="1">
        <f t="array" ref="J116">_xlfn.LET(_xlpm.EVENT, _xlfn.XMATCH($A116,'Heat Sheet'!$A:$A), IF(ISNA(_xlpm.EVENT), "", _xlfn.LET(_xlpm.ADVANCE, INDEX('Heat Sheet'!$A:$I, _xlpm.EVENT, COLUMN()-1), IF(_xlpm.ADVANCE=0, "", _xlpm.ADVANCE))))</f>
        <v/>
      </c>
      <c r="K116" s="139" t="str" cm="1">
        <f t="array" ref="K116">_xlfn.LET(_xlpm.EVENT, _xlfn.XMATCH($A116,'Heat Sheet'!A:A), IF(ISNA(_xlpm.EVENT), "", _xlfn.LET(_xlpm.ADVANCE, INDEX('Heat Sheet'!$A:$I, _xlpm.EVENT+2, 3), IF(_xlpm.ADVANCE=0, "", _xlpm.ADVANCE))))</f>
        <v/>
      </c>
    </row>
    <row r="117" spans="1:11" ht="29.25" customHeight="1" x14ac:dyDescent="0.2">
      <c r="A117" s="137">
        <v>115</v>
      </c>
      <c r="B117" s="7" t="str">
        <f>IFERROR(TEXT(VLOOKUP(A117,'Heat Sheet'!$A:$I, 2, FALSE), "HH:mm"), "")</f>
        <v/>
      </c>
      <c r="C117" s="138"/>
      <c r="D117" s="10" t="str" cm="1">
        <f t="array" ref="D117">_xlfn.LET(_xlpm.EVENT, _xlfn.XMATCH($A117,'Heat Sheet'!A:A), IF(ISNA(_xlpm.EVENT), "", INDEX('Heat Sheet'!$A:$I, _xlpm.EVENT, 3)&amp;" "&amp;SUBSTITUTE(SUBSTITUTE(SUBSTITUTE(INDEX('Heat Sheet'!$A:$I, _xlpm.EVENT+1, 3), "Heat ", "H"), "Final", "F"), "Flight ", "F")))</f>
        <v/>
      </c>
      <c r="E117" s="10" t="str" cm="1">
        <f t="array" ref="E117">_xlfn.LET(_xlpm.EVENT, _xlfn.XMATCH($A117,'Heat Sheet'!$A:$A), IF(ISNA(_xlpm.EVENT), "", _xlfn.LET(_xlpm.ADVANCE, INDEX('Heat Sheet'!$A:$I, _xlpm.EVENT, COLUMN()-1), IF(_xlpm.ADVANCE=0, "", _xlpm.ADVANCE))))</f>
        <v/>
      </c>
      <c r="F117" s="10" t="str" cm="1">
        <f t="array" ref="F117">_xlfn.LET(_xlpm.EVENT, _xlfn.XMATCH($A117,'Heat Sheet'!$A:$A), IF(ISNA(_xlpm.EVENT), "", _xlfn.LET(_xlpm.ADVANCE, INDEX('Heat Sheet'!$A:$I, _xlpm.EVENT, COLUMN()-1), IF(_xlpm.ADVANCE=0, "", _xlpm.ADVANCE))))</f>
        <v/>
      </c>
      <c r="G117" s="10" t="str" cm="1">
        <f t="array" ref="G117">_xlfn.LET(_xlpm.EVENT, _xlfn.XMATCH($A117,'Heat Sheet'!$A:$A), IF(ISNA(_xlpm.EVENT), "", _xlfn.LET(_xlpm.ADVANCE, INDEX('Heat Sheet'!$A:$I, _xlpm.EVENT, COLUMN()-1), IF(_xlpm.ADVANCE=0, "", _xlpm.ADVANCE))))</f>
        <v/>
      </c>
      <c r="H117" s="10" t="str" cm="1">
        <f t="array" ref="H117">_xlfn.LET(_xlpm.EVENT, _xlfn.XMATCH($A117,'Heat Sheet'!$A:$A), IF(ISNA(_xlpm.EVENT), "", _xlfn.LET(_xlpm.ADVANCE, INDEX('Heat Sheet'!$A:$I, _xlpm.EVENT, COLUMN()-1), IF(_xlpm.ADVANCE=0, "", _xlpm.ADVANCE))))</f>
        <v/>
      </c>
      <c r="I117" s="10" t="str" cm="1">
        <f t="array" ref="I117">_xlfn.LET(_xlpm.EVENT, _xlfn.XMATCH($A117,'Heat Sheet'!$A:$A), IF(ISNA(_xlpm.EVENT), "", _xlfn.LET(_xlpm.ADVANCE, INDEX('Heat Sheet'!$A:$I, _xlpm.EVENT, COLUMN()-1), IF(_xlpm.ADVANCE=0, "", _xlpm.ADVANCE))))</f>
        <v/>
      </c>
      <c r="J117" s="10" t="str" cm="1">
        <f t="array" ref="J117">_xlfn.LET(_xlpm.EVENT, _xlfn.XMATCH($A117,'Heat Sheet'!$A:$A), IF(ISNA(_xlpm.EVENT), "", _xlfn.LET(_xlpm.ADVANCE, INDEX('Heat Sheet'!$A:$I, _xlpm.EVENT, COLUMN()-1), IF(_xlpm.ADVANCE=0, "", _xlpm.ADVANCE))))</f>
        <v/>
      </c>
      <c r="K117" s="139" t="str" cm="1">
        <f t="array" ref="K117">_xlfn.LET(_xlpm.EVENT, _xlfn.XMATCH($A117,'Heat Sheet'!A:A), IF(ISNA(_xlpm.EVENT), "", _xlfn.LET(_xlpm.ADVANCE, INDEX('Heat Sheet'!$A:$I, _xlpm.EVENT+2, 3), IF(_xlpm.ADVANCE=0, "", _xlpm.ADVANCE))))</f>
        <v/>
      </c>
    </row>
    <row r="118" spans="1:11" ht="29.25" customHeight="1" x14ac:dyDescent="0.2">
      <c r="A118" s="137">
        <v>116</v>
      </c>
      <c r="B118" s="7" t="str">
        <f>IFERROR(TEXT(VLOOKUP(A118,'Heat Sheet'!$A:$I, 2, FALSE), "HH:mm"), "")</f>
        <v/>
      </c>
      <c r="C118" s="138"/>
      <c r="D118" s="10" t="str" cm="1">
        <f t="array" ref="D118">_xlfn.LET(_xlpm.EVENT, _xlfn.XMATCH($A118,'Heat Sheet'!A:A), IF(ISNA(_xlpm.EVENT), "", INDEX('Heat Sheet'!$A:$I, _xlpm.EVENT, 3)&amp;" "&amp;SUBSTITUTE(SUBSTITUTE(SUBSTITUTE(INDEX('Heat Sheet'!$A:$I, _xlpm.EVENT+1, 3), "Heat ", "H"), "Final", "F"), "Flight ", "F")))</f>
        <v/>
      </c>
      <c r="E118" s="10" t="str" cm="1">
        <f t="array" ref="E118">_xlfn.LET(_xlpm.EVENT, _xlfn.XMATCH($A118,'Heat Sheet'!$A:$A), IF(ISNA(_xlpm.EVENT), "", _xlfn.LET(_xlpm.ADVANCE, INDEX('Heat Sheet'!$A:$I, _xlpm.EVENT, COLUMN()-1), IF(_xlpm.ADVANCE=0, "", _xlpm.ADVANCE))))</f>
        <v/>
      </c>
      <c r="F118" s="10" t="str" cm="1">
        <f t="array" ref="F118">_xlfn.LET(_xlpm.EVENT, _xlfn.XMATCH($A118,'Heat Sheet'!$A:$A), IF(ISNA(_xlpm.EVENT), "", _xlfn.LET(_xlpm.ADVANCE, INDEX('Heat Sheet'!$A:$I, _xlpm.EVENT, COLUMN()-1), IF(_xlpm.ADVANCE=0, "", _xlpm.ADVANCE))))</f>
        <v/>
      </c>
      <c r="G118" s="10" t="str" cm="1">
        <f t="array" ref="G118">_xlfn.LET(_xlpm.EVENT, _xlfn.XMATCH($A118,'Heat Sheet'!$A:$A), IF(ISNA(_xlpm.EVENT), "", _xlfn.LET(_xlpm.ADVANCE, INDEX('Heat Sheet'!$A:$I, _xlpm.EVENT, COLUMN()-1), IF(_xlpm.ADVANCE=0, "", _xlpm.ADVANCE))))</f>
        <v/>
      </c>
      <c r="H118" s="10" t="str" cm="1">
        <f t="array" ref="H118">_xlfn.LET(_xlpm.EVENT, _xlfn.XMATCH($A118,'Heat Sheet'!$A:$A), IF(ISNA(_xlpm.EVENT), "", _xlfn.LET(_xlpm.ADVANCE, INDEX('Heat Sheet'!$A:$I, _xlpm.EVENT, COLUMN()-1), IF(_xlpm.ADVANCE=0, "", _xlpm.ADVANCE))))</f>
        <v/>
      </c>
      <c r="I118" s="10" t="str" cm="1">
        <f t="array" ref="I118">_xlfn.LET(_xlpm.EVENT, _xlfn.XMATCH($A118,'Heat Sheet'!$A:$A), IF(ISNA(_xlpm.EVENT), "", _xlfn.LET(_xlpm.ADVANCE, INDEX('Heat Sheet'!$A:$I, _xlpm.EVENT, COLUMN()-1), IF(_xlpm.ADVANCE=0, "", _xlpm.ADVANCE))))</f>
        <v/>
      </c>
      <c r="J118" s="10" t="str" cm="1">
        <f t="array" ref="J118">_xlfn.LET(_xlpm.EVENT, _xlfn.XMATCH($A118,'Heat Sheet'!$A:$A), IF(ISNA(_xlpm.EVENT), "", _xlfn.LET(_xlpm.ADVANCE, INDEX('Heat Sheet'!$A:$I, _xlpm.EVENT, COLUMN()-1), IF(_xlpm.ADVANCE=0, "", _xlpm.ADVANCE))))</f>
        <v/>
      </c>
      <c r="K118" s="139" t="str" cm="1">
        <f t="array" ref="K118">_xlfn.LET(_xlpm.EVENT, _xlfn.XMATCH($A118,'Heat Sheet'!A:A), IF(ISNA(_xlpm.EVENT), "", _xlfn.LET(_xlpm.ADVANCE, INDEX('Heat Sheet'!$A:$I, _xlpm.EVENT+2, 3), IF(_xlpm.ADVANCE=0, "", _xlpm.ADVANCE))))</f>
        <v/>
      </c>
    </row>
    <row r="119" spans="1:11" ht="29.25" customHeight="1" x14ac:dyDescent="0.2">
      <c r="A119" s="137">
        <v>117</v>
      </c>
      <c r="B119" s="7" t="str">
        <f>IFERROR(TEXT(VLOOKUP(A119,'Heat Sheet'!$A:$I, 2, FALSE), "HH:mm"), "")</f>
        <v/>
      </c>
      <c r="C119" s="138"/>
      <c r="D119" s="10" t="str" cm="1">
        <f t="array" ref="D119">_xlfn.LET(_xlpm.EVENT, _xlfn.XMATCH($A119,'Heat Sheet'!A:A), IF(ISNA(_xlpm.EVENT), "", INDEX('Heat Sheet'!$A:$I, _xlpm.EVENT, 3)&amp;" "&amp;SUBSTITUTE(SUBSTITUTE(SUBSTITUTE(INDEX('Heat Sheet'!$A:$I, _xlpm.EVENT+1, 3), "Heat ", "H"), "Final", "F"), "Flight ", "F")))</f>
        <v/>
      </c>
      <c r="E119" s="10" t="str" cm="1">
        <f t="array" ref="E119">_xlfn.LET(_xlpm.EVENT, _xlfn.XMATCH($A119,'Heat Sheet'!$A:$A), IF(ISNA(_xlpm.EVENT), "", _xlfn.LET(_xlpm.ADVANCE, INDEX('Heat Sheet'!$A:$I, _xlpm.EVENT, COLUMN()-1), IF(_xlpm.ADVANCE=0, "", _xlpm.ADVANCE))))</f>
        <v/>
      </c>
      <c r="F119" s="10" t="str" cm="1">
        <f t="array" ref="F119">_xlfn.LET(_xlpm.EVENT, _xlfn.XMATCH($A119,'Heat Sheet'!$A:$A), IF(ISNA(_xlpm.EVENT), "", _xlfn.LET(_xlpm.ADVANCE, INDEX('Heat Sheet'!$A:$I, _xlpm.EVENT, COLUMN()-1), IF(_xlpm.ADVANCE=0, "", _xlpm.ADVANCE))))</f>
        <v/>
      </c>
      <c r="G119" s="10" t="str" cm="1">
        <f t="array" ref="G119">_xlfn.LET(_xlpm.EVENT, _xlfn.XMATCH($A119,'Heat Sheet'!$A:$A), IF(ISNA(_xlpm.EVENT), "", _xlfn.LET(_xlpm.ADVANCE, INDEX('Heat Sheet'!$A:$I, _xlpm.EVENT, COLUMN()-1), IF(_xlpm.ADVANCE=0, "", _xlpm.ADVANCE))))</f>
        <v/>
      </c>
      <c r="H119" s="10" t="str" cm="1">
        <f t="array" ref="H119">_xlfn.LET(_xlpm.EVENT, _xlfn.XMATCH($A119,'Heat Sheet'!$A:$A), IF(ISNA(_xlpm.EVENT), "", _xlfn.LET(_xlpm.ADVANCE, INDEX('Heat Sheet'!$A:$I, _xlpm.EVENT, COLUMN()-1), IF(_xlpm.ADVANCE=0, "", _xlpm.ADVANCE))))</f>
        <v/>
      </c>
      <c r="I119" s="10" t="str" cm="1">
        <f t="array" ref="I119">_xlfn.LET(_xlpm.EVENT, _xlfn.XMATCH($A119,'Heat Sheet'!$A:$A), IF(ISNA(_xlpm.EVENT), "", _xlfn.LET(_xlpm.ADVANCE, INDEX('Heat Sheet'!$A:$I, _xlpm.EVENT, COLUMN()-1), IF(_xlpm.ADVANCE=0, "", _xlpm.ADVANCE))))</f>
        <v/>
      </c>
      <c r="J119" s="10" t="str" cm="1">
        <f t="array" ref="J119">_xlfn.LET(_xlpm.EVENT, _xlfn.XMATCH($A119,'Heat Sheet'!$A:$A), IF(ISNA(_xlpm.EVENT), "", _xlfn.LET(_xlpm.ADVANCE, INDEX('Heat Sheet'!$A:$I, _xlpm.EVENT, COLUMN()-1), IF(_xlpm.ADVANCE=0, "", _xlpm.ADVANCE))))</f>
        <v/>
      </c>
      <c r="K119" s="139" t="str" cm="1">
        <f t="array" ref="K119">_xlfn.LET(_xlpm.EVENT, _xlfn.XMATCH($A119,'Heat Sheet'!A:A), IF(ISNA(_xlpm.EVENT), "", _xlfn.LET(_xlpm.ADVANCE, INDEX('Heat Sheet'!$A:$I, _xlpm.EVENT+2, 3), IF(_xlpm.ADVANCE=0, "", _xlpm.ADVANCE))))</f>
        <v/>
      </c>
    </row>
    <row r="120" spans="1:11" ht="29.25" customHeight="1" x14ac:dyDescent="0.2">
      <c r="A120" s="137">
        <v>118</v>
      </c>
      <c r="B120" s="7" t="str">
        <f>IFERROR(TEXT(VLOOKUP(A120,'Heat Sheet'!$A:$I, 2, FALSE), "HH:mm"), "")</f>
        <v/>
      </c>
      <c r="C120" s="138"/>
      <c r="D120" s="10" t="str" cm="1">
        <f t="array" ref="D120">_xlfn.LET(_xlpm.EVENT, _xlfn.XMATCH($A120,'Heat Sheet'!A:A), IF(ISNA(_xlpm.EVENT), "", INDEX('Heat Sheet'!$A:$I, _xlpm.EVENT, 3)&amp;" "&amp;SUBSTITUTE(SUBSTITUTE(SUBSTITUTE(INDEX('Heat Sheet'!$A:$I, _xlpm.EVENT+1, 3), "Heat ", "H"), "Final", "F"), "Flight ", "F")))</f>
        <v/>
      </c>
      <c r="E120" s="10" t="str" cm="1">
        <f t="array" ref="E120">_xlfn.LET(_xlpm.EVENT, _xlfn.XMATCH($A120,'Heat Sheet'!$A:$A), IF(ISNA(_xlpm.EVENT), "", _xlfn.LET(_xlpm.ADVANCE, INDEX('Heat Sheet'!$A:$I, _xlpm.EVENT, COLUMN()-1), IF(_xlpm.ADVANCE=0, "", _xlpm.ADVANCE))))</f>
        <v/>
      </c>
      <c r="F120" s="10" t="str" cm="1">
        <f t="array" ref="F120">_xlfn.LET(_xlpm.EVENT, _xlfn.XMATCH($A120,'Heat Sheet'!$A:$A), IF(ISNA(_xlpm.EVENT), "", _xlfn.LET(_xlpm.ADVANCE, INDEX('Heat Sheet'!$A:$I, _xlpm.EVENT, COLUMN()-1), IF(_xlpm.ADVANCE=0, "", _xlpm.ADVANCE))))</f>
        <v/>
      </c>
      <c r="G120" s="10" t="str" cm="1">
        <f t="array" ref="G120">_xlfn.LET(_xlpm.EVENT, _xlfn.XMATCH($A120,'Heat Sheet'!$A:$A), IF(ISNA(_xlpm.EVENT), "", _xlfn.LET(_xlpm.ADVANCE, INDEX('Heat Sheet'!$A:$I, _xlpm.EVENT, COLUMN()-1), IF(_xlpm.ADVANCE=0, "", _xlpm.ADVANCE))))</f>
        <v/>
      </c>
      <c r="H120" s="10" t="str" cm="1">
        <f t="array" ref="H120">_xlfn.LET(_xlpm.EVENT, _xlfn.XMATCH($A120,'Heat Sheet'!$A:$A), IF(ISNA(_xlpm.EVENT), "", _xlfn.LET(_xlpm.ADVANCE, INDEX('Heat Sheet'!$A:$I, _xlpm.EVENT, COLUMN()-1), IF(_xlpm.ADVANCE=0, "", _xlpm.ADVANCE))))</f>
        <v/>
      </c>
      <c r="I120" s="10" t="str" cm="1">
        <f t="array" ref="I120">_xlfn.LET(_xlpm.EVENT, _xlfn.XMATCH($A120,'Heat Sheet'!$A:$A), IF(ISNA(_xlpm.EVENT), "", _xlfn.LET(_xlpm.ADVANCE, INDEX('Heat Sheet'!$A:$I, _xlpm.EVENT, COLUMN()-1), IF(_xlpm.ADVANCE=0, "", _xlpm.ADVANCE))))</f>
        <v/>
      </c>
      <c r="J120" s="10" t="str" cm="1">
        <f t="array" ref="J120">_xlfn.LET(_xlpm.EVENT, _xlfn.XMATCH($A120,'Heat Sheet'!$A:$A), IF(ISNA(_xlpm.EVENT), "", _xlfn.LET(_xlpm.ADVANCE, INDEX('Heat Sheet'!$A:$I, _xlpm.EVENT, COLUMN()-1), IF(_xlpm.ADVANCE=0, "", _xlpm.ADVANCE))))</f>
        <v/>
      </c>
      <c r="K120" s="139" t="str" cm="1">
        <f t="array" ref="K120">_xlfn.LET(_xlpm.EVENT, _xlfn.XMATCH($A120,'Heat Sheet'!A:A), IF(ISNA(_xlpm.EVENT), "", _xlfn.LET(_xlpm.ADVANCE, INDEX('Heat Sheet'!$A:$I, _xlpm.EVENT+2, 3), IF(_xlpm.ADVANCE=0, "", _xlpm.ADVANCE))))</f>
        <v/>
      </c>
    </row>
    <row r="121" spans="1:11" ht="29.25" customHeight="1" x14ac:dyDescent="0.2">
      <c r="A121" s="137">
        <v>119</v>
      </c>
      <c r="B121" s="7" t="str">
        <f>IFERROR(TEXT(VLOOKUP(A121,'Heat Sheet'!$A:$I, 2, FALSE), "HH:mm"), "")</f>
        <v/>
      </c>
      <c r="C121" s="138"/>
      <c r="D121" s="10" t="str" cm="1">
        <f t="array" ref="D121">_xlfn.LET(_xlpm.EVENT, _xlfn.XMATCH($A121,'Heat Sheet'!A:A), IF(ISNA(_xlpm.EVENT), "", INDEX('Heat Sheet'!$A:$I, _xlpm.EVENT, 3)&amp;" "&amp;SUBSTITUTE(SUBSTITUTE(SUBSTITUTE(INDEX('Heat Sheet'!$A:$I, _xlpm.EVENT+1, 3), "Heat ", "H"), "Final", "F"), "Flight ", "F")))</f>
        <v/>
      </c>
      <c r="E121" s="10" t="str" cm="1">
        <f t="array" ref="E121">_xlfn.LET(_xlpm.EVENT, _xlfn.XMATCH($A121,'Heat Sheet'!$A:$A), IF(ISNA(_xlpm.EVENT), "", _xlfn.LET(_xlpm.ADVANCE, INDEX('Heat Sheet'!$A:$I, _xlpm.EVENT, COLUMN()-1), IF(_xlpm.ADVANCE=0, "", _xlpm.ADVANCE))))</f>
        <v/>
      </c>
      <c r="F121" s="10" t="str" cm="1">
        <f t="array" ref="F121">_xlfn.LET(_xlpm.EVENT, _xlfn.XMATCH($A121,'Heat Sheet'!$A:$A), IF(ISNA(_xlpm.EVENT), "", _xlfn.LET(_xlpm.ADVANCE, INDEX('Heat Sheet'!$A:$I, _xlpm.EVENT, COLUMN()-1), IF(_xlpm.ADVANCE=0, "", _xlpm.ADVANCE))))</f>
        <v/>
      </c>
      <c r="G121" s="10" t="str" cm="1">
        <f t="array" ref="G121">_xlfn.LET(_xlpm.EVENT, _xlfn.XMATCH($A121,'Heat Sheet'!$A:$A), IF(ISNA(_xlpm.EVENT), "", _xlfn.LET(_xlpm.ADVANCE, INDEX('Heat Sheet'!$A:$I, _xlpm.EVENT, COLUMN()-1), IF(_xlpm.ADVANCE=0, "", _xlpm.ADVANCE))))</f>
        <v/>
      </c>
      <c r="H121" s="10" t="str" cm="1">
        <f t="array" ref="H121">_xlfn.LET(_xlpm.EVENT, _xlfn.XMATCH($A121,'Heat Sheet'!$A:$A), IF(ISNA(_xlpm.EVENT), "", _xlfn.LET(_xlpm.ADVANCE, INDEX('Heat Sheet'!$A:$I, _xlpm.EVENT, COLUMN()-1), IF(_xlpm.ADVANCE=0, "", _xlpm.ADVANCE))))</f>
        <v/>
      </c>
      <c r="I121" s="10" t="str" cm="1">
        <f t="array" ref="I121">_xlfn.LET(_xlpm.EVENT, _xlfn.XMATCH($A121,'Heat Sheet'!$A:$A), IF(ISNA(_xlpm.EVENT), "", _xlfn.LET(_xlpm.ADVANCE, INDEX('Heat Sheet'!$A:$I, _xlpm.EVENT, COLUMN()-1), IF(_xlpm.ADVANCE=0, "", _xlpm.ADVANCE))))</f>
        <v/>
      </c>
      <c r="J121" s="10" t="str" cm="1">
        <f t="array" ref="J121">_xlfn.LET(_xlpm.EVENT, _xlfn.XMATCH($A121,'Heat Sheet'!$A:$A), IF(ISNA(_xlpm.EVENT), "", _xlfn.LET(_xlpm.ADVANCE, INDEX('Heat Sheet'!$A:$I, _xlpm.EVENT, COLUMN()-1), IF(_xlpm.ADVANCE=0, "", _xlpm.ADVANCE))))</f>
        <v/>
      </c>
      <c r="K121" s="139" t="str" cm="1">
        <f t="array" ref="K121">_xlfn.LET(_xlpm.EVENT, _xlfn.XMATCH($A121,'Heat Sheet'!A:A), IF(ISNA(_xlpm.EVENT), "", _xlfn.LET(_xlpm.ADVANCE, INDEX('Heat Sheet'!$A:$I, _xlpm.EVENT+2, 3), IF(_xlpm.ADVANCE=0, "", _xlpm.ADVANCE))))</f>
        <v/>
      </c>
    </row>
    <row r="122" spans="1:11" ht="29.25" customHeight="1" x14ac:dyDescent="0.2">
      <c r="A122" s="137">
        <v>120</v>
      </c>
      <c r="B122" s="7" t="str">
        <f>IFERROR(TEXT(VLOOKUP(A122,'Heat Sheet'!$A:$I, 2, FALSE), "HH:mm"), "")</f>
        <v/>
      </c>
      <c r="C122" s="138"/>
      <c r="D122" s="10" t="str" cm="1">
        <f t="array" ref="D122">_xlfn.LET(_xlpm.EVENT, _xlfn.XMATCH($A122,'Heat Sheet'!A:A), IF(ISNA(_xlpm.EVENT), "", INDEX('Heat Sheet'!$A:$I, _xlpm.EVENT, 3)&amp;" "&amp;SUBSTITUTE(SUBSTITUTE(SUBSTITUTE(INDEX('Heat Sheet'!$A:$I, _xlpm.EVENT+1, 3), "Heat ", "H"), "Final", "F"), "Flight ", "F")))</f>
        <v/>
      </c>
      <c r="E122" s="10" t="str" cm="1">
        <f t="array" ref="E122">_xlfn.LET(_xlpm.EVENT, _xlfn.XMATCH($A122,'Heat Sheet'!$A:$A), IF(ISNA(_xlpm.EVENT), "", _xlfn.LET(_xlpm.ADVANCE, INDEX('Heat Sheet'!$A:$I, _xlpm.EVENT, COLUMN()-1), IF(_xlpm.ADVANCE=0, "", _xlpm.ADVANCE))))</f>
        <v/>
      </c>
      <c r="F122" s="10" t="str" cm="1">
        <f t="array" ref="F122">_xlfn.LET(_xlpm.EVENT, _xlfn.XMATCH($A122,'Heat Sheet'!$A:$A), IF(ISNA(_xlpm.EVENT), "", _xlfn.LET(_xlpm.ADVANCE, INDEX('Heat Sheet'!$A:$I, _xlpm.EVENT, COLUMN()-1), IF(_xlpm.ADVANCE=0, "", _xlpm.ADVANCE))))</f>
        <v/>
      </c>
      <c r="G122" s="10" t="str" cm="1">
        <f t="array" ref="G122">_xlfn.LET(_xlpm.EVENT, _xlfn.XMATCH($A122,'Heat Sheet'!$A:$A), IF(ISNA(_xlpm.EVENT), "", _xlfn.LET(_xlpm.ADVANCE, INDEX('Heat Sheet'!$A:$I, _xlpm.EVENT, COLUMN()-1), IF(_xlpm.ADVANCE=0, "", _xlpm.ADVANCE))))</f>
        <v/>
      </c>
      <c r="H122" s="10" t="str" cm="1">
        <f t="array" ref="H122">_xlfn.LET(_xlpm.EVENT, _xlfn.XMATCH($A122,'Heat Sheet'!$A:$A), IF(ISNA(_xlpm.EVENT), "", _xlfn.LET(_xlpm.ADVANCE, INDEX('Heat Sheet'!$A:$I, _xlpm.EVENT, COLUMN()-1), IF(_xlpm.ADVANCE=0, "", _xlpm.ADVANCE))))</f>
        <v/>
      </c>
      <c r="I122" s="10" t="str" cm="1">
        <f t="array" ref="I122">_xlfn.LET(_xlpm.EVENT, _xlfn.XMATCH($A122,'Heat Sheet'!$A:$A), IF(ISNA(_xlpm.EVENT), "", _xlfn.LET(_xlpm.ADVANCE, INDEX('Heat Sheet'!$A:$I, _xlpm.EVENT, COLUMN()-1), IF(_xlpm.ADVANCE=0, "", _xlpm.ADVANCE))))</f>
        <v/>
      </c>
      <c r="J122" s="10" t="str" cm="1">
        <f t="array" ref="J122">_xlfn.LET(_xlpm.EVENT, _xlfn.XMATCH($A122,'Heat Sheet'!$A:$A), IF(ISNA(_xlpm.EVENT), "", _xlfn.LET(_xlpm.ADVANCE, INDEX('Heat Sheet'!$A:$I, _xlpm.EVENT, COLUMN()-1), IF(_xlpm.ADVANCE=0, "", _xlpm.ADVANCE))))</f>
        <v/>
      </c>
      <c r="K122" s="139" t="str" cm="1">
        <f t="array" ref="K122">_xlfn.LET(_xlpm.EVENT, _xlfn.XMATCH($A122,'Heat Sheet'!A:A), IF(ISNA(_xlpm.EVENT), "", _xlfn.LET(_xlpm.ADVANCE, INDEX('Heat Sheet'!$A:$I, _xlpm.EVENT+2, 3), IF(_xlpm.ADVANCE=0, "", _xlpm.ADVANCE))))</f>
        <v/>
      </c>
    </row>
  </sheetData>
  <sheetProtection sheet="1" objects="1" scenarios="1"/>
  <mergeCells count="1">
    <mergeCell ref="A1:K1"/>
  </mergeCells>
  <phoneticPr fontId="6" type="noConversion"/>
  <printOptions horizontalCentered="1" verticalCentered="1"/>
  <pageMargins left="0.25" right="0.25" top="0.75" bottom="0.75" header="0.3" footer="0.3"/>
  <pageSetup scale="90" fitToWidth="0" fitToHeight="0" orientation="landscape" r:id="rId1"/>
  <headerFooter>
    <oddFooter>&amp;CPlease note: Lane 1 is farthest lane from Grandstands (Prince William Side of Resevoir)&amp;R&amp;P</oddFooter>
    <evenFooter>&amp;R&amp;P</evenFooter>
    <firstHeader>&amp;C&amp;"Aptos Narrow (Body),Regular"&amp;18Ted Phoenix Regatta&amp;RApril 12, 2025</firstHeader>
    <firstFooter>&amp;CPlease note: Lane 1 is farthest lane from Grandstands (Prince William Side of Resevoir)</firstFooter>
  </headerFooter>
  <rowBreaks count="7" manualBreakCount="7">
    <brk id="17" max="10" man="1"/>
    <brk id="32" max="10" man="1"/>
    <brk id="47" max="10" man="1"/>
    <brk id="62" max="10" man="1"/>
    <brk id="77" max="10" man="1"/>
    <brk id="92" max="10" man="1"/>
    <brk id="107" max="10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2d4777c-c384-4cb0-8366-9c9ca00b276c">
      <Terms xmlns="http://schemas.microsoft.com/office/infopath/2007/PartnerControls"/>
    </lcf76f155ced4ddcb4097134ff3c332f>
    <TaxCatchAll xmlns="95d38b54-3432-49bd-ac39-53ac5399fed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C9734486F8704886AB210B4CB8A822" ma:contentTypeVersion="13" ma:contentTypeDescription="Create a new document." ma:contentTypeScope="" ma:versionID="fec8b092906078f14abb15b85b584aba">
  <xsd:schema xmlns:xsd="http://www.w3.org/2001/XMLSchema" xmlns:xs="http://www.w3.org/2001/XMLSchema" xmlns:p="http://schemas.microsoft.com/office/2006/metadata/properties" xmlns:ns2="e2d4777c-c384-4cb0-8366-9c9ca00b276c" xmlns:ns3="95d38b54-3432-49bd-ac39-53ac5399fed4" targetNamespace="http://schemas.microsoft.com/office/2006/metadata/properties" ma:root="true" ma:fieldsID="8ebadc1748b3bca09c057aeb1e2f5143" ns2:_="" ns3:_="">
    <xsd:import namespace="e2d4777c-c384-4cb0-8366-9c9ca00b276c"/>
    <xsd:import namespace="95d38b54-3432-49bd-ac39-53ac5399fe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d4777c-c384-4cb0-8366-9c9ca00b27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30508f0-38d5-4a37-86dd-a4658382f1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d38b54-3432-49bd-ac39-53ac5399fed4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bc00683f-639c-4d66-950f-b1576a2aebab}" ma:internalName="TaxCatchAll" ma:showField="CatchAllData" ma:web="95d38b54-3432-49bd-ac39-53ac5399fed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6689E8-59E2-4C97-BE96-1ABF2AD0207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F850EB7-2AC2-49C0-BD0F-12B1AFA084A2}">
  <ds:schemaRefs>
    <ds:schemaRef ds:uri="http://schemas.microsoft.com/office/2006/metadata/properties"/>
    <ds:schemaRef ds:uri="http://schemas.microsoft.com/office/infopath/2007/PartnerControls"/>
    <ds:schemaRef ds:uri="e2d4777c-c384-4cb0-8366-9c9ca00b276c"/>
    <ds:schemaRef ds:uri="95d38b54-3432-49bd-ac39-53ac5399fed4"/>
  </ds:schemaRefs>
</ds:datastoreItem>
</file>

<file path=customXml/itemProps3.xml><?xml version="1.0" encoding="utf-8"?>
<ds:datastoreItem xmlns:ds="http://schemas.openxmlformats.org/officeDocument/2006/customXml" ds:itemID="{EAB4DD7B-1467-43CF-886D-ECEBE82A3F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d4777c-c384-4cb0-8366-9c9ca00b276c"/>
    <ds:schemaRef ds:uri="95d38b54-3432-49bd-ac39-53ac5399fe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Change Log</vt:lpstr>
      <vt:lpstr>Regatta Attributes</vt:lpstr>
      <vt:lpstr>Heat Sheet</vt:lpstr>
      <vt:lpstr>Results</vt:lpstr>
      <vt:lpstr>Referee Heat Sheet</vt:lpstr>
      <vt:lpstr>'Heat Sheet'!Print_Area</vt:lpstr>
      <vt:lpstr>'Referee Heat Sheet'!Print_Area</vt:lpstr>
      <vt:lpstr>Results!Print_Area</vt:lpstr>
      <vt:lpstr>'Heat Sheet'!Print_Titles</vt:lpstr>
      <vt:lpstr>'Referee Heat Sheet'!Print_Titles</vt:lpstr>
      <vt:lpstr>Results!Print_Titles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VASRA IT Admin (Marc Sieger)</cp:lastModifiedBy>
  <cp:revision/>
  <dcterms:created xsi:type="dcterms:W3CDTF">2025-03-13T21:11:52Z</dcterms:created>
  <dcterms:modified xsi:type="dcterms:W3CDTF">2026-09-08T16:05:26Z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0x010100F6C9734486F8704886AB210B4CB8A822</vt:lpwstr>
  </property>
  <property fmtid="{D5CDD505-2E9C-101B-9397-08002B2CF9AE}" pid="3" name="MediaServiceImageTags">
    <vt:lpwstr/>
  </property>
</Properties>
</file>